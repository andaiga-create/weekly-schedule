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사전품의내역!$A$1:$N$1714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(12)'!$A$1:$M$17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0" i="129" l="1"/>
  <c r="L5" i="129"/>
  <c r="L4" i="129"/>
  <c r="L11" i="129" l="1"/>
  <c r="L15" i="129"/>
  <c r="J1142" i="4" l="1"/>
  <c r="J1045" i="4"/>
  <c r="J1121" i="4" l="1"/>
  <c r="J1102" i="4" l="1"/>
  <c r="M1681" i="2"/>
  <c r="M1680" i="2"/>
  <c r="J1090" i="4" l="1"/>
  <c r="J1082" i="4"/>
  <c r="J1064" i="4"/>
  <c r="M1651" i="2"/>
  <c r="M1650" i="2"/>
  <c r="M1649" i="2"/>
  <c r="M1648" i="2"/>
  <c r="M1647" i="2"/>
  <c r="M1646" i="2"/>
  <c r="J1056" i="4"/>
  <c r="J1032" i="4"/>
  <c r="I1034" i="4" s="1"/>
  <c r="M1633" i="2" l="1"/>
  <c r="M1624" i="2" l="1"/>
  <c r="M1623" i="2"/>
  <c r="M1622" i="2"/>
  <c r="M1603" i="2" l="1"/>
  <c r="M1602" i="2"/>
  <c r="M1601" i="2"/>
  <c r="M1600" i="2"/>
  <c r="J1018" i="4" l="1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6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<sst xmlns="http://schemas.openxmlformats.org/spreadsheetml/2006/main" count="31320" uniqueCount="7649">
  <si>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</si>
  <si>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</si>
  <si>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</si>
  <si>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</si>
  <si>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</si>
  <si>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</si>
  <si>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</si>
  <si>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</si>
  <si>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</si>
  <si>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</si>
  <si>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</si>
  <si>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</si>
  <si>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</si>
  <si>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</si>
  <si>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</si>
  <si>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</si>
  <si>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</si>
  <si>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</si>
  <si>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</si>
  <si>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</si>
  <si>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</si>
  <si>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</si>
  <si>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</si>
  <si>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</si>
  <si>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</si>
  <si>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</si>
  <si>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</si>
  <si>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</si>
  <si>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</si>
  <si>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</si>
  <si>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</si>
  <si>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</si>
  <si>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</si>
  <si>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</si>
  <si>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</si>
  <si>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</si>
  <si>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</si>
  <si>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</si>
  <si>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</si>
  <si>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</si>
  <si>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</si>
  <si>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</si>
  <si>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</si>
  <si>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</si>
  <si>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</si>
  <si>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</si>
  <si>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</si>
  <si>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</si>
  <si>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</si>
  <si>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</si>
  <si>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</si>
  <si>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</si>
  <si>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</si>
  <si>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</si>
  <si>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</si>
  <si>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</si>
  <si>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</si>
  <si>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</si>
  <si>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</si>
  <si>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</si>
  <si>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</si>
  <si>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</si>
  <si>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</si>
  <si>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</si>
  <si>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</si>
  <si>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</si>
  <si>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</si>
  <si>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</si>
  <si>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</si>
  <si>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</si>
  <si>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</si>
  <si>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</si>
  <si>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</si>
  <si>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</si>
  <si>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</si>
  <si>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</si>
  <si>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</si>
  <si>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</si>
  <si>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</si>
  <si>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</si>
  <si>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</si>
  <si>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</si>
  <si>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</si>
  <si>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</si>
  <si>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</si>
  <si>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</si>
  <si>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</si>
  <si>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</si>
  <si>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</si>
  <si>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</si>
  <si>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</si>
  <si>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</si>
  <si>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</si>
  <si>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</si>
  <si>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</si>
  <si>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</si>
  <si>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</si>
  <si>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</si>
  <si>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</si>
  <si>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</si>
  <si>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</si>
  <si>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</si>
  <si>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</si>
  <si>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</si>
  <si>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</si>
  <si>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</si>
  <si>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</si>
  <si>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</si>
  <si>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</si>
  <si>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</si>
  <si>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</si>
  <si>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</si>
  <si>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</si>
  <si>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</si>
  <si>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</si>
  <si>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</si>
  <si>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</si>
  <si>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</si>
  <si>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</si>
  <si>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</si>
  <si>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</si>
  <si>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</si>
  <si>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</si>
  <si>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</si>
  <si>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</si>
  <si>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</si>
  <si>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</si>
  <si>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</si>
  <si>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</si>
  <si>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</si>
  <si>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</si>
  <si>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</si>
  <si>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</si>
  <si>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</si>
  <si>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</si>
  <si>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</si>
  <si>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</si>
  <si>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</si>
  <si>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</si>
  <si>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</si>
  <si>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</si>
  <si>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</si>
  <si>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</si>
  <si>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</si>
  <si>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</si>
  <si>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</si>
  <si>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</si>
  <si>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</si>
  <si>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</si>
  <si>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</si>
  <si>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</si>
  <si>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</si>
  <si>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</si>
  <si>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</si>
  <si>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</si>
  <si>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</si>
  <si>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</si>
  <si>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</si>
  <si>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</si>
  <si>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</si>
  <si>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</si>
  <si>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</si>
  <si>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</si>
  <si>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</si>
  <si>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</si>
  <si>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</si>
  <si>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</si>
  <si>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</si>
  <si>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</si>
  <si>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</si>
  <si>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</si>
  <si>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</si>
  <si>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</si>
  <si>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</si>
  <si>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</si>
  <si>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</si>
  <si>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</si>
  <si>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</si>
  <si>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</si>
  <si>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</si>
  <si>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</si>
  <si>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</si>
  <si>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</si>
  <si>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</si>
  <si>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</si>
  <si>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</si>
  <si>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</si>
  <si>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</si>
  <si>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</si>
  <si>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</si>
  <si>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</si>
  <si>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</si>
  <si>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</si>
  <si>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</si>
  <si>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</si>
  <si>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</si>
  <si>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</si>
  <si>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</si>
  <si>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</si>
  <si>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</si>
  <si>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</si>
  <si>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</si>
  <si>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</si>
  <si>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</si>
  <si>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</si>
  <si>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</si>
  <si>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</si>
  <si>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</si>
  <si>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</si>
  <si>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</si>
  <si>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</si>
  <si>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</si>
  <si>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</si>
  <si>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</si>
  <si>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</si>
  <si>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</si>
  <si>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</si>
  <si>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</si>
  <si>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</si>
  <si>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</si>
  <si>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</si>
  <si>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</si>
  <si>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</si>
  <si>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</si>
  <si>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</si>
  <si>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</si>
  <si>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</si>
  <si>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</si>
  <si>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</si>
  <si>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</si>
  <si>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</si>
  <si>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</si>
  <si>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</si>
  <si>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</si>
  <si>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</si>
  <si>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</si>
  <si>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</si>
  <si>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</si>
  <si>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</si>
  <si>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</si>
  <si>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</si>
  <si>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</si>
  <si>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</si>
  <si>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</si>
  <si>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</si>
  <si>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</si>
  <si>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</si>
  <si>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</si>
  <si>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</si>
  <si>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</si>
  <si>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</si>
  <si>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</si>
  <si>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</si>
  <si>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</si>
  <si>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</si>
  <si>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</si>
  <si>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</si>
  <si>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</si>
  <si>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</si>
  <si>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</si>
  <si>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</si>
  <si>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</si>
  <si>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</si>
  <si>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</si>
  <si>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</si>
  <si>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</si>
  <si>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</si>
  <si>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</si>
  <si>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</si>
  <si>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</si>
  <si>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</si>
  <si>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</si>
  <si>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</si>
  <si>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</si>
  <si>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</si>
  <si>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</si>
  <si>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</si>
  <si>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</si>
  <si>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</si>
  <si>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</si>
  <si>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</si>
  <si>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</si>
  <si>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</si>
  <si>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</si>
  <si>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</si>
  <si>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</si>
  <si>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</si>
  <si>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</si>
  <si>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</si>
  <si>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</si>
  <si>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</si>
  <si>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</si>
  <si>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</si>
  <si>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</si>
  <si>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</si>
  <si>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</si>
  <si>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</si>
  <si>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</si>
  <si>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</si>
  <si>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</si>
  <si>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</si>
  <si>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</si>
  <si>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</si>
  <si>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</si>
  <si>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</si>
  <si>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</si>
  <si>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</si>
  <si>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</si>
  <si>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</si>
  <si>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</si>
  <si>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</si>
  <si>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</si>
  <si>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</si>
  <si>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</si>
  <si>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</si>
  <si>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</si>
  <si>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</si>
  <si>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</si>
  <si>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</si>
  <si>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</si>
  <si>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</si>
  <si>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</si>
  <si>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</si>
  <si>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</si>
  <si>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</si>
  <si>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</si>
  <si>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</si>
  <si>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</si>
  <si>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</si>
  <si>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</si>
  <si>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</si>
  <si>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</si>
  <si>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</si>
  <si>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</si>
  <si>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</si>
  <si>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</si>
  <si>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</si>
  <si>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</si>
  <si>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</si>
  <si>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</si>
  <si>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</si>
  <si>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</si>
  <si>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</si>
  <si>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</si>
  <si>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</si>
  <si>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</si>
  <si>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</si>
  <si>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</si>
  <si>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</si>
  <si>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</si>
  <si>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</si>
  <si>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</si>
  <si>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</si>
  <si>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</si>
  <si>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</si>
  <si>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</si>
  <si>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</si>
  <si>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</si>
  <si>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</si>
  <si>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</si>
  <si>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</si>
  <si>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</si>
  <si>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</si>
  <si>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</si>
  <si>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</si>
  <si>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</si>
  <si>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</si>
  <si>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</si>
  <si>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</si>
  <si>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</si>
  <si>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</si>
  <si>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</si>
  <si>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</si>
  <si>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</si>
  <si>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</si>
  <si>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</si>
  <si>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</si>
  <si>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</si>
  <si>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</si>
  <si>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</si>
  <si>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</si>
  <si>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</si>
  <si>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</si>
  <si>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</si>
  <si>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</si>
  <si>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</si>
  <si>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</si>
  <si>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</si>
  <si>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</si>
  <si>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</si>
  <si>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</si>
  <si>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</si>
  <si>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</si>
  <si>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</si>
  <si>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</si>
  <si>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</si>
  <si>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</si>
  <si>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</si>
  <si>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</si>
  <si>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</si>
  <si>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</si>
  <si>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</si>
  <si>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</si>
  <si>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</si>
  <si>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</si>
  <si>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</si>
  <si>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</si>
  <si>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</si>
  <si>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</si>
  <si>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</si>
  <si>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</si>
  <si>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</si>
  <si>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</si>
  <si>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</si>
  <si>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</si>
  <si>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</si>
  <si>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</si>
  <si>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</si>
  <si>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</si>
  <si>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</si>
  <si>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</si>
  <si>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</si>
  <si>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</si>
  <si>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</si>
  <si>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</si>
  <si>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</si>
  <si>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</si>
  <si>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</si>
  <si>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</si>
  <si>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</si>
  <si>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</si>
  <si>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</si>
  <si>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</si>
  <si>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</si>
  <si>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</si>
  <si>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</si>
  <si>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</si>
  <si>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</si>
  <si>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</si>
  <si>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</si>
  <si>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</si>
  <si>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</si>
  <si>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</si>
  <si>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</si>
  <si>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</si>
  <si>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</si>
  <si>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</si>
  <si>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</si>
  <si>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</si>
  <si>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</si>
  <si>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</si>
  <si>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</si>
  <si>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</si>
  <si>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</si>
  <si>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</si>
  <si>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</si>
  <si>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</si>
  <si>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</si>
  <si>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</si>
  <si>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</si>
  <si>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</si>
  <si>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</si>
  <si>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</si>
  <si>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</si>
  <si>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</si>
  <si>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</si>
  <si>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</si>
  <si>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</si>
  <si>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</si>
  <si>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</si>
  <si>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</si>
  <si>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</si>
  <si>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</si>
  <si>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</si>
  <si>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</si>
  <si>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</si>
  <si>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</si>
  <si>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</si>
  <si>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</si>
  <si>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</si>
  <si>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</si>
  <si>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</si>
  <si>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</si>
  <si>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</si>
  <si>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</si>
  <si>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</si>
  <si>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</si>
  <si>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</si>
  <si>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</si>
  <si>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</si>
  <si>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</si>
  <si>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</si>
  <si>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</si>
  <si>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</si>
  <si>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</si>
  <si>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</si>
  <si>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</si>
  <si>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</si>
  <si>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</si>
  <si>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</si>
  <si>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</si>
  <si>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</si>
  <si>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</si>
  <si>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</si>
  <si>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</si>
  <si>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</si>
  <si>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</si>
  <si>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</si>
  <si>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</si>
  <si>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</si>
  <si>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</si>
  <si>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</si>
  <si>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</si>
  <si>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</si>
  <si>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</si>
  <si>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</si>
  <si>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</si>
  <si>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</si>
  <si>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</si>
  <si>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</si>
  <si>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</si>
  <si>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</si>
  <si>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</si>
  <si>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</si>
  <si>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</si>
  <si>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</si>
  <si>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</si>
  <si>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</si>
  <si>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</si>
  <si>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</si>
  <si>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</si>
  <si>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</si>
  <si>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</si>
  <si>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</si>
  <si>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</si>
  <si>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</si>
  <si>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</si>
  <si>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</si>
  <si>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</si>
  <si>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</si>
  <si>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</si>
  <si>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</si>
  <si>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</si>
  <si>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</si>
  <si>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</si>
  <si>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</si>
  <si>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</si>
  <si>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</si>
  <si>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</si>
  <si>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</si>
  <si>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</si>
  <si>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</si>
  <si>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</si>
  <si>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</si>
  <si>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</si>
  <si>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</si>
  <si>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</si>
  <si>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</si>
  <si>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</si>
  <si>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</si>
  <si>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</si>
  <si>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</si>
  <si>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</si>
  <si>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</si>
  <si>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</si>
  <si>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</si>
  <si>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</si>
  <si>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</si>
  <si>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</si>
  <si>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</si>
  <si>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</si>
  <si>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</si>
  <si>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</si>
  <si>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</si>
  <si>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</si>
  <si>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</si>
  <si>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</si>
  <si>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</si>
  <si>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</si>
  <si>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</si>
  <si>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</si>
  <si>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</si>
  <si>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</si>
  <si>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</si>
  <si>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</si>
  <si>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</si>
  <si>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</si>
  <si>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</si>
  <si>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</si>
  <si>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</si>
  <si>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</si>
  <si>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</si>
  <si>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</si>
  <si>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</si>
  <si>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</si>
  <si>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</si>
  <si>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</si>
  <si>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</si>
  <si>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</si>
  <si>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</si>
  <si>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</si>
  <si>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</si>
  <si>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</si>
  <si>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</si>
  <si>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</si>
  <si>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</si>
  <si>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</si>
  <si>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</si>
  <si>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</si>
  <si>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</si>
  <si>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</si>
  <si>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</si>
  <si>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</si>
  <si>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</si>
  <si>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</si>
  <si>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</si>
  <si>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</si>
  <si>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</si>
  <si>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</si>
  <si>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</si>
  <si>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</si>
  <si>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</si>
  <si>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</si>
  <si>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</si>
  <si>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</si>
  <si>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</si>
  <si>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</si>
  <si>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</si>
  <si>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</si>
  <si>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</si>
  <si>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</si>
  <si>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</si>
  <si>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</si>
  <si>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</si>
  <si>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</si>
  <si>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</si>
  <si>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</si>
  <si>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</si>
  <si>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</si>
  <si>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</si>
  <si>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</si>
  <si>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</si>
  <si>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</si>
  <si>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</si>
  <si>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</si>
  <si>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</si>
  <si>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</si>
  <si>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</si>
  <si>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</si>
  <si>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</si>
  <si>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</si>
  <si>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</si>
  <si>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</si>
  <si>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</si>
  <si>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</si>
  <si>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</si>
  <si>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</si>
  <si>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</si>
  <si>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</si>
  <si>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</si>
  <si>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</si>
  <si>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</si>
  <si>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</si>
  <si>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</si>
  <si>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</si>
  <si>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</si>
  <si>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</si>
  <si>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</si>
  <si>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</si>
  <si>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</si>
  <si>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</si>
  <si>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</si>
  <si>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</si>
  <si>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</si>
  <si>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</si>
  <si>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</si>
  <si>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</si>
  <si>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</si>
  <si>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</si>
  <si>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</si>
  <si>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</si>
  <si>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</si>
  <si>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</si>
  <si>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</si>
  <si>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</si>
  <si>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</si>
  <si>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</si>
  <si>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</si>
  <si>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</si>
  <si>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</si>
  <si>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</si>
  <si>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</si>
  <si>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</si>
  <si>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</si>
  <si>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</si>
  <si>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</si>
  <si>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</si>
  <si>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</si>
  <si>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</si>
  <si>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</si>
  <si>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</si>
  <si>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</si>
  <si>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</si>
  <si>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</si>
  <si>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</si>
  <si>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</si>
  <si>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</si>
  <si>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</si>
  <si>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</si>
  <si>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</si>
  <si>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</si>
  <si>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</si>
  <si>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</si>
  <si>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</si>
  <si>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</si>
  <si>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</si>
  <si>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</si>
  <si>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</si>
  <si>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</si>
  <si>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</si>
  <si>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</si>
  <si>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</si>
  <si>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</si>
  <si>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</si>
  <si>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</si>
  <si>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</si>
  <si>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</si>
  <si>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</si>
  <si>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</si>
  <si>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</si>
  <si>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</si>
  <si>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</si>
  <si>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</si>
  <si>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</si>
  <si>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</si>
  <si>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</si>
  <si>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</si>
  <si>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</si>
  <si>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</si>
  <si>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</si>
  <si>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</si>
  <si>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</si>
  <si>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</si>
  <si>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</si>
  <si>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</si>
  <si>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</si>
  <si>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</si>
  <si>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</si>
  <si>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</si>
  <si>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</si>
  <si>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</si>
  <si>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</si>
  <si>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</si>
  <si>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</si>
  <si>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</si>
  <si>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</si>
  <si>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</si>
  <si>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</si>
  <si>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</si>
  <si>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</si>
  <si>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</si>
  <si>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</si>
  <si>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</si>
  <si>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</si>
  <si>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</si>
  <si>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</si>
  <si>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</si>
  <si>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</si>
  <si>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</si>
  <si>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</si>
  <si>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</si>
  <si>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</si>
  <si>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</si>
  <si>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</si>
  <si>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</si>
  <si>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</si>
  <si>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</si>
  <si>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</si>
  <si>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</si>
  <si>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</si>
  <si>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</si>
  <si>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</si>
  <si>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</si>
  <si>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</si>
  <si>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</si>
  <si>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</si>
  <si>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</si>
  <si>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</si>
  <si>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</si>
  <si>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</si>
  <si>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</si>
  <si>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</si>
  <si>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</si>
  <si>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</si>
  <si>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</si>
  <si>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</si>
  <si>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</si>
  <si>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</si>
  <si>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</si>
  <si>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</si>
  <si>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</si>
  <si>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</si>
  <si>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</si>
  <si>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</si>
  <si>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</si>
  <si>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</si>
  <si>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</si>
  <si>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</si>
  <si>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</si>
  <si>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</si>
  <si>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</si>
  <si>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</si>
  <si>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</si>
  <si>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</si>
  <si>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</si>
  <si>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</si>
  <si>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</si>
  <si>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</si>
  <si>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</si>
  <si>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</si>
  <si>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</si>
  <si>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</si>
  <si>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</si>
  <si>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</si>
  <si>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</si>
  <si>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</si>
  <si>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</si>
  <si>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</si>
  <si>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</si>
  <si>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</si>
  <si>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</si>
  <si>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</si>
  <si>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</si>
  <si>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</si>
  <si>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</si>
  <si>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</si>
  <si>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</si>
  <si>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</si>
  <si>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</si>
  <si>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</si>
  <si>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</si>
  <si>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</si>
  <si>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</si>
  <si>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</si>
  <si>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</si>
  <si>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</si>
  <si>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</si>
  <si>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</si>
  <si>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</si>
  <si>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</si>
  <si>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</si>
  <si>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</si>
  <si>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</si>
  <si>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</si>
  <si>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</si>
  <si>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</si>
  <si>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</si>
  <si>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</si>
  <si>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</si>
  <si>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</si>
  <si>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</si>
  <si>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</si>
  <si>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</si>
  <si>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</si>
  <si>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</si>
  <si>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</si>
  <si>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</si>
  <si>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</si>
  <si>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</si>
  <si>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</si>
  <si>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</si>
  <si>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</si>
  <si>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</si>
  <si>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</si>
  <si>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</si>
  <si>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</si>
  <si>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</si>
  <si>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</si>
  <si>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</si>
  <si>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</si>
  <si>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</si>
  <si>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</si>
  <si>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</si>
  <si>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</si>
  <si>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</si>
  <si>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</si>
  <si>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</si>
  <si>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</si>
  <si>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</si>
  <si>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</si>
  <si>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</si>
  <si>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</si>
  <si>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</si>
  <si>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</si>
  <si>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</si>
  <si>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</si>
  <si>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</si>
  <si>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</si>
  <si>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</si>
  <si>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</si>
  <si>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</si>
  <si>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</si>
  <si>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</si>
  <si>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</si>
  <si>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</si>
  <si>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</si>
  <si>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</si>
  <si>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</si>
  <si>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</si>
  <si>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</si>
  <si>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</si>
  <si>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</si>
  <si>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</si>
  <si>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</si>
  <si>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</si>
  <si>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</si>
  <si>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</si>
  <si>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</si>
  <si>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</si>
  <si>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</si>
  <si>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</si>
  <si>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</si>
  <si>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</si>
  <si>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</si>
  <si>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</si>
  <si>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</si>
  <si>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</si>
  <si>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</si>
  <si>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</si>
  <si>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</si>
  <si>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</si>
  <si>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</si>
  <si>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</si>
  <si>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</si>
  <si>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</si>
  <si>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</si>
  <si>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</si>
  <si>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</si>
  <si>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</si>
  <si>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</si>
  <si>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</si>
  <si>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</si>
  <si>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</si>
  <si>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</si>
  <si>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</si>
  <si>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</si>
  <si>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</si>
  <si>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</si>
  <si>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</si>
  <si>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</si>
  <si>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</si>
  <si>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</si>
  <si>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</si>
  <si>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</si>
  <si>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</si>
  <si>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</si>
  <si>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</si>
  <si>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</si>
  <si>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</si>
  <si>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</si>
  <si>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</si>
  <si>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</si>
  <si>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</si>
  <si>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</si>
  <si>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</si>
  <si>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</si>
  <si>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</si>
  <si>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</si>
  <si>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</si>
  <si>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</si>
  <si>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</si>
  <si>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</si>
  <si>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</si>
  <si>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</si>
  <si>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</si>
  <si>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</si>
  <si>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</si>
  <si>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</si>
  <si>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</si>
  <si>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</si>
  <si>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</si>
  <si>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</si>
  <si>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</si>
  <si>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</si>
  <si>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</si>
  <si>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</si>
  <si>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</si>
  <si>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</si>
  <si>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</si>
  <si>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</si>
  <si>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</si>
  <si>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</si>
  <si>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</si>
  <si>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</si>
  <si>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</si>
  <si>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</si>
  <si>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</si>
  <si>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</si>
  <si>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</si>
  <si>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</si>
  <si>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</si>
  <si>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</si>
  <si>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</si>
  <si>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</si>
  <si>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</si>
  <si>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</si>
  <si>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</si>
  <si>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</si>
  <si>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</si>
  <si>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</si>
  <si>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</si>
  <si>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</si>
  <si>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</si>
  <si>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</si>
  <si>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</si>
  <si>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</si>
  <si>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</si>
  <si>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</si>
  <si>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</si>
  <si>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</si>
  <si>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</si>
  <si>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</si>
  <si>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</si>
  <si>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</si>
  <si>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</si>
  <si>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</si>
  <si>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</si>
  <si>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</si>
  <si>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</si>
  <si>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</si>
  <si>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</si>
  <si>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</si>
  <si>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</si>
  <si>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</si>
  <si>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</si>
  <si>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</si>
  <si>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</si>
  <si>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</si>
  <si>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</si>
  <si>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</si>
  <si>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</si>
  <si>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</si>
  <si>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</si>
  <si>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</si>
  <si>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</si>
  <si>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</si>
  <si>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</si>
  <si>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</si>
  <si>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</si>
  <si>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</si>
  <si>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</si>
  <si>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</si>
  <si>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</si>
  <si>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</si>
  <si>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</si>
  <si>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</si>
  <si>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</si>
  <si>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</si>
  <si>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</si>
  <si>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</si>
  <si>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</si>
  <si>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</si>
  <si>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</si>
  <si>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</si>
  <si>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</si>
  <si>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</si>
  <si>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</si>
  <si>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</si>
  <si>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</si>
  <si>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</si>
  <si>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</si>
  <si>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</si>
  <si>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</si>
  <si>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</si>
  <si>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</si>
  <si>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</si>
  <si>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</si>
  <si>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</si>
  <si>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</si>
  <si>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</si>
  <si>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</si>
  <si>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</si>
  <si>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</si>
  <si>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</si>
  <si>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</si>
  <si>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</si>
  <si>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</si>
  <si>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</si>
  <si>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</si>
  <si>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</si>
  <si>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</si>
  <si>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</si>
  <si>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</si>
  <si>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</si>
  <si>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</si>
  <si>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</si>
  <si>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</si>
  <si>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</si>
  <si>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</si>
  <si>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</si>
  <si>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</si>
  <si>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</si>
  <si>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</si>
  <si>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</si>
  <si>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</si>
  <si>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</si>
  <si>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</si>
  <si>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</si>
  <si>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</si>
  <si>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</si>
  <si>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</si>
  <si>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</si>
  <si>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</si>
  <si>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</si>
  <si>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</si>
  <si>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</si>
  <si>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</si>
  <si>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</si>
  <si>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</si>
  <si>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</si>
  <si>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</si>
  <si>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</si>
  <si>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</si>
  <si>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</si>
  <si>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</si>
  <si>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</si>
  <si>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</si>
  <si>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</si>
  <si>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</si>
  <si>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</si>
  <si>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</si>
  <si>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</si>
  <si>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</si>
  <si>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</si>
  <si>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</si>
  <si>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</si>
  <si>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</si>
  <si>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</si>
  <si>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</si>
  <si>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</si>
  <si>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</si>
  <si>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</si>
  <si>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</si>
  <si>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</si>
  <si>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</si>
  <si>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</si>
  <si>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</si>
  <si>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</si>
  <si>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</si>
  <si>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</si>
  <si>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</si>
  <si>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</si>
  <si>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</si>
  <si>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</si>
  <si>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</si>
  <si>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</si>
  <si>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</si>
  <si>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</si>
  <si>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</si>
  <si>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</si>
  <si>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</si>
  <si>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</si>
  <si>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</si>
  <si>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</si>
  <si>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</si>
  <si>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</si>
  <si>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</si>
  <si>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</si>
  <si>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</si>
  <si>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</si>
  <si>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</si>
  <si>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</si>
  <si>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</si>
  <si>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</si>
  <si>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</si>
  <si>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</si>
  <si>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</si>
  <si>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</si>
  <si>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</si>
  <si>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</si>
  <si>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</si>
  <si>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</si>
  <si>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</si>
  <si>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</si>
  <si>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</si>
  <si>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</si>
  <si>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</si>
  <si>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</si>
  <si>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</si>
  <si>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</si>
  <si>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</si>
  <si>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</si>
  <si>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</si>
  <si>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</si>
  <si>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</si>
  <si>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</si>
  <si>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</si>
  <si>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</si>
  <si>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</si>
  <si>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</si>
  <si>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</si>
  <si>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</si>
  <si>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</si>
  <si>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</si>
  <si>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</si>
  <si>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</si>
  <si>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</si>
  <si>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</si>
  <si>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</si>
  <si>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</si>
  <si>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</si>
  <si>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</si>
  <si>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</si>
  <si>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</si>
  <si>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</si>
  <si>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</si>
  <si>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</si>
  <si>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</si>
  <si>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</si>
  <si>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</si>
  <si>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</si>
  <si>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</si>
  <si>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</si>
  <si>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</si>
  <si>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</si>
  <si>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</si>
  <si>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</si>
  <si>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</si>
  <si>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</si>
  <si>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</si>
  <si>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</si>
  <si>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</si>
  <si>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</si>
  <si>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</si>
  <si>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</si>
  <si>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</si>
  <si>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</si>
  <si>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</si>
  <si>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</si>
  <si>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</si>
  <si>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</si>
  <si>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</si>
  <si>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</si>
  <si>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</si>
  <si>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</si>
  <si>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</si>
  <si>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</si>
  <si>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</si>
  <si>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</si>
  <si>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</si>
  <si>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</si>
  <si>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</si>
  <si>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</si>
  <si>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</si>
  <si>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</si>
  <si>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</si>
  <si>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</si>
  <si>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</si>
  <si>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</si>
  <si>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</si>
  <si>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</si>
  <si>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</si>
  <si>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</si>
  <si>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</si>
  <si>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</si>
  <si>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</si>
  <si>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</si>
  <si>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</si>
  <si>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</si>
  <si>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</si>
  <si>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</si>
  <si>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</si>
  <si>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</si>
  <si>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</si>
  <si>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</si>
  <si>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</si>
  <si>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</si>
  <si>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</si>
  <si>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</si>
  <si>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</si>
  <si>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</si>
  <si>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</si>
  <si>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</si>
  <si>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</si>
  <si>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</si>
  <si>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</si>
  <si>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</si>
  <si>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</si>
  <si>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</si>
  <si>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</si>
  <si>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</si>
  <si>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</si>
  <si>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</si>
  <si>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</si>
  <si>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</si>
  <si>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</si>
  <si>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</si>
  <si>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</si>
  <si>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</si>
  <si>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</si>
  <si>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</si>
  <si>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</si>
  <si>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</si>
  <si>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</si>
  <si>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</si>
  <si>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</si>
  <si>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</si>
  <si>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</si>
  <si>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</si>
  <si>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</si>
  <si>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</si>
  <si>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</si>
  <si>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</si>
  <si>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</si>
  <si>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</si>
  <si>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</si>
  <si>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</si>
  <si>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</si>
  <si>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</si>
  <si>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</si>
  <si>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</si>
  <si>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</si>
  <si>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</si>
  <si>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</si>
  <si>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</si>
  <si>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</si>
  <si>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</si>
  <si>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</si>
  <si>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</si>
  <si>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</si>
  <si>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</si>
  <si>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</si>
  <si>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</si>
  <si>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</si>
  <si>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</si>
  <si>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</si>
  <si>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</si>
  <si>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</si>
  <si>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</si>
  <si>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</si>
  <si>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</si>
  <si>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</si>
  <si>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</si>
  <si>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</si>
  <si>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</si>
  <si>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</si>
  <si>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</si>
  <si>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</si>
  <si>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</si>
  <si>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</si>
  <si>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</si>
  <si>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</si>
  <si>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</si>
  <si>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</si>
  <si>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</si>
  <si>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</si>
  <si>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</si>
  <si>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</si>
  <si>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</si>
  <si>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</si>
  <si>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</si>
  <si>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</si>
  <si>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</si>
  <si>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</si>
  <si>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</si>
  <si>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</si>
  <si>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</si>
  <si>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</si>
  <si>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</si>
  <si>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</si>
  <si>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</si>
  <si>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</si>
  <si>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</si>
  <si>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</si>
  <si>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</si>
  <si>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</si>
  <si>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</si>
  <si>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</si>
  <si>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</si>
  <si>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</si>
  <si>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</si>
  <si>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</si>
  <si>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</si>
  <si>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</si>
  <si>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</si>
  <si>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</si>
  <si>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</si>
  <si>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</si>
  <si>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</si>
  <si>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</si>
  <si>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</si>
  <si>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</si>
  <si>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</si>
  <si>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</si>
  <si>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</si>
  <si>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</si>
  <si>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</si>
  <si>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</si>
  <si>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</si>
  <si>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</si>
  <si>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</si>
  <si>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</si>
  <si>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</si>
  <si>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</si>
  <si>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</si>
  <si>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</si>
  <si>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</si>
  <si>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</si>
  <si>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</si>
  <si>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</si>
  <si>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</si>
  <si>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</si>
  <si>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</si>
  <si>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</si>
  <si>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</si>
  <si>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</si>
  <si>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</si>
  <si>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</si>
  <si>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</si>
  <si>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</si>
  <si>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</si>
  <si>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</si>
  <si>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</si>
  <si>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</si>
  <si>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</si>
  <si>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</si>
  <si>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</si>
  <si>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</si>
  <si>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</si>
  <si>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</si>
  <si>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</si>
  <si>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</si>
  <si>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</si>
  <si>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</si>
  <si>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</si>
  <si>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</si>
  <si>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</si>
  <si>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</si>
  <si>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</si>
  <si>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</si>
  <si>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</si>
  <si>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</si>
  <si>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</si>
  <si>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</si>
  <si>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</si>
  <si>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</si>
  <si>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</si>
  <si>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</si>
  <si>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</si>
  <si>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</si>
  <si>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</si>
  <si>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</si>
  <si>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</si>
  <si>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</si>
  <si>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</si>
  <si>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</si>
  <si>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</si>
  <si>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</si>
  <si>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</si>
  <si>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</si>
  <si>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</si>
  <si>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</si>
  <si>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</si>
  <si>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</si>
  <si>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</si>
  <si>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</si>
  <si>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</si>
  <si>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</si>
  <si>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</si>
  <si>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</si>
  <si>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</si>
  <si>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</si>
  <si>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</si>
  <si>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</si>
  <si>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</si>
  <si>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</si>
  <si>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</si>
  <si>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</si>
  <si>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</si>
  <si>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</si>
  <si>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</si>
  <si>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</si>
  <si>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</si>
  <si>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</si>
  <si>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</si>
  <si>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</si>
  <si>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</si>
  <si>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</si>
  <si>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</si>
  <si>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</si>
  <si>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</si>
  <si>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</si>
  <si>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</si>
  <si>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</si>
  <si>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</si>
  <si>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</si>
  <si>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</si>
  <si>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</si>
  <si>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</si>
  <si>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</si>
  <si>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</si>
  <si>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</si>
  <si>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</si>
  <si>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</si>
  <si>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</si>
  <si>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</si>
  <si>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</si>
  <si>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</si>
  <si>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</si>
  <si>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</si>
  <si>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</si>
  <si>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</si>
  <si>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</si>
  <si>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</si>
  <si>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</si>
  <si>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</si>
  <si>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</si>
  <si>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</si>
  <si>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</si>
  <si>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</si>
  <si>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</si>
  <si>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</si>
  <si>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</si>
  <si>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</si>
  <si>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</si>
  <si>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</si>
  <si>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</si>
  <si>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</si>
  <si>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</si>
  <si>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</si>
  <si>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</si>
  <si>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</si>
  <si>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</si>
  <si>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</si>
  <si>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</si>
  <si>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</si>
  <si>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</si>
  <si>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</si>
  <si>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</si>
  <si>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</si>
  <si>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</si>
  <si>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</si>
  <si>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</si>
  <si>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</si>
  <si>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</si>
  <si>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</si>
  <si>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</si>
  <si>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</si>
  <si>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</si>
  <si>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</si>
  <si>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</si>
  <si>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</si>
  <si>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</si>
  <si>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</si>
  <si>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</si>
  <si>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</si>
  <si>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</si>
  <si>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</si>
  <si>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</si>
  <si>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</si>
  <si>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</si>
  <si>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</si>
  <si>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</si>
  <si>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</si>
  <si>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</si>
  <si>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</si>
  <si>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</si>
  <si>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</si>
  <si>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</si>
  <si>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</si>
  <si>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</si>
  <si>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</si>
  <si>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</si>
  <si>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</si>
  <si>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</si>
  <si>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</si>
  <si>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</si>
  <si>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</si>
  <si>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</si>
  <si>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</si>
  <si>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</si>
  <si>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</si>
  <si>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</si>
  <si>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</si>
  <si>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</si>
  <si>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</si>
  <si>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</si>
  <si>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</si>
  <si>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</si>
  <si>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</si>
  <si>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</si>
  <si>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</si>
  <si>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</si>
  <si>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</si>
  <si>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</si>
  <si>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</si>
  <si>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</si>
  <si>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</si>
  <si>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</si>
  <si>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</si>
  <si>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</si>
  <si>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</si>
  <si>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</si>
  <si>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</si>
  <si>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</si>
  <si>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</si>
  <si>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</si>
  <si>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</si>
  <si>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</si>
  <si>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</si>
  <si>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</si>
  <si>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</si>
  <si>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</si>
  <si>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</si>
  <si>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</si>
  <si>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</si>
  <si>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</si>
  <si>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</si>
  <si>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</si>
  <si>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</si>
  <si>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</si>
  <si>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</si>
  <si>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</si>
  <si>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</si>
  <si>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</si>
  <si>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</si>
  <si>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</si>
  <si>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</si>
  <si>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</si>
  <si>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</si>
  <si>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</si>
  <si>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</si>
  <si>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</si>
  <si>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</si>
  <si>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</si>
  <si>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</si>
  <si>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</si>
  <si>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</si>
  <si>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</si>
  <si>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</si>
  <si>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</si>
  <si>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</si>
  <si>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</si>
  <si>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</si>
  <si>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</si>
  <si>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</si>
  <si>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</si>
  <si>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</si>
  <si>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</si>
  <si>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</si>
  <si>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</si>
  <si>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</si>
  <si>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</si>
  <si>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</si>
  <si>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</si>
  <si>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</si>
  <si>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</si>
  <si>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</si>
  <si>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</si>
  <si>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</si>
  <si>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</si>
  <si>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</si>
  <si>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</si>
  <si>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</si>
  <si>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</si>
  <si>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</si>
  <si>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</si>
  <si>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</si>
  <si>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</si>
  <si>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</si>
  <si>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</si>
  <si>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</si>
  <si>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</si>
  <si>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</si>
  <si>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</si>
  <si>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</si>
  <si>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</si>
  <si>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</si>
  <si>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</si>
  <si>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</si>
  <si>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</si>
  <si>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</si>
  <si>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</si>
  <si>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</si>
  <si>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</si>
  <si>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</si>
  <si>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</si>
  <si>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</si>
  <si>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</si>
  <si>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</si>
  <si>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</si>
  <si>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</si>
  <si>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</si>
  <si>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</si>
  <si>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</si>
  <si>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</si>
  <si>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</si>
  <si>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</si>
  <si>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</si>
  <si>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</si>
  <si>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</si>
  <si>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</si>
  <si>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</si>
  <si>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</si>
  <si>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</si>
  <si>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</si>
  <si>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</si>
  <si>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</si>
  <si>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</si>
  <si>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</si>
  <si>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</si>
  <si>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</si>
  <si>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</si>
  <si>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</si>
  <si>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</si>
  <si>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</si>
  <si>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</si>
  <si>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</si>
  <si>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</si>
  <si>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</si>
  <si>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</si>
  <si>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</si>
  <si>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</si>
  <si>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</si>
  <si>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</si>
  <si>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</si>
  <si>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</si>
  <si>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</si>
  <si>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</si>
  <si>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</si>
  <si>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</si>
  <si>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</si>
  <si>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</si>
  <si>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</si>
  <si>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</si>
  <si>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</si>
  <si>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</si>
  <si>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</si>
  <si>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</si>
  <si>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</si>
  <si>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</si>
  <si>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</si>
  <si>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</si>
  <si>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</si>
  <si>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</si>
  <si>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</si>
  <si>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</si>
  <si>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</si>
  <si>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</si>
  <si>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</si>
  <si>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</si>
  <si>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</si>
  <si>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</si>
  <si>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</si>
  <si>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</si>
  <si>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</si>
  <si>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</si>
  <si>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</si>
  <si>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</si>
  <si>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</si>
  <si>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</si>
  <si>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</si>
  <si>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</si>
  <si>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</si>
  <si>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</si>
  <si>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</si>
  <si>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</si>
  <si>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</si>
  <si>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</si>
  <si>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</si>
  <si>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</si>
  <si>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</si>
  <si>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</si>
  <si>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</si>
  <si>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</si>
  <si>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</si>
  <si>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</si>
  <si>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</si>
  <si>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</si>
  <si>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</si>
  <si>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</si>
  <si>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</si>
  <si>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</si>
  <si>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</si>
  <si>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</si>
  <si>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</si>
  <si>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</si>
  <si>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</si>
  <si>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</si>
  <si>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</si>
  <si>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</si>
  <si>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</si>
  <si>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</si>
  <si>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</si>
  <si>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</si>
  <si>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</si>
  <si>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</si>
  <si>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</si>
  <si>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</si>
  <si>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</si>
  <si>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</si>
  <si>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</si>
  <si>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</si>
  <si>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</si>
  <si>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</si>
  <si>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</si>
  <si>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</si>
  <si>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</si>
  <si>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</si>
  <si>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</si>
  <si>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</si>
  <si>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</si>
  <si>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</si>
  <si>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</si>
  <si>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</si>
  <si>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</si>
  <si>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</si>
  <si>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</si>
  <si>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</si>
  <si>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</si>
  <si>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</si>
  <si>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</si>
  <si>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</si>
  <si>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</si>
  <si>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</si>
  <si>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</si>
  <si>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</si>
  <si>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</si>
  <si>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</si>
  <si>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</si>
  <si>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</si>
  <si>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</si>
  <si>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</si>
  <si>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</si>
  <si>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</si>
  <si>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</si>
  <si>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</si>
  <si>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</si>
  <si>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</si>
  <si>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</si>
  <si>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</si>
  <si>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</si>
  <si>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</si>
  <si>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</si>
  <si>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</si>
  <si>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</si>
  <si>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</si>
  <si>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</si>
  <si>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</si>
  <si>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</si>
  <si>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</si>
  <si>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</si>
  <si>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</si>
  <si>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</si>
  <si>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</si>
  <si>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</si>
  <si>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</si>
  <si>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</si>
  <si>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</si>
  <si>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</si>
  <si>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</si>
  <si>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</si>
  <si>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</si>
  <si>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</si>
  <si>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</si>
  <si>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</si>
  <si>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</si>
  <si>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</si>
  <si>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</si>
  <si>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</si>
  <si>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</si>
  <si>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</si>
  <si>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</si>
  <si>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</si>
  <si>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</si>
  <si>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</si>
  <si>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</si>
  <si>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</si>
  <si>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</si>
  <si>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</si>
  <si>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</si>
  <si>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</si>
  <si>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</si>
  <si>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</si>
  <si>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</si>
  <si>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</si>
  <si>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</si>
  <si>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</si>
  <si>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</si>
  <si>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</si>
  <si>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</si>
  <si>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</si>
  <si>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</si>
  <si>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</si>
  <si>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</si>
  <si>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</si>
  <si>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</si>
  <si>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</si>
  <si>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</si>
  <si>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</si>
  <si>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</si>
  <si>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</si>
  <si>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</si>
  <si>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</si>
  <si>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</si>
  <si>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</si>
  <si>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</si>
  <si>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</si>
  <si>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</si>
  <si>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</si>
  <si>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</si>
  <si>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</si>
  <si>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</si>
  <si>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</si>
  <si>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</si>
  <si>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</si>
  <si>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</si>
  <si>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</si>
  <si>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</si>
  <si>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</si>
  <si>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</si>
  <si>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</si>
  <si>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</si>
  <si>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</si>
  <si>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</si>
  <si>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</si>
  <si>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</si>
  <si>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</si>
  <si>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</si>
  <si>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</si>
  <si>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</si>
  <si>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</si>
  <si>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</si>
  <si>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</si>
  <si>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</si>
  <si>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</si>
  <si>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</si>
  <si>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</si>
  <si>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</si>
  <si>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</si>
  <si>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</si>
  <si>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</si>
  <si>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</si>
  <si>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</si>
  <si>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</si>
  <si>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</si>
  <si>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</si>
  <si>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</si>
  <si>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</si>
  <si>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</si>
  <si>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</si>
  <si>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</si>
  <si>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</si>
  <si>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</si>
  <si>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</si>
  <si>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</si>
  <si>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</si>
  <si>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</si>
  <si>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</si>
  <si>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</si>
  <si>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</si>
  <si>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</si>
  <si>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</si>
  <si>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</si>
  <si>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</si>
  <si>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</si>
  <si>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</si>
  <si>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</si>
  <si>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</si>
  <si>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</si>
  <si>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</si>
  <si>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</si>
  <si>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</si>
  <si>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</si>
  <si>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</si>
  <si>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</si>
  <si>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</si>
  <si>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</si>
  <si>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</si>
  <si>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</si>
  <si>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</si>
  <si>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</si>
  <si>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</si>
  <si>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</si>
  <si>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</si>
  <si>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</si>
  <si>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</si>
  <si>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</si>
  <si>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</si>
  <si>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</si>
  <si>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</si>
  <si>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</si>
  <si>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</si>
  <si>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</si>
  <si>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</si>
  <si>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</si>
  <si>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</si>
  <si>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</si>
  <si>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</si>
  <si>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</si>
  <si>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</si>
  <si>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</si>
  <si>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</si>
  <si>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</si>
  <si>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</si>
  <si>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</si>
  <si>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</si>
  <si>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</si>
  <si>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</si>
  <si>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</si>
  <si>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</si>
  <si>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</si>
  <si>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</si>
  <si>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</si>
  <si>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</si>
  <si>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</si>
  <si>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</si>
  <si>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</si>
  <si>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</si>
  <si>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</si>
  <si>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</si>
  <si>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</si>
  <si>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</si>
  <si>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</si>
  <si>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</si>
  <si>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</si>
  <si>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</si>
  <si>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</si>
  <si>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</si>
  <si>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</si>
  <si>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</si>
  <si>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</si>
  <si>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</si>
  <si>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</si>
  <si>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</si>
  <si>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</si>
  <si>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</si>
  <si>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</si>
  <si>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</si>
  <si>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</si>
  <si>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</si>
  <si>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</si>
  <si>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</si>
  <si>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</si>
  <si>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</si>
  <si>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</si>
  <si>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</si>
  <si>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</si>
  <si>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</si>
  <si>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</si>
  <si>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</si>
  <si>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</si>
  <si>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</si>
  <si>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</si>
  <si>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</si>
  <si>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</si>
  <si>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</si>
  <si>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</si>
  <si>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</si>
  <si>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</si>
  <si>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</si>
  <si>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</si>
  <si>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</si>
  <si>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</si>
  <si>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</si>
  <si>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</si>
  <si>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</si>
  <si>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</si>
  <si>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</si>
  <si>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</si>
  <si>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</si>
  <si>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</si>
  <si>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</si>
  <si>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</si>
  <si>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</si>
  <si>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</si>
  <si>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</si>
  <si>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</si>
  <si>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</si>
  <si>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</si>
  <si>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</si>
  <si>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</si>
  <si>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</si>
  <si>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</si>
  <si>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</si>
  <si>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</si>
  <si>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</si>
  <si>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</si>
  <si>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</si>
  <si>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</si>
  <si>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</si>
  <si>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</si>
  <si>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</si>
  <si>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</si>
  <si>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</si>
  <si>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</si>
  <si>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</si>
  <si>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</si>
  <si>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</si>
  <si>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</si>
  <si>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</si>
  <si>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</si>
  <si>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</si>
  <si>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</si>
  <si>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</si>
  <si>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</si>
  <si>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</si>
  <si>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</si>
  <si>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</si>
  <si>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</si>
  <si>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</si>
  <si>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</si>
  <si>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</si>
  <si>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</si>
  <si>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</si>
  <si>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</si>
  <si>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</si>
  <si>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</si>
  <si>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</si>
  <si>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</si>
  <si>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</si>
  <si>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</si>
  <si>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</si>
  <si>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</si>
  <si>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</si>
  <si>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</si>
  <si>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</si>
  <si>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</si>
  <si>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</si>
  <si>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</si>
  <si>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</si>
  <si>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</si>
  <si>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</si>
  <si>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</si>
  <si>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</si>
  <si>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</si>
  <si>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</si>
  <si>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</si>
  <si>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</si>
  <si>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</si>
  <si>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</si>
  <si>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</si>
  <si>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</si>
  <si>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</si>
  <si>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</si>
  <si>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</si>
  <si>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</si>
  <si>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</si>
  <si>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</si>
  <si>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</si>
  <si>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</si>
  <si>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</si>
  <si>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</si>
  <si>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</si>
  <si>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</si>
  <si>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</si>
  <si>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</si>
  <si>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</si>
  <si>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</si>
  <si>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</si>
  <si>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</si>
  <si>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</si>
  <si>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</si>
  <si>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</si>
  <si>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</si>
  <si>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</si>
  <si>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</si>
  <si>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</si>
  <si>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</si>
  <si>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</si>
  <si>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</si>
  <si>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</si>
  <si>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</si>
  <si>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</si>
  <si>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</si>
  <si>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</si>
  <si>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</si>
  <si>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</si>
  <si>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</si>
  <si>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</si>
  <si>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</si>
  <si>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</si>
  <si>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</si>
  <si>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</si>
  <si>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</si>
  <si>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</si>
  <si>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</si>
  <si>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</si>
  <si>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</si>
  <si>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</si>
  <si>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</si>
  <si>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</si>
  <si>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</si>
  <si>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</si>
  <si>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</si>
  <si>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</si>
  <si>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</si>
  <si>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</si>
  <si>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</si>
  <si>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</si>
  <si>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</si>
  <si>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</si>
  <si>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</si>
  <si>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</si>
  <si>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</si>
  <si>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</si>
  <si>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</si>
  <si>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</si>
  <si>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</si>
  <si>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</si>
  <si>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</si>
  <si>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</si>
  <si>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</si>
  <si>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</si>
  <si>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</si>
  <si>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</si>
  <si>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</si>
  <si>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</si>
  <si>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</si>
  <si>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</si>
  <si>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</si>
  <si>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</si>
  <si>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</si>
  <si>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</si>
  <si>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</si>
  <si>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</si>
  <si>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</si>
  <si>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</si>
  <si>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</si>
  <si>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</si>
  <si>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</si>
  <si>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</si>
  <si>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</si>
  <si>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</si>
  <si>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</si>
  <si>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</si>
  <si>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</si>
  <si>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</si>
  <si>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</si>
  <si>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</si>
  <si>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</si>
  <si>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</si>
  <si>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</si>
  <si>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</si>
  <si>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</si>
  <si>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</si>
  <si>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</si>
  <si>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</si>
  <si>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</si>
  <si>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</si>
  <si>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</si>
  <si>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</si>
  <si>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</si>
  <si>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</si>
  <si>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</si>
  <si>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</si>
  <si>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</si>
  <si>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</si>
  <si>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</si>
  <si>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</si>
  <si>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</si>
  <si>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</si>
  <si>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</si>
  <si>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</si>
  <si>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</si>
  <si>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</si>
  <si>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</si>
  <si>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</si>
  <si>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</si>
  <si>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</si>
  <si>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</si>
  <si>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</si>
  <si>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</si>
  <si>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</si>
  <si>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</si>
  <si>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</si>
  <si>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</si>
  <si>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</si>
  <si>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</si>
  <si>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</si>
  <si>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</si>
  <si>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</si>
  <si>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</si>
  <si>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</si>
  <si>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</si>
  <si>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</si>
  <si>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</si>
  <si>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</si>
  <si>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</si>
  <si>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</si>
  <si>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</si>
  <si>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</si>
  <si>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</si>
  <si>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</si>
  <si>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</si>
  <si>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</si>
  <si>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</si>
  <si>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</si>
  <si>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</si>
  <si>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</si>
  <si>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</si>
  <si>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</si>
  <si>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</si>
  <si>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</si>
  <si>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</si>
  <si>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</si>
  <si>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</si>
  <si>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</si>
  <si>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</si>
  <si>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</si>
  <si>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</si>
  <si>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</si>
  <si>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</si>
  <si>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</si>
  <si>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</si>
  <si>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</si>
  <si>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</si>
  <si>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</si>
  <si>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</si>
  <si>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</si>
  <si>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</si>
  <si>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</si>
  <si>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</si>
  <si>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</si>
  <si>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</si>
  <si>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</si>
  <si>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</si>
  <si>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</si>
  <si>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</si>
  <si>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</si>
  <si>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</si>
  <si>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</si>
  <si>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</si>
  <si>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</si>
  <si>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</si>
  <si>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</si>
  <si>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</si>
  <si>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</si>
  <si>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</si>
  <si>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</si>
  <si>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</si>
  <si>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</si>
  <si>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</si>
  <si>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</si>
  <si>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</si>
  <si>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</si>
  <si>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</si>
  <si>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</si>
  <si>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</si>
  <si>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</si>
  <si>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</si>
  <si>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</si>
  <si>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</si>
  <si>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</si>
  <si>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</si>
  <si>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</si>
  <si>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</si>
  <si>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</si>
  <si>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</si>
  <si>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</si>
  <si>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</si>
  <si>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</si>
  <si>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</si>
  <si>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</si>
  <si>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</si>
  <si>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</si>
  <si>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</si>
  <si>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</si>
  <si>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</si>
  <si>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</si>
  <si>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</si>
  <si>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</si>
  <si>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</si>
  <si>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</si>
  <si>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</si>
  <si>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</si>
  <si>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</si>
  <si>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</si>
  <si>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</si>
  <si>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</si>
  <si>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</si>
  <si>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</si>
  <si>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</si>
  <si>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</si>
  <si>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</si>
  <si>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</si>
  <si>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</si>
  <si>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</si>
  <si>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</si>
  <si>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</si>
  <si>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</si>
  <si>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</si>
  <si>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</si>
  <si>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</si>
  <si>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</si>
  <si>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</si>
  <si>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</si>
  <si>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</si>
  <si>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</si>
  <si>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</si>
  <si>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</si>
  <si>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</si>
  <si>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</si>
  <si>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</si>
  <si>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</si>
  <si>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</si>
  <si>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</si>
  <si>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</si>
  <si>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</si>
  <si>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</si>
  <si>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</si>
  <si>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</si>
  <si>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</si>
  <si>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</si>
  <si>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</si>
  <si>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</si>
  <si>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</si>
  <si>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</si>
  <si>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</si>
  <si>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</si>
  <si>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</si>
  <si>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</si>
  <si>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</si>
  <si>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</si>
  <si>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</si>
  <si>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</si>
  <si>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</si>
  <si>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</si>
  <si>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</si>
  <si>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</si>
  <si>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</si>
  <si>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</si>
  <si>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</si>
  <si>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</si>
  <si>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</si>
  <si>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</si>
  <si>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</si>
  <si>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</si>
  <si>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</si>
  <si>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</si>
  <si>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</si>
  <si>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</si>
  <si>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</si>
  <si>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</si>
  <si>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</si>
  <si>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</si>
  <si>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</si>
  <si>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</si>
  <si>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</si>
  <si>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</si>
  <si>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</si>
  <si>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</si>
  <si>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</si>
  <si>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</si>
  <si>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</si>
  <si>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</si>
  <si>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</si>
  <si>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</si>
  <si>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</si>
  <si>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</si>
  <si>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</si>
  <si>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</si>
  <si>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</si>
  <si>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</si>
  <si>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</si>
  <si>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</si>
  <si>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</si>
  <si>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</si>
  <si>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</si>
  <si>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</si>
  <si>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</si>
  <si>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</si>
  <si>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</si>
  <si>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</si>
  <si>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</si>
  <si>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</si>
  <si>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</si>
  <si>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</si>
  <si>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</si>
  <si>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</si>
  <si>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</si>
  <si>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</si>
  <si>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</si>
  <si>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</si>
  <si>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</si>
  <si>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</si>
  <si>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</si>
  <si>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</si>
  <si>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</si>
  <si>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</si>
  <si>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</si>
  <si>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</si>
  <si>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</si>
  <si>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</si>
  <si>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</si>
  <si>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</si>
  <si>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</si>
  <si>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</si>
  <si>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</si>
  <si>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</si>
  <si>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</si>
  <si>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</si>
  <si>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</si>
  <si>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</si>
  <si>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</si>
  <si>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</si>
  <si>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</si>
  <si>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</si>
  <si>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</si>
  <si>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</si>
  <si>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</si>
  <si>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</si>
  <si>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</si>
  <si>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</si>
  <si>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</si>
  <si>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</si>
  <si>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</si>
  <si>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</si>
  <si>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</si>
  <si>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</si>
  <si>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</si>
  <si>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</si>
  <si>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</si>
  <si>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</si>
  <si>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</si>
  <si>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</si>
  <si>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</si>
  <si>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</si>
  <si>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</si>
  <si>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</si>
  <si>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</si>
  <si>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</si>
  <si>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</si>
  <si>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</si>
  <si>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</si>
  <si>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</si>
  <si>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</si>
  <si>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</si>
  <si>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</si>
  <si>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</si>
  <si>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</si>
  <si>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</si>
  <si>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</si>
  <si>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</si>
  <si>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</si>
  <si>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</si>
  <si>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</si>
  <si>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</si>
  <si>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</si>
  <si>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</si>
  <si>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</si>
  <si>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</si>
  <si>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</si>
  <si>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</si>
  <si>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</si>
  <si>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</si>
  <si>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</si>
  <si>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</si>
  <si>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</si>
  <si>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</si>
  <si>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</si>
  <si>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</si>
  <si>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</si>
  <si>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</si>
  <si>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</si>
  <si>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</si>
  <si>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</si>
  <si>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</si>
  <si>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</si>
  <si>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</si>
  <si>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</si>
  <si>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</si>
  <si>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</si>
  <si>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</si>
  <si>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</si>
  <si>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</si>
  <si>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</si>
  <si>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</si>
  <si>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</si>
  <si>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</si>
  <si>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</si>
  <si>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</si>
  <si>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</si>
  <si>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</si>
  <si>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</si>
  <si>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</si>
  <si>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</si>
  <si>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</si>
  <si>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</si>
  <si>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</si>
  <si>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</si>
  <si>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</si>
  <si>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</si>
  <si>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</si>
  <si>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</si>
  <si>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</si>
  <si>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</si>
  <si>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</si>
  <si>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</si>
  <si>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</si>
  <si>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</si>
  <si>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</si>
  <si>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</si>
  <si>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</si>
  <si>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</si>
  <si>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</si>
  <si>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</si>
  <si>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</si>
  <si>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</si>
  <si>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</si>
  <si>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</si>
  <si>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</si>
  <si>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</si>
  <si>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</si>
  <si>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</si>
  <si>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</si>
  <si>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</si>
  <si>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</si>
  <si>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</si>
  <si>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</si>
  <si>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</si>
  <si>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</si>
  <si>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</si>
  <si>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</si>
  <si>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</si>
  <si>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</si>
  <si>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</si>
  <si>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</si>
  <si>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</si>
  <si>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</si>
  <si>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</si>
  <si>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</si>
  <si>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</si>
  <si>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</si>
  <si>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</si>
  <si>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</si>
  <si>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</si>
  <si>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</si>
  <si>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</si>
  <si>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</si>
  <si>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</si>
  <si>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</si>
  <si>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</si>
  <si>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</si>
  <si>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</si>
  <si>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</si>
  <si>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</si>
  <si>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</si>
  <si>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</si>
  <si>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</si>
  <si>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</si>
  <si>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</si>
  <si>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</si>
  <si>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</si>
  <si>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</si>
  <si>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</si>
  <si>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</si>
  <si>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</si>
  <si>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</si>
  <si>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</si>
  <si>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</si>
  <si>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</si>
  <si>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</si>
  <si>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</si>
  <si>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</si>
  <si>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</si>
  <si>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</si>
  <si>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</si>
  <si>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</si>
  <si>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</si>
  <si>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</si>
  <si>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</si>
  <si>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</si>
  <si>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</si>
  <si>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</si>
  <si>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</si>
  <si>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</si>
  <si>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</si>
  <si>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</si>
  <si>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</si>
  <si>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</si>
  <si>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</si>
  <si>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</si>
  <si>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</si>
  <si>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</si>
  <si>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</si>
  <si>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</si>
  <si>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</si>
  <si>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</si>
  <si>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</si>
  <si>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</si>
  <si>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</si>
  <si>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</si>
  <si>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</si>
  <si>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</si>
  <si>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</si>
  <si>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</si>
  <si>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</si>
  <si>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</si>
  <si>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</si>
  <si>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</si>
  <si>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</si>
  <si>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</si>
  <si>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</si>
  <si>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</si>
  <si>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</si>
  <si>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</si>
  <si>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</si>
  <si>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</si>
  <si>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</si>
  <si>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</si>
  <si>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</si>
  <si>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</si>
  <si>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</si>
  <si>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</si>
  <si>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</si>
  <si>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</si>
  <si>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</si>
  <si>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</si>
  <si>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</si>
  <si>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</si>
  <si>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</si>
  <si>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</si>
  <si>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</si>
  <si>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</si>
  <si>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</si>
  <si>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</si>
  <si>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</si>
  <si>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</si>
  <si>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</si>
  <si>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</si>
  <si>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</si>
  <si>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</si>
  <si>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</si>
  <si>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</si>
  <si>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</si>
  <si>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</si>
  <si>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</si>
  <si>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</si>
  <si>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</si>
  <si>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</si>
  <si>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</si>
  <si>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</si>
  <si>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</si>
  <si>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</si>
  <si>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</si>
  <si>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</si>
  <si>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</si>
  <si>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</si>
  <si>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</si>
  <si>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</si>
  <si>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</si>
  <si>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</si>
  <si>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</si>
  <si>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</si>
  <si>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</si>
  <si>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</si>
  <si>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</si>
  <si>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</si>
  <si>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</si>
  <si>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</si>
  <si>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</si>
  <si>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</si>
  <si>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</si>
  <si>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</si>
  <si>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</si>
  <si>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</si>
  <si>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</si>
  <si>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</si>
  <si>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</si>
  <si>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</si>
  <si>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</si>
  <si>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</si>
  <si>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</si>
  <si>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</si>
  <si>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</si>
  <si>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</si>
  <si>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</si>
  <si>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</si>
  <si>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</si>
  <si>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</si>
  <si>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</si>
  <si>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</si>
  <si>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</si>
  <si>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</si>
  <si>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</si>
  <si>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</si>
  <si>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</si>
  <si>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</si>
  <si>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</si>
  <si>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</si>
  <si>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</si>
  <si>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</si>
  <si>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</si>
  <si>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</si>
  <si>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</si>
  <si>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</si>
  <si>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</si>
  <si>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</si>
  <si>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</si>
  <si>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</si>
  <si>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</si>
  <si>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</si>
  <si>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</si>
  <si>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</si>
  <si>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</si>
  <si>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</si>
  <si>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</si>
  <si>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</si>
  <si>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</si>
  <si>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</si>
  <si>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</si>
  <si>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</si>
  <si>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</si>
  <si>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</si>
  <si>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</si>
  <si>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</si>
  <si>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</si>
  <si>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</si>
  <si>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</si>
  <si>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</si>
  <si>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</si>
  <si>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</si>
  <si>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</si>
  <si>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</si>
  <si>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</si>
  <si>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</si>
  <si>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</si>
  <si>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</si>
  <si>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</si>
  <si>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</si>
  <si>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</si>
  <si>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</si>
  <si>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</si>
  <si>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</si>
  <si>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</si>
  <si>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</si>
  <si>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</si>
  <si>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</si>
  <si>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</si>
  <si>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</si>
  <si>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</si>
  <si>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</si>
  <si>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</si>
  <si>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</si>
  <si>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</si>
  <si>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</si>
  <si>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</si>
  <si>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</si>
  <si>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</si>
  <si>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</si>
  <si>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</si>
  <si>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</si>
  <si>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</si>
  <si>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</si>
  <si>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</si>
  <si>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</si>
  <si>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</si>
  <si>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</si>
  <si>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</si>
  <si>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</si>
  <si>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</si>
  <si>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</si>
  <si>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</si>
  <si>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</si>
  <si>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</si>
  <si>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</si>
  <si>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</si>
  <si>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</si>
  <si>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</si>
  <si>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</si>
  <si>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</si>
  <si>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</si>
  <si>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</si>
  <si>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</si>
  <si>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</si>
  <si>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</si>
  <si>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</si>
  <si>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</si>
  <si>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</si>
  <si>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</si>
  <si>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</si>
  <si>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</si>
  <si>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</si>
  <si>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</si>
  <si>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</si>
  <si>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</si>
  <si>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</si>
  <si>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</si>
  <si>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</si>
  <si>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</si>
  <si>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</si>
  <si>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</si>
  <si>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</si>
  <si>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</si>
  <si>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</si>
  <si>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</si>
  <si>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</si>
  <si>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</si>
  <si>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</si>
  <si>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</si>
  <si>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</si>
  <si>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</si>
  <si>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</si>
  <si>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</si>
  <si>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</si>
  <si>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</si>
  <si>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</si>
  <si>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</si>
  <si>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</si>
  <si>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</si>
  <si>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</si>
  <si>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</si>
  <si>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</si>
  <si>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</si>
  <si>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</si>
  <si>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</si>
  <si>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</si>
  <si>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</si>
  <si>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</si>
  <si>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</si>
  <si>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</si>
  <si>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</si>
  <si>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</si>
  <si>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</si>
  <si>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</si>
  <si>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</si>
  <si>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</si>
  <si>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</si>
  <si>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</si>
  <si>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</si>
  <si>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</si>
  <si>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</si>
  <si>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</si>
  <si>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</si>
  <si>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</si>
  <si>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</si>
  <si>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</si>
  <si>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</si>
  <si>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</si>
  <si>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</si>
  <si>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</si>
  <si>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</si>
  <si>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</si>
  <si>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</si>
  <si>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</si>
  <si>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</si>
  <si>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</si>
  <si>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</si>
  <si>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</si>
  <si>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</si>
  <si>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</si>
  <si>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</si>
  <si>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</si>
  <si>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</si>
  <si>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</si>
  <si>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</si>
  <si>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</si>
  <si>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</si>
  <si>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</si>
  <si>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</si>
  <si>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</si>
  <si>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</si>
  <si>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</si>
  <si>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</si>
  <si>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</si>
  <si>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</si>
  <si>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</si>
  <si>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</si>
  <si>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</si>
  <si>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</si>
  <si>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</si>
  <si>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</si>
  <si>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</si>
  <si>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</si>
  <si>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</si>
  <si>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</si>
  <si>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</si>
  <si>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</si>
  <si>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</si>
  <si>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</si>
  <si>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</si>
  <si>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</si>
  <si>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</si>
  <si>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</si>
  <si>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</si>
  <si>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</si>
  <si>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</si>
  <si>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</si>
  <si>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</si>
  <si>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</si>
  <si>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</si>
  <si>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</si>
  <si>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</si>
  <si>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</si>
  <si>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</si>
  <si>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</si>
  <si>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</si>
  <si>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</si>
  <si>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</si>
  <si>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</si>
  <si>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</si>
  <si>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</si>
  <si>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</si>
  <si>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</si>
  <si>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</si>
  <si>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</si>
  <si>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</si>
  <si>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</si>
  <si>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</si>
  <si>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</si>
  <si>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</si>
  <si>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</si>
  <si>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</si>
  <si>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</si>
  <si>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</si>
  <si>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</si>
  <si>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</si>
  <si>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</si>
  <si>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</si>
  <si>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</si>
  <si>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</si>
  <si>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</si>
  <si>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</si>
  <si>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</si>
  <si>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</si>
  <si>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</si>
  <si>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</si>
  <si>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</si>
  <si>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</si>
  <si>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</si>
  <si>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</si>
  <si>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</si>
  <si>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</si>
  <si>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</si>
  <si>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</si>
  <si>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</si>
  <si>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</si>
  <si>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</si>
  <si>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</si>
  <si>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</si>
  <si>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</si>
  <si>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</si>
  <si>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</si>
  <si>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</si>
  <si>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</si>
  <si>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</si>
  <si>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</si>
  <si>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</si>
  <si>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</si>
  <si>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</si>
  <si>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</si>
  <si>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</si>
  <si>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</si>
  <si>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</si>
  <si>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</si>
  <si>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</si>
  <si>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</si>
  <si>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</si>
  <si>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</si>
  <si>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</si>
  <si>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</si>
  <si>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</si>
  <si>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</si>
  <si>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</si>
  <si>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</si>
  <si>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</si>
  <si>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</si>
  <si>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</si>
  <si>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</si>
  <si>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</si>
  <si>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</si>
  <si>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</si>
  <si>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</si>
  <si>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</si>
  <si>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</si>
  <si>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</si>
  <si>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</si>
  <si>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</si>
  <si>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</si>
  <si>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</si>
  <si>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</si>
  <si>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</si>
  <si>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</si>
  <si>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</si>
  <si>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</si>
  <si>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</si>
  <si>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</si>
  <si>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</si>
  <si>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</si>
  <si>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</si>
  <si>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</si>
  <si>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</si>
  <si>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</si>
  <si>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</si>
  <si>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</si>
  <si>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</si>
  <si>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</si>
  <si>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</si>
  <si>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</si>
  <si>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</si>
  <si>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</si>
  <si>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</si>
  <si>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</si>
  <si>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</si>
  <si>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</si>
  <si>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</si>
  <si>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</si>
  <si>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</si>
  <si>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</si>
  <si>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</si>
  <si>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</si>
  <si>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</si>
  <si>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</si>
  <si>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</si>
  <si>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</si>
  <si>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</si>
  <si>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</si>
  <si>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</si>
  <si>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</si>
  <si>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</si>
  <si>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</si>
  <si>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</si>
  <si>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</si>
  <si>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</si>
  <si>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</si>
  <si>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</si>
  <si>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</si>
  <si>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</si>
  <si>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</si>
  <si>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</si>
  <si>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</si>
  <si>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</si>
  <si>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</si>
  <si>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</si>
  <si>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</si>
  <si>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</si>
  <si>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</si>
  <si>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</si>
  <si>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</si>
  <si>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</si>
  <si>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</si>
  <si>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</si>
  <si>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</si>
  <si>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</si>
  <si>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</si>
  <si>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</si>
  <si>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</si>
  <si>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</si>
  <si>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</si>
  <si>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</si>
  <si>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</si>
  <si>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</si>
  <si>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</si>
  <si>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</si>
  <si>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</si>
  <si>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</si>
  <si>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</si>
  <si>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</si>
  <si>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</si>
  <si>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</si>
  <si>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</si>
  <si>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</si>
  <si>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</si>
  <si>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</si>
  <si>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</si>
  <si>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</si>
  <si>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</si>
  <si>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</si>
  <si>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</si>
  <si>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</si>
  <si>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</si>
  <si>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</si>
  <si>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</si>
  <si>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</si>
  <si>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</si>
  <si>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</si>
  <si>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</si>
  <si>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</si>
  <si>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</si>
  <si>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</si>
  <si>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</si>
  <si>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</si>
  <si>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</si>
  <si>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</si>
  <si>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</si>
  <si>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</si>
  <si>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</si>
  <si>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</si>
  <si>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</si>
  <si>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</si>
  <si>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</si>
  <si>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</si>
  <si>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</si>
  <si>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</si>
  <si>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</si>
  <si>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</si>
  <si>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</si>
  <si>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</si>
  <si>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</si>
  <si>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</si>
  <si>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</si>
  <si>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</si>
  <si>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</si>
  <si>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</si>
  <si>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</si>
  <si>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</si>
  <si>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</si>
  <si>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</si>
  <si>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</si>
  <si>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</si>
  <si>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</si>
  <si>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</si>
  <si>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</si>
  <si>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</si>
  <si>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</si>
  <si>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</si>
  <si>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</si>
  <si>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</si>
  <si>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</si>
  <si>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</si>
  <si>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</si>
  <si>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</si>
  <si>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</si>
  <si>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</si>
  <si>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</si>
  <si>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</si>
  <si>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</si>
  <si>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</si>
  <si>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</si>
  <si>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</si>
  <si>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</si>
  <si>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</si>
  <si>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</si>
  <si>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</si>
  <si>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</si>
  <si>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</si>
  <si>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</si>
  <si>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</si>
  <si>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</si>
  <si>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</si>
  <si>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</si>
  <si>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</si>
  <si>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</si>
  <si>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</si>
  <si>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</si>
  <si>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</si>
  <si>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</si>
  <si>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</si>
  <si>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</si>
  <si>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</si>
  <si>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</si>
  <si>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</si>
  <si>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</si>
  <si>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</si>
  <si>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</si>
  <si>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</si>
  <si>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</si>
  <si>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</si>
  <si>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</si>
  <si>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</si>
  <si>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</si>
  <si>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</si>
  <si>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</si>
  <si>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</si>
  <si>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</si>
  <si>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</si>
  <si>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</si>
  <si>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</si>
  <si>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</si>
  <si>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</si>
  <si>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</si>
  <si>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</si>
  <si>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</si>
  <si>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</si>
  <si>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</si>
  <si>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</si>
  <si>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</si>
  <si>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</si>
  <si>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</si>
  <si>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</si>
  <si>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</si>
  <si>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</si>
  <si>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</si>
  <si>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</si>
  <si>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</si>
  <si>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</si>
  <si>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</si>
  <si>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</si>
  <si>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</si>
  <si>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</si>
  <si>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</si>
  <si>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</si>
  <si>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</si>
  <si>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</si>
  <si>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</si>
  <si>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</si>
  <si>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</si>
  <si>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</si>
  <si>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</si>
  <si>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</si>
  <si>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</si>
  <si>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</si>
  <si>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</si>
  <si>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</si>
  <si>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</si>
  <si>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</si>
  <si>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</si>
  <si>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</si>
  <si>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</si>
  <si>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</si>
  <si>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</si>
  <si>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</si>
  <si>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</si>
  <si>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</si>
  <si>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</si>
  <si>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</si>
  <si>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</si>
  <si>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</si>
  <si>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</si>
  <si>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</si>
  <si>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</si>
  <si>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</si>
  <si>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</si>
  <si>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</si>
  <si>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</si>
  <si>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</si>
  <si>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</si>
  <si>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</si>
  <si>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</si>
  <si>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</si>
  <si>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</si>
  <si>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</si>
  <si>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</si>
  <si>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</si>
  <si>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</si>
  <si>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</si>
  <si>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</si>
  <si>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</si>
  <si>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</si>
  <si>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</si>
  <si>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</si>
  <si>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</si>
  <si>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</si>
  <si>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</si>
  <si>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</si>
  <si>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</si>
  <si>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</si>
  <si>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</si>
  <si>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</si>
  <si>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</si>
  <si>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</si>
  <si>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</si>
  <si>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</si>
  <si>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</si>
  <si>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</si>
  <si>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</si>
  <si>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</si>
  <si>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</si>
  <si>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</si>
  <si>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</si>
  <si>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</si>
  <si>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</si>
  <si>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</si>
  <si>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</si>
  <si>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</si>
  <si>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</si>
  <si>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</si>
  <si>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</si>
  <si>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</si>
  <si>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</si>
  <si>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</si>
  <si>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</si>
  <si>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</si>
  <si>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</si>
  <si>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</si>
  <si>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</si>
  <si>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</si>
  <si>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</si>
  <si>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</si>
  <si>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</si>
  <si>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</si>
  <si>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</si>
  <si>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</si>
  <si>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</si>
  <si>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</si>
  <si>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</si>
  <si>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</si>
  <si>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</si>
  <si>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</si>
  <si>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</si>
  <si>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</si>
  <si>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</si>
  <si>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</si>
  <si>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</si>
  <si>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</si>
  <si>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</si>
  <si>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</si>
  <si>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</si>
  <si>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</si>
  <si>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</si>
  <si>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</si>
  <si>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</si>
  <si>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</si>
  <si>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</si>
  <si>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</si>
  <si>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</si>
  <si>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</si>
  <si>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</si>
  <si>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</si>
  <si>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</si>
  <si>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</si>
  <si>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</si>
  <si>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</si>
  <si>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</si>
  <si>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</si>
  <si>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</si>
  <si>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</si>
  <si>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</si>
  <si>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</si>
  <si>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</si>
  <si>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</si>
  <si>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</si>
  <si>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</si>
  <si>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</si>
  <si>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</si>
  <si>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</si>
  <si>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</si>
  <si>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</si>
  <si>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</si>
  <si>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</si>
  <si>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</si>
  <si>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</si>
  <si>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</si>
  <si>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</si>
  <si>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</si>
  <si>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</si>
  <si>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</si>
  <si>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</si>
  <si>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</si>
  <si>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</si>
  <si>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</si>
  <si>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</si>
  <si>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</si>
  <si>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</si>
  <si>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</si>
  <si>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</si>
  <si>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</si>
  <si>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</si>
  <si>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</si>
  <si>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</si>
  <si>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</si>
  <si>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</si>
  <si>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</si>
  <si>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</si>
  <si>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</si>
  <si>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</si>
  <si>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</si>
  <si>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</si>
  <si>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</si>
  <si>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</si>
  <si>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</si>
  <si>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</si>
  <si>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</si>
  <si>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</si>
  <si>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</si>
  <si>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</si>
  <si>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</si>
  <si>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</si>
  <si>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</si>
  <si>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</si>
  <si>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</si>
  <si>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</si>
  <si>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</si>
  <si>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</si>
  <si>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</si>
  <si>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</si>
  <si>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</si>
  <si>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</si>
  <si>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</si>
  <si>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</si>
  <si>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</si>
  <si>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</si>
  <si>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</si>
  <si>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</si>
  <si>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</si>
  <si>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</si>
  <si>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</si>
  <si>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</si>
  <si>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</si>
  <si>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</si>
  <si>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</si>
  <si>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</si>
  <si>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</si>
  <si>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</si>
  <si>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</si>
  <si>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</si>
  <si>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</si>
  <si>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</si>
  <si>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</si>
  <si>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</si>
  <si>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</si>
  <si>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</si>
  <si>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</si>
  <si>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</si>
  <si>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</si>
  <si>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</si>
  <si>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</si>
  <si>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</si>
  <si>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</si>
  <si>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</si>
  <si>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</si>
  <si>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</si>
  <si>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</si>
  <si>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</si>
  <si>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</si>
  <si>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</si>
  <si>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</si>
  <si>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</si>
  <si>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</si>
  <si>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</si>
  <si>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</si>
  <si>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</si>
  <si>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</si>
  <si>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</si>
  <si>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</si>
  <si>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</si>
  <si>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</si>
  <si>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</si>
  <si>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</si>
  <si>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</si>
  <si>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</si>
  <si>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</si>
  <si>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</si>
  <si>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</si>
  <si>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</si>
  <si>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</si>
  <si>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</si>
  <si>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</si>
  <si>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</si>
  <si>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</si>
  <si>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</si>
  <si>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</si>
  <si>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</si>
  <si>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</si>
  <si>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</si>
  <si>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</si>
  <si>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</si>
  <si>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</si>
  <si>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</si>
  <si>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</si>
  <si>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</si>
  <si>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</si>
  <si>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</si>
  <si>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</si>
  <si>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</si>
  <si>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</si>
  <si>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</si>
  <si>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</si>
  <si>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</si>
  <si>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</si>
  <si>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</si>
  <si>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</si>
  <si>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</si>
  <si>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</si>
  <si>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</si>
  <si>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</si>
  <si>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</si>
  <si>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</si>
  <si>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</si>
  <si>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</si>
  <si>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</si>
  <si>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</si>
  <si>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</si>
  <si>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</si>
  <si>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</si>
  <si>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</si>
  <si>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</si>
  <si>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</si>
  <si>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</si>
  <si>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</si>
  <si>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</si>
  <si>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</si>
  <si>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</si>
  <si>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</si>
  <si>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</si>
  <si>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</si>
  <si>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</si>
  <si>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</si>
  <si>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</si>
  <si>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</si>
  <si>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</si>
  <si>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</si>
  <si>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</si>
  <si>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</si>
  <si>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</si>
  <si>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</si>
  <si>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</si>
  <si>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</si>
  <si>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</si>
  <si>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</si>
  <si>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</si>
  <si>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</si>
  <si>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</si>
  <si>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</si>
  <si>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</si>
  <si>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</si>
  <si>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</si>
  <si>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</si>
  <si>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</si>
  <si>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</si>
  <si>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</si>
  <si>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</si>
  <si>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</si>
  <si>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</si>
  <si>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</si>
  <si>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</si>
  <si>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</si>
  <si>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</si>
  <si>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</si>
  <si>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</si>
  <si>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</si>
  <si>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</si>
  <si>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</si>
  <si>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</si>
  <si>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</si>
  <si>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</si>
  <si>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</si>
  <si>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</si>
  <si>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</si>
  <si>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</si>
  <si>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</si>
  <si>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</si>
  <si>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</si>
  <si>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</si>
  <si>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</si>
  <si>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</si>
  <si>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</si>
  <si>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</si>
  <si>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</si>
  <si>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</si>
  <si>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</si>
  <si>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</si>
  <si>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</si>
  <si>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</si>
  <si>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</si>
  <si>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</si>
  <si>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</si>
  <si>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</si>
  <si>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</si>
  <si>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</si>
  <si>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</si>
  <si>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</si>
  <si>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</si>
  <si>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</si>
  <si>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</si>
  <si>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</si>
  <si>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</si>
  <si>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</si>
  <si>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</si>
  <si>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</si>
  <si>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</si>
  <si>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</si>
  <si>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</si>
  <si>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</si>
  <si>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</si>
  <si>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</si>
  <si>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</si>
  <si>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</si>
  <si>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</si>
  <si>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</si>
  <si>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</si>
  <si>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</si>
  <si>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</si>
  <si>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</si>
  <si>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</si>
  <si>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</si>
  <si>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</si>
  <si>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</si>
  <si>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</si>
  <si>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</si>
  <si>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</si>
  <si>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</si>
  <si>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</si>
  <si>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</si>
  <si>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</si>
  <si>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</si>
  <si>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</si>
  <si>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</si>
  <si>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</si>
  <si>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</si>
  <si>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</si>
  <si>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</si>
  <si>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</si>
  <si>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</si>
  <si>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</si>
  <si>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</si>
  <si>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</si>
  <si>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</si>
  <si>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</si>
  <si>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</si>
  <si>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</si>
  <si>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</si>
  <si>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</si>
  <si>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</si>
  <si>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</si>
  <si>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</si>
  <si>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</si>
  <si>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</si>
  <si>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</si>
  <si>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</si>
  <si>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</si>
  <si>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</si>
  <si>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</si>
  <si>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</si>
  <si>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</si>
  <si>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</si>
  <si>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</si>
  <si>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</si>
  <si>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</si>
  <si>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</si>
  <si>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</si>
  <si>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</si>
  <si>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</si>
  <si>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</si>
  <si>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</si>
  <si>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</si>
  <si>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</si>
  <si>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</si>
  <si>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</si>
  <si>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</si>
  <si>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</si>
  <si>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</si>
  <si>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</si>
  <si>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</si>
  <si>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</si>
  <si>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</si>
  <si>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</si>
  <si>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</si>
  <si>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</si>
  <si>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</si>
  <si>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</si>
  <si>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</si>
  <si>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</si>
  <si>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</si>
  <si>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</si>
  <si>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</si>
  <si>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</si>
  <si>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</si>
  <si>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</si>
  <si>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</si>
  <si>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</si>
  <si>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</si>
  <si>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</si>
  <si>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</si>
  <si>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</si>
  <si>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</si>
  <si>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</si>
  <si>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</si>
  <si>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</si>
  <si>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</si>
  <si>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</si>
  <si>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</si>
  <si>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</si>
  <si>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</si>
  <si>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</si>
  <si>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</si>
  <si>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</si>
  <si>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</si>
  <si>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</si>
  <si>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</si>
  <si>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</si>
  <si>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</si>
  <si>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</si>
  <si>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</si>
  <si>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</si>
  <si>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</si>
  <si>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</si>
  <si>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</si>
  <si>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</si>
  <si>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</si>
  <si>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</si>
  <si>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</si>
  <si>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</si>
  <si>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</si>
  <si>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</si>
  <si>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</si>
  <si>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</si>
  <si>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</si>
  <si>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</si>
  <si>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</si>
  <si>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</si>
  <si>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</si>
  <si>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</si>
  <si>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</si>
  <si>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</si>
  <si>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</si>
  <si>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</si>
  <si>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</si>
  <si>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</si>
  <si>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</si>
  <si>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</si>
  <si>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</si>
  <si>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</si>
  <si>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</si>
  <si>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</si>
  <si>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</si>
  <si>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</si>
  <si>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</si>
  <si>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</si>
  <si>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</si>
  <si>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</si>
  <si>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</si>
  <si>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</si>
  <si>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</si>
  <si>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</si>
  <si>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</si>
  <si>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</si>
  <si>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</si>
  <si>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</si>
  <si>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</si>
  <si>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</si>
  <si>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</si>
  <si>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</si>
  <si>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</si>
  <si>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</si>
  <si>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</si>
  <si>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</si>
  <si>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</si>
  <si>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</si>
  <si>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</si>
  <si>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</si>
  <si>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</si>
  <si>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</si>
  <si>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</si>
  <si>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</si>
  <si>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</si>
  <si>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</si>
  <si>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</si>
  <si>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</si>
  <si>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</si>
  <si>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</si>
  <si>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</si>
  <si>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</si>
  <si>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</si>
  <si>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</si>
  <si>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</si>
  <si>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</si>
  <si>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</si>
  <si>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</si>
  <si>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</si>
  <si>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</si>
  <si>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</si>
  <si>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</si>
  <si>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</si>
  <si>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</si>
  <si>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</si>
  <si>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</si>
  <si>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</si>
  <si>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</si>
  <si>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</si>
  <si>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</si>
  <si>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</si>
  <si>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</si>
  <si>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</si>
  <si>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</si>
  <si>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</si>
  <si>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</si>
  <si>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</si>
  <si>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</si>
  <si>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</si>
  <si>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</si>
  <si>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</si>
  <si>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</si>
  <si>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</si>
  <si>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</si>
  <si>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</si>
  <si>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</si>
  <si>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</si>
  <si>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</si>
  <si>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</si>
  <si>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</si>
  <si>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</si>
  <si>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</si>
  <si>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</si>
  <si>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</si>
  <si>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</si>
  <si>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</si>
  <si>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</si>
  <si>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</si>
  <si>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</si>
  <si>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</si>
  <si>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</si>
  <si>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</si>
  <si>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</si>
  <si>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</si>
  <si>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</si>
  <si>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</si>
  <si>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</si>
  <si>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</si>
  <si>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</si>
  <si>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</si>
  <si>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</si>
  <si>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</si>
  <si>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</si>
  <si>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</si>
  <si>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</si>
  <si>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</si>
  <si>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</si>
  <si>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</si>
  <si>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</si>
  <si>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</si>
  <si>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</si>
  <si>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</si>
  <si>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</si>
  <si>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</si>
  <si>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</si>
  <si>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</si>
  <si>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</si>
  <si>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</si>
  <si>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</si>
  <si>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</si>
  <si>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</si>
  <si>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</si>
  <si>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</si>
  <si>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</si>
  <si>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</si>
  <si>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</si>
  <si>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</si>
  <si>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</si>
  <si>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</si>
  <si>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</si>
  <si>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</si>
  <si>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</si>
  <si>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</si>
  <si>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</si>
  <si>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</si>
  <si>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</si>
  <si>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</si>
  <si>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</si>
  <si>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</si>
  <si>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</si>
  <si>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</si>
  <si>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</si>
  <si>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</si>
  <si>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</si>
  <si>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</si>
  <si>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</si>
  <si>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</si>
  <si>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</si>
  <si>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</si>
  <si>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</si>
  <si>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</si>
  <si>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</si>
  <si>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</si>
  <si>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</si>
  <si>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</si>
  <si>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</si>
  <si>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</si>
  <si>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</si>
  <si>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</si>
  <si>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</si>
  <si>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</si>
  <si>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</si>
  <si>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</si>
  <si>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</si>
  <si>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</si>
  <si>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</si>
  <si>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</si>
  <si>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</si>
  <si>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</si>
  <si>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</si>
  <si>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</si>
  <si>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</si>
  <si>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</si>
  <si>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</si>
  <si>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</si>
  <si>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</si>
  <si>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</si>
  <si>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</si>
  <si>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</si>
  <si>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</si>
  <si>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</si>
  <si>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</si>
  <si>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</si>
  <si>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</si>
  <si>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</si>
  <si>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</si>
  <si>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</si>
  <si>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</si>
  <si>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</si>
  <si>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</si>
  <si>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</si>
  <si>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</si>
  <si>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</si>
  <si>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</si>
  <si>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</si>
  <si>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</si>
  <si>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</si>
  <si>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</si>
  <si>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</si>
  <si>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</si>
  <si>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</si>
  <si>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</si>
  <si>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</si>
  <si>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</si>
  <si>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</si>
  <si>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</si>
  <si>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</si>
  <si>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</si>
  <si>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</si>
  <si>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</si>
  <si>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</si>
  <si>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</si>
  <si>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</si>
  <si>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</si>
  <si>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</si>
  <si>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</si>
  <si>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</si>
  <si>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</si>
  <si>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</si>
  <si>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</si>
  <si>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</si>
  <si>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</si>
  <si>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</si>
  <si>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</si>
  <si>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</si>
  <si>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</si>
  <si>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</si>
  <si>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</si>
  <si>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</si>
  <si>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</si>
  <si>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</si>
  <si>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</si>
  <si>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</si>
  <si>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</si>
  <si>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</si>
  <si>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</si>
  <si>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</si>
  <si>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</si>
  <si>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</si>
  <si>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</si>
  <si>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</si>
  <si>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</si>
  <si>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</si>
  <si>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</si>
  <si>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</si>
  <si>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</si>
  <si>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</si>
  <si>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</si>
  <si>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</si>
  <si>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</si>
  <si>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</si>
  <si>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</si>
  <si>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</si>
  <si>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</si>
  <si>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</si>
  <si>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</si>
  <si>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</si>
  <si>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</si>
  <si>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</si>
  <si>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</si>
  <si>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</si>
  <si>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</si>
  <si>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</si>
  <si>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</si>
  <si>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</si>
  <si>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</si>
  <si>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</si>
  <si>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</si>
  <si>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</si>
  <si>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</si>
  <si>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</si>
  <si>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</si>
  <si>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</si>
  <si>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</si>
  <si>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</si>
  <si>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</si>
  <si>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</si>
  <si>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</si>
  <si>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</si>
  <si>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</si>
  <si>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</si>
  <si>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</si>
  <si>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</si>
  <si>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</si>
  <si>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</si>
  <si>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</si>
  <si>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</si>
  <si>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</si>
  <si>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</si>
  <si>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</si>
  <si>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</si>
  <si>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</si>
  <si>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</si>
  <si>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</si>
  <si>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</si>
  <si>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</si>
  <si>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</si>
  <si>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</si>
  <si>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</si>
  <si>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</si>
  <si>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</si>
  <si>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</si>
  <si>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</si>
  <si>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</si>
  <si>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</si>
  <si>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</si>
  <si>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</si>
  <si>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</si>
  <si>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</si>
  <si>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</si>
  <si>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</si>
  <si>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</si>
  <si>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</si>
  <si>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</si>
  <si>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</si>
  <si>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</si>
  <si>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</si>
  <si>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</si>
  <si>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</si>
  <si>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</si>
  <si>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</si>
  <si>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</si>
  <si>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</si>
  <si>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</si>
  <si>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</si>
  <si>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</si>
  <si>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</si>
  <si>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</si>
  <si>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</si>
  <si>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</si>
  <si>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</si>
  <si>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</si>
  <si>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</si>
  <si>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</si>
  <si>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</si>
  <si>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</si>
  <si>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</si>
  <si>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</si>
  <si>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</si>
  <si>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</si>
  <si>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</si>
  <si>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</si>
  <si>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</si>
  <si>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</si>
  <si>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</si>
  <si>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</si>
  <si>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</si>
  <si>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</si>
  <si>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</si>
  <si>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</si>
  <si>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</si>
  <si>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</si>
  <si>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</si>
  <si>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</si>
  <si>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</si>
  <si>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</si>
  <si>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</si>
  <si>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</si>
  <si>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</si>
  <si>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</si>
  <si>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</si>
  <si>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</si>
  <si>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</si>
  <si>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</si>
  <si>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</si>
  <si>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</si>
  <si>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</si>
  <si>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</si>
  <si>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</si>
  <si>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</si>
  <si>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</si>
  <si>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</si>
  <si>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</si>
  <si>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</si>
  <si>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</si>
  <si>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</si>
  <si>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</si>
  <si>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</si>
  <si>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</si>
  <si>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</si>
  <si>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</si>
  <si>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</si>
  <si>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</si>
  <si>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</si>
  <si>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</si>
  <si>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</si>
  <si>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</si>
  <si>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</si>
  <si>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</si>
  <si>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</si>
  <si>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</si>
  <si>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</si>
  <si>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</si>
  <si>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</si>
  <si>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</si>
  <si>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</si>
  <si>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</si>
  <si>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</si>
  <si>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</si>
  <si>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</si>
  <si>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</si>
  <si>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</si>
  <si>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</si>
  <si>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</si>
  <si>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</si>
  <si>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</si>
  <si>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</si>
  <si>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</si>
  <si>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</si>
  <si>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</si>
  <si>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</si>
  <si>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</si>
  <si>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</si>
  <si>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</si>
  <si>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</si>
  <si>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</si>
  <si>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</si>
  <si>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</si>
  <si>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</si>
  <si>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</si>
  <si>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</si>
  <si>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</si>
  <si>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</si>
  <si>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</si>
  <si>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</si>
  <si>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</si>
  <si>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</si>
  <si>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</si>
  <si>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</si>
  <si>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</si>
  <si>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</si>
  <si>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</si>
  <si>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</si>
  <si>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</si>
  <si>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</si>
  <si>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</si>
  <si>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</si>
  <si>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</si>
  <si>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</si>
  <si>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</si>
  <si>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</si>
  <si>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</si>
  <si>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</si>
  <si>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</si>
  <si>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</si>
  <si>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</si>
  <si>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</si>
  <si>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</si>
  <si>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</si>
  <si>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</si>
  <si>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</si>
  <si>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</si>
  <si>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</si>
  <si>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</si>
  <si>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</si>
  <si>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</si>
  <si>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</si>
  <si>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</si>
  <si>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</si>
  <si>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</si>
  <si>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</si>
  <si>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</si>
  <si>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</si>
  <si>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</si>
  <si>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</si>
  <si>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</si>
  <si>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</si>
  <si>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</si>
  <si>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</si>
  <si>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</si>
  <si>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</si>
  <si>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</si>
  <si>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</si>
  <si>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</si>
  <si>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</si>
  <si>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</si>
  <si>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</si>
  <si>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</si>
  <si>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</si>
  <si>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</si>
  <si>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</si>
  <si>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</si>
  <si>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</si>
  <si>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</si>
  <si>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</si>
  <si>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</si>
  <si>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</si>
  <si>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</si>
  <si>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</si>
  <si>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</si>
  <si>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</si>
  <si>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</si>
  <si>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</si>
  <si>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</si>
  <si>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</si>
  <si>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</si>
  <si>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</si>
  <si>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</si>
  <si>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</si>
  <si>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</si>
  <si>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</si>
  <si>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</si>
  <si>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</si>
  <si>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</si>
  <si>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</si>
  <si>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</si>
  <si>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</si>
  <si>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</si>
  <si>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</si>
  <si>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</si>
  <si>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</si>
  <si>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</si>
  <si>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</si>
  <si>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</si>
  <si>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</si>
  <si>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</si>
  <si>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</si>
  <si>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</si>
  <si>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</si>
  <si>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</si>
  <si>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</si>
  <si>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</si>
  <si>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</si>
  <si>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</si>
  <si>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</si>
  <si>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</si>
  <si>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</si>
  <si>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</si>
  <si>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</si>
  <si>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</si>
  <si>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</si>
  <si>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</si>
  <si>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</si>
  <si>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</si>
  <si>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</si>
  <si>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</si>
  <si>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</si>
  <si>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</si>
  <si>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</si>
  <si>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</si>
  <si>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</si>
  <si>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</si>
  <si>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</si>
  <si>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</si>
  <si>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</si>
  <si>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</si>
  <si>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</si>
  <si>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</si>
  <si>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</si>
  <si>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</si>
  <si>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</si>
  <si>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</si>
  <si>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</si>
  <si>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</si>
  <si>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</si>
  <si>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</si>
  <si>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</si>
  <si>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</si>
  <si>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</si>
  <si>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</si>
  <si>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</si>
  <si>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</si>
  <si>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</si>
  <si>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</si>
  <si>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</si>
  <si>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</si>
  <si>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</si>
  <si>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</si>
  <si>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</si>
  <si>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</si>
  <si>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</si>
  <si>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</si>
  <si>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</si>
  <si>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</si>
  <si>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</si>
  <si>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</si>
  <si>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</si>
  <si>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</si>
  <si>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</si>
  <si>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</si>
  <si>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</si>
  <si>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</si>
  <si>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</si>
  <si>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</si>
  <si>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</si>
  <si>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</si>
  <si>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</si>
  <si>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</si>
  <si>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</si>
  <si>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</si>
  <si>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</si>
  <si>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</si>
  <si>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</si>
  <si>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</si>
  <si>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</si>
  <si>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</si>
  <si>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</si>
  <si>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</si>
  <si>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</si>
  <si>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</si>
  <si>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</si>
  <si>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</si>
  <si>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</si>
  <si>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</si>
  <si>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</si>
  <si>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</si>
  <si>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</si>
  <si>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</si>
  <si>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</si>
  <si>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</si>
  <si>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</si>
  <si>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</si>
  <si>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</si>
  <si>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</si>
  <si>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</si>
  <si>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</si>
  <si>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</si>
  <si>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</si>
  <si>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</si>
  <si>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</si>
  <si>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</si>
  <si>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</si>
  <si>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</si>
  <si>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</si>
  <si>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</si>
  <si>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</si>
  <si>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</si>
  <si>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</si>
  <si>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</si>
  <si>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</si>
  <si>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</si>
  <si>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</si>
  <si>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</si>
  <si>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</si>
  <si>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</si>
  <si>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</si>
  <si>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</si>
  <si>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</si>
  <si>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</si>
  <si>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</si>
  <si>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</si>
  <si>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</si>
  <si>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</si>
  <si>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</si>
  <si>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</si>
  <si>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</si>
  <si>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</si>
  <si>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</si>
  <si>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</si>
  <si>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</si>
  <si>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</si>
  <si>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</si>
  <si>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</si>
  <si>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</si>
  <si>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</si>
  <si>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</si>
  <si>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</si>
  <si>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</si>
  <si>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</si>
  <si>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</si>
  <si>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</si>
  <si>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</si>
  <si>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</si>
  <si>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</si>
  <si>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</si>
  <si>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</si>
  <si>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</si>
  <si>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</si>
  <si>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</si>
  <si>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</si>
  <si>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</si>
  <si>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</si>
  <si>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</si>
  <si>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</si>
  <si>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</si>
  <si>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</si>
  <si>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</si>
  <si>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</si>
  <si>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</si>
  <si>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</si>
  <si>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</si>
  <si>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</si>
  <si>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</si>
  <si>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</si>
  <si>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</si>
  <si>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</si>
  <si>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</si>
  <si>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</si>
  <si>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</si>
  <si>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</si>
  <si>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</si>
  <si>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</si>
  <si>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</si>
  <si>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</si>
  <si>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</si>
  <si>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</si>
  <si>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</si>
  <si>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</si>
  <si>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</si>
  <si>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</si>
  <si>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</si>
  <si>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</si>
  <si>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</si>
  <si>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</si>
  <si>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</si>
  <si>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</si>
  <si>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</si>
  <si>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</si>
  <si>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</si>
  <si>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</si>
  <si>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</si>
  <si>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</si>
  <si>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</si>
  <si>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</si>
  <si>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</si>
  <si>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</si>
  <si>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</si>
  <si>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</si>
  <si>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</si>
  <si>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</si>
  <si>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</si>
  <si>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</si>
  <si>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</si>
  <si>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</si>
  <si>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</si>
  <si>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</si>
  <si>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</si>
  <si>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</si>
  <si>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</si>
  <si>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</si>
  <si>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</si>
  <si>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</si>
  <si>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</si>
  <si>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</si>
  <si>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</si>
  <si>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</si>
  <si>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</si>
  <si>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</si>
  <si>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</si>
  <si>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</si>
  <si>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</si>
  <si>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</si>
  <si>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</si>
  <si>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</si>
  <si>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</si>
  <si>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</si>
  <si>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</si>
  <si>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</si>
  <si>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</si>
  <si>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</si>
  <si>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</si>
  <si>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</si>
  <si>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</si>
  <si>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</si>
  <si>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</si>
  <si>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</si>
  <si>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</si>
  <si>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</si>
  <si>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</si>
  <si>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</si>
  <si>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</si>
  <si>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</si>
  <si>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</si>
  <si>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</si>
  <si>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</si>
  <si>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</si>
  <si>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</si>
  <si>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</si>
  <si>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</si>
  <si>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</si>
  <si>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</si>
  <si>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</si>
  <si>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</si>
  <si>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</si>
  <si>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</si>
  <si>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</si>
  <si>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</si>
  <si>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</si>
  <si>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</si>
  <si>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</si>
  <si>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</si>
  <si>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</si>
  <si>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</si>
  <si>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</si>
  <si>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</si>
  <si>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</si>
  <si>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</si>
  <si>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</si>
  <si>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</si>
  <si>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</si>
  <si>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</si>
  <si>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</si>
  <si>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</si>
  <si>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</si>
  <si>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</si>
  <si>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</si>
  <si>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</si>
  <si>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</si>
  <si>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</si>
  <si>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</si>
  <si>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</si>
  <si>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</si>
  <si>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</si>
  <si>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</si>
  <si>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</si>
  <si>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</si>
  <si>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</si>
  <si>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</si>
  <si>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</si>
  <si>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</si>
  <si>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</si>
  <si>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</si>
  <si>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</si>
  <si>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</si>
  <si>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</si>
  <si>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</si>
  <si>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</si>
  <si>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</si>
  <si>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</si>
  <si>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</si>
  <si>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</si>
  <si>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</si>
  <si>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</si>
  <si>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</si>
  <si>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</si>
  <si>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</si>
  <si>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</si>
  <si>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</si>
  <si>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</si>
  <si>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</si>
  <si>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</si>
  <si>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</si>
  <si>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</si>
  <si>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</si>
  <si>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</si>
  <si>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</si>
  <si>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</si>
  <si>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</si>
  <si>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</si>
  <si>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</si>
  <si>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</si>
  <si>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</si>
  <si>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</si>
  <si>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</si>
  <si>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</si>
  <si>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</si>
  <si>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</si>
  <si>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</si>
  <si>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</si>
  <si>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</si>
  <si>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</si>
  <si>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</si>
  <si>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</si>
  <si>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</si>
  <si>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</si>
  <si>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</si>
  <si>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</si>
  <si>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</si>
  <si>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</si>
  <si>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</si>
  <si>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</si>
  <si>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</si>
  <si>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</si>
  <si>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</si>
  <si>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</si>
  <si>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</si>
  <si>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</si>
  <si>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</si>
  <si>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</si>
  <si>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</si>
  <si>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</si>
  <si>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</si>
  <si>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</si>
  <si>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</si>
  <si>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</si>
  <si>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</si>
  <si>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</si>
  <si>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</si>
  <si>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</si>
  <si>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</si>
  <si>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</si>
  <si>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</si>
  <si>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</si>
  <si>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</si>
  <si>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</si>
  <si>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</si>
  <si>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</si>
  <si>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</si>
  <si>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</si>
  <si>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</si>
  <si>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</si>
  <si>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</si>
  <si>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</si>
  <si>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</si>
  <si>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</si>
  <si>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</si>
  <si>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</si>
  <si>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</si>
  <si>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</si>
  <si>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</si>
  <si>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</si>
  <si>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</si>
  <si>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</si>
  <si>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</si>
  <si>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</si>
  <si>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</si>
  <si>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</si>
  <si>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</si>
  <si>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</si>
  <si>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</si>
  <si>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</si>
  <si>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</si>
  <si>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</si>
  <si>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</si>
  <si>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</si>
  <si>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</si>
  <si>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</si>
  <si>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</si>
  <si>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</si>
  <si>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</si>
  <si>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</si>
  <si>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</si>
  <si>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</si>
  <si>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</si>
  <si>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</si>
  <si>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</si>
  <si>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</si>
  <si>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</si>
  <si>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</si>
  <si>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</si>
  <si>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</si>
  <si>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</si>
  <si>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</si>
  <si>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</si>
  <si>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</si>
  <si>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</si>
  <si>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</si>
  <si>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</si>
  <si>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</si>
  <si>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</si>
  <si>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</si>
  <si>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</si>
  <si>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</si>
  <si>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</si>
  <si>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</si>
  <si>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</si>
  <si>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</si>
  <si>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</si>
  <si>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</si>
  <si>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</si>
  <si>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</si>
  <si>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</si>
  <si>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</si>
  <si>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</si>
  <si>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</si>
  <si>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</si>
  <si>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</si>
  <si>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</si>
  <si>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</si>
  <si>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</si>
  <si>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</si>
  <si>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</si>
  <si>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</si>
  <si>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</si>
  <si>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</si>
  <si>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</si>
  <si>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</si>
  <si>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</si>
  <si>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</si>
  <si>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</si>
  <si>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</si>
  <si>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</si>
  <si>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</si>
  <si>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</si>
  <si>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</si>
  <si>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</si>
  <si>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</si>
  <si>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</si>
  <si>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</si>
  <si>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</si>
  <si>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</si>
  <si>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</si>
  <si>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</si>
  <si>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</si>
  <si>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</si>
  <si>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</si>
  <si>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</si>
  <si>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</si>
  <si>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</si>
  <si>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</si>
  <si>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</si>
  <si>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</si>
  <si>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</si>
  <si>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</si>
  <si>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</si>
  <si>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</si>
  <si>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</si>
  <si>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</si>
  <si>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</si>
  <si>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</si>
  <si>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</si>
  <si>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</si>
  <si>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</si>
  <si>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</si>
  <si>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</si>
  <si>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</si>
  <si>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</si>
  <si>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</si>
  <si>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</si>
  <si>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</si>
  <si>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</si>
  <si>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</si>
  <si>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</si>
  <si>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</si>
  <si>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</si>
  <si>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</si>
  <si>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</si>
  <si>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</si>
  <si>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</si>
  <si>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</si>
  <si>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</si>
  <si>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</si>
  <si>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</si>
  <si>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</si>
  <si>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</si>
  <si>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</si>
  <si>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</si>
  <si>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</si>
  <si>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</si>
  <si>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</si>
  <si>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</si>
  <si>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</si>
  <si>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</si>
  <si>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</si>
  <si>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</si>
  <si>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</si>
  <si>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</si>
  <si>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</si>
  <si>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</si>
  <si>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</si>
  <si>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</si>
  <si>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</si>
  <si>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</si>
  <si>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</si>
  <si>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</si>
  <si>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</si>
  <si>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</si>
  <si>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</si>
  <si>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</si>
  <si>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</si>
  <si>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</si>
  <si>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</si>
  <si>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</si>
  <si>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</si>
  <si>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</si>
  <si>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</si>
  <si>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</si>
  <si>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</si>
  <si>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</si>
  <si>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</si>
  <si>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</si>
  <si>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</si>
  <si>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</si>
  <si>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</si>
  <si>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</si>
  <si>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</si>
  <si>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</si>
  <si>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</si>
  <si>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</si>
  <si>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</si>
  <si>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</si>
  <si>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</si>
  <si>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</si>
  <si>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</si>
  <si>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</si>
  <si>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</si>
  <si>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</si>
  <si>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</si>
  <si>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</si>
  <si>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</si>
  <si>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</si>
  <si>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</si>
  <si>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</si>
  <si>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</si>
  <si>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</si>
  <si>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</si>
  <si>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</si>
  <si>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</si>
  <si>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</si>
  <si>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</si>
  <si>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</si>
  <si>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</si>
  <si>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</si>
  <si>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</si>
  <si>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</si>
  <si>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</si>
  <si>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</si>
  <si>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</si>
  <si>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</si>
  <si>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</si>
  <si>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</si>
  <si>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</si>
  <si>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</si>
  <si>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</si>
  <si>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</si>
  <si>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</si>
  <si>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</si>
  <si>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</si>
  <si>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</si>
  <si>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</si>
  <si>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</si>
  <si>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</si>
  <si>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</si>
  <si>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</si>
  <si>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</si>
  <si>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</si>
  <si>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</si>
  <si>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</si>
  <si>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</si>
  <si>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</si>
  <si>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</si>
  <si>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</si>
  <si>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</si>
  <si>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</si>
  <si>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</si>
  <si>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</si>
  <si>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</si>
  <si>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</si>
  <si>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</si>
  <si>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</si>
  <si>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</si>
  <si>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</si>
  <si>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</si>
  <si>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</si>
  <si>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</si>
  <si>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</si>
  <si>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</si>
  <si>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</si>
  <si>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</si>
  <si>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</si>
  <si>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</si>
  <si>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</si>
  <si>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</si>
  <si>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</si>
  <si>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</si>
  <si>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</si>
  <si>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</si>
  <si>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</si>
  <si>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</si>
  <si>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</si>
  <si>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</si>
  <si>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</si>
  <si>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</si>
  <si>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</si>
  <si>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</si>
  <si>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</si>
  <si>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</si>
  <si>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</si>
  <si>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</si>
  <si>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</si>
  <si>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</si>
  <si>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</si>
  <si>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</si>
  <si>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</si>
  <si>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</si>
  <si>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</si>
  <si>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</si>
  <si>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</si>
  <si>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</si>
  <si>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</si>
  <si>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</si>
  <si>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</si>
  <si>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</si>
  <si>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</si>
  <si>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</si>
  <si>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</si>
  <si>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</si>
  <si>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</si>
  <si>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</si>
  <si>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</si>
  <si>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</si>
  <si>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</si>
  <si>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</si>
  <si>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</si>
  <si>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</si>
  <si>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</si>
  <si>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</si>
  <si>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</si>
  <si>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</si>
  <si>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</si>
  <si>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</si>
  <si>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</si>
  <si>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</si>
  <si>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</si>
  <si>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</si>
  <si>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</si>
  <si>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</si>
  <si>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</si>
  <si>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</si>
  <si>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</si>
  <si>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</si>
  <si>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</si>
  <si>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</si>
  <si>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</si>
  <si>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</si>
  <si>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</si>
  <si>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</si>
  <si>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</si>
  <si>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</si>
  <si>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</si>
  <si>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</si>
  <si>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</si>
  <si>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</si>
  <si>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</si>
  <si>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</si>
  <si>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</si>
  <si>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</si>
  <si>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</si>
  <si>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</si>
  <si>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</si>
  <si>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</si>
  <si>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</si>
  <si>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</si>
  <si>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</si>
  <si>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</si>
  <si>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</si>
  <si>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</si>
  <si>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</si>
  <si>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</si>
  <si>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</si>
  <si>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</si>
  <si>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</si>
  <si>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</si>
  <si>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</si>
  <si>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</si>
  <si>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</si>
  <si>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</si>
  <si>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</si>
  <si>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</si>
  <si>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</si>
  <si>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</si>
  <si>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</si>
  <si>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</si>
  <si>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</si>
  <si>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</si>
  <si>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</si>
  <si>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</si>
  <si>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</si>
  <si>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</si>
  <si>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</si>
  <si>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</si>
  <si>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</si>
  <si>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</si>
  <si>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</si>
  <si>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</si>
  <si>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</si>
  <si>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</si>
  <si>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</si>
  <si>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</si>
  <si>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</si>
  <si>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</si>
  <si>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</si>
  <si>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</si>
  <si>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</si>
  <si>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</si>
  <si>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</si>
  <si>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</si>
  <si>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</si>
  <si>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</si>
  <si>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</si>
  <si>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</si>
  <si>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</si>
  <si>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</si>
  <si>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</si>
  <si>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</si>
  <si>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</si>
  <si>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</si>
  <si>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</si>
  <si>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</si>
  <si>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</si>
  <si>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</si>
  <si>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</si>
  <si>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</si>
  <si>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</si>
  <si>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</si>
  <si>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</si>
  <si>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</si>
  <si>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</si>
  <si>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</si>
  <si>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</si>
  <si>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</si>
  <si>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</si>
  <si>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</si>
  <si>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</si>
  <si>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</si>
  <si>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</si>
  <si>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</si>
  <si>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</si>
  <si>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</si>
  <si>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</si>
  <si>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</si>
  <si>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</si>
  <si>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</si>
  <si>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</si>
  <si>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</si>
  <si>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</si>
  <si>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</si>
  <si>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</si>
  <si>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</si>
  <si>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</si>
  <si>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</si>
  <si>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</si>
  <si>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</si>
  <si>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</si>
  <si>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</si>
  <si>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</si>
  <si>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</si>
  <si>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</si>
  <si>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</si>
  <si>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</si>
  <si>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</si>
  <si>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</si>
  <si>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</si>
  <si>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</si>
  <si>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</si>
  <si>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</si>
  <si>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</si>
  <si>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</si>
  <si>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</si>
  <si>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</si>
  <si>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</si>
  <si>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</si>
  <si>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</si>
  <si>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</si>
  <si>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</si>
  <si>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</si>
  <si>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</si>
  <si>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</si>
  <si>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</si>
  <si>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</si>
  <si>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</si>
  <si>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</si>
  <si>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</si>
  <si>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</si>
  <si>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</si>
  <si>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</si>
  <si>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</si>
  <si>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</si>
  <si>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</si>
  <si>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</si>
  <si>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</si>
  <si>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</si>
  <si>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</si>
  <si>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</si>
  <si>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</si>
  <si>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</si>
  <si>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</si>
  <si>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</si>
  <si>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</si>
  <si>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</si>
  <si>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</si>
  <si>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</si>
  <si>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</si>
  <si>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</si>
  <si>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</si>
  <si>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</si>
  <si>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</si>
  <si>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</si>
  <si>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</si>
  <si>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</si>
  <si>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</si>
  <si>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</si>
  <si>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</si>
  <si>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</si>
  <si>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</si>
  <si>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</si>
  <si>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</si>
  <si>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</si>
  <si>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</si>
  <si>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</si>
  <si>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</si>
  <si>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</si>
  <si>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</si>
  <si>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</si>
  <si>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</si>
  <si>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</si>
  <si>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</si>
  <si>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</si>
  <si>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</si>
  <si>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</si>
  <si>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</si>
  <si>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</si>
  <si>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</si>
  <si>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</si>
  <si>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</si>
  <si>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</si>
  <si>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</si>
  <si>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</si>
  <si>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</si>
  <si>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</si>
  <si>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</si>
  <si>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</si>
  <si>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</si>
  <si>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</si>
  <si>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</si>
  <si>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</si>
  <si>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</si>
  <si>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</si>
  <si>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</si>
  <si>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</si>
  <si>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</si>
  <si>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</si>
  <si>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</si>
  <si>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</si>
  <si>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</si>
  <si>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</si>
  <si>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</si>
  <si>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</si>
  <si>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</si>
  <si>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</si>
  <si>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</si>
  <si>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</si>
  <si>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</si>
  <si>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</si>
  <si>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</si>
  <si>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</si>
  <si>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</si>
  <si>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</si>
  <si>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</si>
  <si>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</si>
  <si>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</si>
  <si>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</si>
  <si>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</si>
  <si>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</si>
  <si>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</si>
  <si>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</si>
  <si>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</si>
  <si>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</si>
  <si>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</si>
  <si>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</si>
  <si>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</si>
  <si>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</si>
  <si>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</si>
  <si>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</si>
  <si>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</si>
  <si>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</si>
  <si>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</si>
  <si>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</si>
  <si>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</si>
  <si>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</si>
  <si>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</si>
  <si>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</si>
  <si>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</si>
  <si>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</si>
  <si>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</si>
  <si>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</si>
  <si>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</si>
  <si>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</si>
  <si>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</si>
  <si>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</si>
  <si>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</si>
  <si>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</si>
  <si>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</si>
  <si>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</si>
  <si>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</si>
  <si>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</si>
  <si>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</si>
  <si>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</si>
  <si>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</si>
  <si>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</si>
  <si>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</si>
  <si>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</si>
  <si>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</si>
  <si>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</si>
  <si>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</si>
  <si>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</si>
  <si>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</si>
  <si>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</si>
  <si>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</si>
  <si>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</si>
  <si>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</si>
  <si>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</si>
  <si>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</si>
  <si>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</si>
  <si>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</si>
  <si>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</si>
  <si>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</si>
  <si>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</si>
  <si>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</si>
  <si>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</si>
  <si>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</si>
  <si>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</si>
  <si>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</si>
  <si>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</si>
  <si>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</si>
  <si>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</si>
  <si>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</si>
  <si>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</si>
  <si>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</si>
  <si>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</si>
  <si>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</si>
  <si>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</si>
  <si>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</si>
  <si>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</si>
  <si>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</si>
  <si>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</si>
  <si>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</si>
  <si>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</si>
  <si>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</si>
  <si>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</si>
  <si>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</si>
  <si>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</si>
  <si>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</si>
  <si>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</si>
  <si>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</si>
  <si>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</si>
  <si>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</si>
  <si>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</si>
  <si>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</si>
  <si>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</si>
  <si>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</si>
  <si>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</si>
  <si>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</si>
  <si>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</si>
  <si>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</si>
  <si>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</si>
  <si>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</si>
  <si>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</si>
  <si>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</si>
  <si>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</si>
  <si>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</si>
  <si>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</si>
  <si>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</si>
  <si>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</si>
  <si>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</si>
  <si>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</si>
  <si>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</si>
  <si>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</si>
  <si>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</si>
  <si>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</si>
  <si>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</si>
  <si>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</si>
  <si>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</si>
  <si>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</si>
  <si>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</si>
  <si>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</si>
  <si>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</si>
  <si>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</si>
  <si>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</si>
  <si>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</si>
  <si>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</si>
  <si>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</si>
  <si>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</si>
  <si>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</si>
  <si>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</si>
  <si>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</si>
  <si>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</si>
  <si>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</si>
  <si>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</si>
  <si>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</si>
  <si>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</si>
  <si>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</si>
  <si>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</si>
  <si>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</si>
  <si>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</si>
  <si>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</si>
  <si>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</si>
  <si>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</si>
  <si>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</si>
  <si>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</si>
  <si>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</si>
  <si>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</si>
  <si>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</si>
  <si>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</si>
  <si>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</si>
  <si>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</si>
  <si>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</si>
  <si>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</si>
  <si>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</si>
  <si>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</si>
  <si>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</si>
  <si>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</si>
  <si>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</si>
  <si>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</si>
  <si>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</si>
  <si>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</si>
  <si>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</si>
  <si>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</si>
  <si>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</si>
  <si>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</si>
  <si>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</si>
  <si>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</si>
  <si>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</si>
  <si>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</si>
  <si>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</si>
  <si>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</si>
  <si>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</si>
  <si>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</si>
  <si>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</si>
  <si>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</si>
  <si>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</si>
  <si>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</si>
  <si>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</si>
  <si>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</si>
  <si>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</si>
  <si>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</si>
  <si>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</si>
  <si>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</si>
  <si>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</si>
  <si>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</si>
  <si>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</si>
  <si>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</si>
  <si>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</si>
  <si>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</si>
  <si>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</si>
  <si>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</si>
  <si>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</si>
  <si>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</si>
  <si>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</si>
  <si>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</si>
  <si>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</si>
  <si>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</si>
  <si>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</si>
  <si>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</si>
  <si>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</si>
  <si>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</si>
  <si>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</si>
  <si>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</si>
  <si>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</si>
  <si>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</si>
  <si>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</si>
  <si>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</si>
  <si>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</si>
  <si>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</si>
  <si>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</si>
  <si>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</si>
  <si>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</si>
  <si>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</si>
  <si>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</si>
  <si>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</si>
  <si>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</si>
  <si>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</si>
  <si>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</si>
  <si>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</si>
  <si>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</si>
  <si>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</si>
  <si>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</si>
  <si>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</si>
  <si>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</si>
  <si>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</si>
  <si>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</si>
  <si>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</si>
  <si>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</si>
  <si>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</si>
  <si>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</si>
  <si>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</si>
  <si>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</si>
  <si>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</si>
  <si>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</si>
  <si>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</si>
  <si>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</si>
  <si>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</si>
  <si>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</si>
  <si>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</si>
  <si>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</si>
  <si>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</si>
  <si>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</si>
  <si>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</si>
  <si>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</si>
  <si>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</si>
  <si>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</si>
  <si>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</si>
  <si>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</si>
  <si>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</si>
  <si>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</si>
  <si>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</si>
  <si>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</si>
  <si>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</si>
  <si>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</si>
  <si>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</si>
  <si>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</si>
  <si>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</si>
  <si>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</si>
  <si>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</si>
  <si>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</si>
  <si>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</si>
  <si>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</si>
  <si>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</si>
  <si>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</si>
  <si>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</si>
  <si>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</si>
  <si>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</si>
  <si>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</si>
  <si>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</si>
  <si>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</si>
  <si>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</si>
  <si>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</si>
  <si>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</si>
  <si>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</si>
  <si>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</si>
  <si>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</si>
  <si>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</si>
  <si>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</si>
  <si>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</si>
  <si>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</si>
  <si>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</si>
  <si>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</si>
  <si>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</si>
  <si>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</si>
  <si>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</si>
  <si>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</si>
  <si>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</si>
  <si>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</si>
  <si>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</si>
  <si>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</si>
  <si>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</si>
  <si>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</si>
  <si>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</si>
  <si>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</si>
  <si>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</si>
  <si>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</si>
  <si>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</si>
  <si>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</si>
  <si>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</si>
  <si>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</si>
  <si>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</si>
  <si>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</si>
  <si>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</si>
  <si>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</si>
  <si>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</si>
  <si>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</si>
  <si>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</si>
  <si>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</si>
  <si>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</si>
  <si>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</si>
  <si>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</si>
  <si>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</si>
  <si>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</si>
  <si>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</si>
  <si>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</si>
  <si>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</si>
  <si>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</si>
  <si>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</si>
  <si>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</si>
  <si>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</si>
  <si>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</si>
  <si>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</si>
  <si>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</si>
  <si>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</si>
  <si>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</si>
  <si>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</si>
  <si>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</si>
  <si>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</si>
  <si>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</si>
  <si>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</si>
  <si>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</si>
  <si>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</si>
  <si>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</si>
  <si>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</si>
  <si>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</si>
  <si>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</si>
  <si>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</si>
  <si>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</si>
  <si>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</si>
  <si>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</si>
  <si>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</si>
  <si>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</si>
  <si>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</si>
  <si>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</si>
  <si>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</si>
  <si>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</si>
  <si>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</si>
  <si>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</si>
  <si>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</si>
  <si>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</si>
  <si>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</si>
  <si>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</si>
  <si>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</si>
  <si>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</si>
  <si>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</si>
  <si>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</si>
  <si>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</si>
  <si>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</si>
  <si>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</si>
  <si>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</si>
  <si>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</si>
  <si>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</si>
  <si>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</si>
  <si>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</si>
  <si>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</si>
  <si>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</si>
  <si>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</si>
  <si>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</si>
  <si>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</si>
  <si>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</si>
  <si>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</si>
  <si>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</si>
  <si>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</si>
  <si>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</si>
  <si>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</si>
  <si>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</si>
  <si>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</si>
  <si>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</si>
  <si>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</si>
  <si>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</si>
  <si>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</si>
  <si>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</si>
  <si>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</si>
  <si>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</si>
  <si>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</si>
  <si>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</si>
  <si>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</si>
  <si>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</si>
  <si>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</si>
  <si>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</si>
  <si>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</si>
  <si>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</si>
  <si>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</si>
  <si>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</si>
  <si>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</si>
  <si>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</si>
  <si>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</si>
  <si>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</si>
  <si>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</si>
  <si>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</si>
  <si>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</si>
  <si>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</si>
  <si>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</si>
  <si>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</si>
  <si>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</si>
  <si>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</si>
  <si>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</si>
  <si>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</si>
  <si>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</si>
  <si>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</si>
  <si>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</si>
  <si>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</si>
  <si>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</si>
  <si>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</si>
  <si>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</si>
  <si>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</si>
  <si>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</si>
  <si>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</si>
  <si>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</si>
  <si>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</si>
  <si>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</si>
  <si>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</si>
  <si>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</si>
  <si>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</si>
  <si>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</si>
  <si>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</si>
  <si>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</si>
  <si>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</si>
  <si>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</si>
  <si>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</si>
  <si>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</si>
  <si>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</si>
  <si>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</si>
  <si>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</si>
  <si>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</si>
  <si>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</si>
  <si>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</si>
  <si>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</si>
  <si>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</si>
  <si>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</si>
  <si>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</si>
  <si>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</si>
  <si>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</si>
  <si>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</si>
  <si>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</si>
  <si>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</si>
  <si>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</si>
  <si>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</si>
  <si>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</si>
  <si>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</si>
  <si>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</si>
  <si>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</si>
  <si>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</si>
  <si>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</si>
  <si>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</si>
  <si>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</si>
  <si>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</si>
  <si>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</si>
  <si>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</si>
  <si>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</si>
  <si>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</si>
  <si>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</si>
  <si>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</si>
  <si>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</si>
  <si>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</si>
  <si>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</si>
  <si>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</si>
  <si>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</si>
  <si>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</si>
  <si>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</si>
  <si>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</si>
  <si>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</si>
  <si>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</si>
  <si>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</si>
  <si>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</si>
  <si>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</si>
  <si>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</si>
  <si>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</si>
  <si>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</si>
  <si>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</si>
  <si>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</si>
  <si>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</si>
  <si>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</si>
  <si>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</si>
  <si>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</si>
  <si>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</si>
  <si>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</si>
  <si>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</si>
  <si>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</si>
  <si>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</si>
  <si>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</si>
  <si>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</si>
  <si>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</si>
  <si>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</si>
  <si>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</si>
  <si>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</si>
  <si>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</si>
  <si>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</si>
  <si>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</si>
  <si>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</si>
  <si>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</si>
  <si>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</si>
  <si>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</si>
  <si>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</si>
  <si>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</si>
  <si>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</si>
  <si>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</si>
  <si>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</si>
  <si>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</si>
  <si>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</si>
  <si>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</si>
  <si>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</si>
  <si>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</si>
  <si>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</si>
  <si>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</si>
  <si>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</si>
  <si>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</si>
  <si>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</si>
  <si>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</si>
  <si>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</si>
  <si>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</si>
  <si>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</si>
  <si>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</si>
  <si>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</si>
  <si>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</si>
  <si>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</si>
  <si>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</si>
  <si>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</si>
  <si>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</si>
  <si>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</si>
  <si>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</si>
  <si>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</si>
  <si>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</si>
  <si>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</si>
  <si>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</si>
  <si>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</si>
  <si>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</si>
  <si>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</si>
  <si>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</si>
  <si>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</si>
  <si>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</si>
  <si>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</si>
  <si>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</si>
  <si>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</si>
  <si>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</si>
  <si>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</si>
  <si>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</si>
  <si>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</si>
  <si>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</si>
  <si>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</si>
  <si>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</si>
  <si>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</si>
  <si>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</si>
  <si>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</si>
  <si>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</si>
  <si>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</si>
  <si>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</si>
  <si>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</si>
  <si>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</si>
  <si>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</si>
  <si>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</si>
  <si>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</si>
  <si>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</si>
  <si>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</si>
  <si>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</si>
  <si>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</si>
  <si>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</si>
  <si>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</si>
  <si>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</si>
  <si>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</si>
  <si>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</si>
  <si>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</si>
  <si>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</si>
  <si>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</si>
  <si>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</si>
  <si>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</si>
  <si>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</si>
  <si>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</si>
  <si>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</si>
  <si>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</si>
  <si>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</si>
  <si>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</si>
  <si>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</si>
  <si>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</si>
  <si>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</si>
  <si>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</si>
  <si>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</si>
  <si>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</si>
  <si>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</si>
  <si>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</si>
  <si>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</si>
  <si>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</si>
  <si>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</si>
  <si>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</si>
  <si>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</si>
  <si>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</si>
  <si>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</si>
  <si>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</si>
  <si>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</si>
  <si>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</si>
  <si>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</si>
  <si>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</si>
  <si>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</si>
  <si>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</si>
  <si>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</si>
  <si>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</si>
  <si>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</si>
  <si>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</si>
  <si>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</si>
  <si>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</si>
  <si>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</si>
  <si>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</si>
  <si>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</si>
  <si>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</si>
  <si>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</si>
  <si>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</si>
  <si>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</si>
  <si>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</si>
  <si>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</si>
  <si>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</si>
  <si>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</si>
  <si>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</si>
  <si>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</si>
  <si>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</si>
  <si>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</si>
  <si>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</si>
  <si>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</si>
  <si>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</si>
  <si>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</si>
  <si>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</si>
  <si>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</si>
  <si>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</si>
  <si>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</si>
  <si>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</si>
  <si>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</si>
  <si>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</si>
  <si>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</si>
  <si>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</si>
  <si>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</si>
  <si>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</si>
  <si>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</si>
  <si>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</si>
  <si>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</si>
  <si>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</si>
  <si>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</si>
  <si>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</si>
  <si>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</si>
  <si>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</si>
  <si>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</si>
  <si>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</si>
  <si>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</si>
  <si>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</si>
  <si>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</si>
  <si>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</si>
  <si>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</si>
  <si>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</si>
  <si>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</si>
  <si>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</si>
  <si>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</si>
  <si>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</si>
  <si>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</si>
  <si>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</si>
  <si>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</si>
  <si>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</si>
  <si>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</si>
  <si>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</si>
  <si>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</si>
  <si>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</si>
  <si>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</si>
  <si>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</si>
  <si>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</si>
  <si>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</si>
  <si>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</si>
  <si>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</si>
  <si>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</si>
  <si>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</si>
  <si>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</si>
  <si>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</si>
  <si>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</si>
  <si>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</si>
  <si>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</si>
  <si>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</si>
  <si>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</si>
  <si>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</si>
  <si>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</si>
  <si>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</si>
  <si>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</si>
  <si>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</si>
  <si>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</si>
  <si>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</si>
  <si>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</si>
  <si>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</si>
  <si>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</si>
  <si>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</si>
  <si>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</si>
  <si>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</si>
  <si>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</si>
  <si>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</si>
  <si>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</si>
  <si>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</si>
  <si>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</si>
  <si>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</si>
  <si>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</si>
  <si>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</si>
  <si>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</si>
  <si>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</si>
  <si>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</si>
  <si>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</si>
  <si>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</si>
  <si>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</si>
  <si>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</si>
  <si>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</si>
  <si>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</si>
  <si>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</si>
  <si>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</si>
  <si>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</si>
  <si>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</si>
  <si>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</si>
  <si>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</si>
  <si>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</si>
  <si>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</si>
  <si>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</si>
  <si>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</si>
  <si>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</si>
  <si>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</si>
  <si>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</si>
  <si>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</si>
  <si>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</si>
  <si>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</si>
  <si>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</si>
  <si>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</si>
  <si>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</si>
  <si>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</si>
  <si>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</si>
  <si>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</si>
  <si>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</si>
  <si>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</si>
  <si>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</si>
  <si>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</si>
  <si>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</si>
  <si>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</si>
  <si>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</si>
  <si>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</si>
  <si>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</si>
  <si>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</si>
  <si>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</si>
  <si>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</si>
  <si>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</si>
  <si>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</si>
  <si>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</si>
  <si>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</si>
  <si>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</si>
  <si>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</si>
  <si>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</si>
  <si>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</si>
  <si>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</si>
  <si>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</si>
  <si>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</si>
  <si>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</si>
  <si>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</si>
  <si>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</si>
  <si>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</si>
  <si>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</si>
  <si>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</si>
  <si>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</si>
  <si>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</si>
  <si>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</si>
  <si>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</si>
  <si>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</si>
  <si>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</si>
  <si>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</si>
  <si>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</si>
  <si>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</si>
  <si>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</si>
  <si>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</si>
  <si>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</si>
  <si>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</si>
  <si>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</si>
  <si>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</si>
  <si>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</si>
  <si>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</si>
  <si>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</si>
  <si>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</si>
  <si>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</si>
  <si>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</si>
  <si>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</si>
  <si>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</si>
  <si>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</si>
  <si>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</si>
  <si>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</si>
  <si>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</si>
  <si>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</si>
  <si>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</si>
  <si>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</si>
  <si>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</si>
  <si>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</si>
  <si>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</si>
  <si>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</si>
  <si>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</si>
  <si>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</si>
  <si>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</si>
  <si>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</si>
  <si>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</si>
  <si>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</si>
  <si>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</si>
  <si>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</si>
  <si>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</si>
  <si>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</si>
  <si>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</si>
  <si>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</si>
  <si>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</si>
  <si>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</si>
  <si>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</si>
  <si>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</si>
  <si>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</si>
  <si>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</si>
  <si>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</si>
  <si>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</si>
  <si>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</si>
  <si>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</si>
  <si>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</si>
  <si>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</si>
  <si>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</si>
  <si>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</si>
  <si>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</si>
  <si>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</si>
  <si>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</si>
  <si>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</si>
  <si>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</si>
  <si>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</si>
  <si>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</si>
  <si>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</si>
  <si>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</si>
  <si>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</si>
  <si>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</si>
  <si>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</si>
  <si>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</si>
  <si>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</si>
  <si>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</si>
  <si>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</si>
  <si>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</si>
  <si>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</si>
  <si>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</si>
  <si>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</si>
  <si>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</si>
  <si>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</si>
  <si>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</si>
  <si>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</si>
  <si>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</si>
  <si>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</si>
  <si>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</si>
  <si>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</si>
  <si>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</si>
  <si>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</si>
  <si>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</si>
  <si>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</si>
  <si>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</si>
  <si>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</si>
  <si>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</si>
  <si>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</si>
  <si>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</si>
  <si>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</si>
  <si>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</si>
  <si>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</si>
  <si>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</si>
  <si>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</si>
  <si>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</si>
  <si>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</si>
  <si>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</si>
  <si>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</si>
  <si>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</si>
  <si>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</si>
  <si>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</si>
  <si>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</si>
  <si>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</si>
  <si>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</si>
  <si>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</si>
  <si>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</si>
  <si>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</si>
  <si>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</si>
  <si>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</si>
  <si>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</si>
  <si>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</si>
  <si>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</si>
  <si>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</si>
  <si>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</si>
  <si>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</si>
  <si>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</si>
  <si>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</si>
  <si>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</si>
  <si>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</si>
  <si>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</si>
  <si>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</si>
  <si>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</si>
  <si>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</si>
  <si>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</si>
  <si>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</si>
  <si>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</si>
  <si>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</si>
  <si>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</si>
  <si>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</si>
  <si>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</si>
  <si>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</si>
  <si>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</si>
  <si>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</si>
  <si>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</si>
  <si>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</si>
  <si>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</si>
  <si>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</si>
  <si>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</si>
  <si>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</si>
  <si>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</si>
  <si>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</si>
  <si>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</si>
  <si>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</si>
  <si>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</si>
  <si>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</si>
  <si>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</si>
  <si>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</si>
  <si>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</si>
  <si>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</si>
  <si>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</si>
  <si>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</si>
  <si>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</si>
  <si>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</si>
  <si>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</si>
  <si>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</si>
  <si>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</si>
  <si>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</si>
  <si>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</si>
  <si>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</si>
  <si>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</si>
  <si>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</si>
  <si>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</si>
  <si>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</si>
  <si>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</si>
  <si>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</si>
  <si>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</si>
  <si>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</si>
  <si>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</si>
  <si>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</si>
  <si>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</si>
  <si>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</si>
  <si>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</si>
  <si>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</si>
  <si>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</si>
  <si>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</si>
  <si>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</si>
  <si>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</si>
  <si>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</si>
  <si>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</si>
  <si>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</si>
  <si>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</si>
  <si>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</si>
  <si>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</si>
  <si>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</si>
  <si>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</si>
  <si>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</si>
  <si>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</si>
  <si>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</si>
  <si>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</si>
  <si>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</si>
  <si>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</si>
  <si>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</si>
  <si>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</si>
  <si>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</si>
  <si>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</si>
  <si>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</si>
  <si>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</si>
  <si>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</si>
  <si>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</si>
  <si>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</si>
  <si>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</si>
  <si>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</si>
  <si>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</si>
  <si>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</si>
  <si>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</si>
  <si>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</si>
  <si>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</si>
  <si>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</si>
  <si>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</si>
  <si>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</si>
  <si>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</si>
  <si>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</si>
  <si>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</si>
  <si>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</si>
  <si>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</si>
  <si>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</si>
  <si>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</si>
  <si>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</si>
  <si>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</si>
  <si>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</si>
  <si>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</si>
  <si>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</si>
  <si>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</si>
  <si>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</si>
  <si>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</si>
  <si>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</si>
  <si>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</si>
  <si>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</si>
  <si>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</si>
  <si>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</si>
  <si>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</si>
  <si>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</si>
  <si>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</si>
  <si>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</si>
  <si>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</si>
  <si>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</si>
  <si>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</si>
  <si>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</si>
  <si>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</si>
  <si>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</si>
  <si>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</si>
  <si>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</si>
  <si>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</si>
  <si>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</si>
  <si>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</si>
  <si>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</si>
  <si>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</si>
  <si>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</si>
  <si>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</si>
  <si>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</si>
  <si>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</si>
  <si>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</si>
  <si>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</si>
  <si>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</si>
  <si>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</si>
  <si>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</si>
  <si>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</si>
  <si>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</si>
  <si>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</si>
  <si>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</si>
  <si>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</si>
  <si>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</si>
  <si>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</si>
  <si>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</si>
  <si>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</si>
  <si>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</si>
  <si>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</si>
  <si>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</si>
  <si>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</si>
  <si>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</si>
  <si>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</si>
  <si>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</si>
  <si>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</si>
  <si>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</si>
  <si>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</si>
  <si>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</si>
  <si>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</si>
  <si>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</si>
  <si>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</si>
  <si>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</si>
  <si>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</si>
  <si>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</si>
  <si>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</si>
  <si>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</si>
  <si>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</si>
  <si>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</si>
  <si>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</si>
  <si>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</si>
  <si>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</si>
  <si>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</si>
  <si>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</si>
  <si>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</si>
  <si>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</si>
  <si>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</si>
  <si>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</si>
  <si>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</si>
  <si>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</si>
  <si>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</si>
  <si>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</si>
  <si>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</si>
  <si>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</si>
  <si>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</si>
  <si>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</si>
  <si>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</si>
  <si>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</si>
  <si>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</si>
  <si>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</si>
  <si>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</si>
  <si>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</si>
  <si>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</si>
  <si>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</si>
  <si>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</si>
  <si>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</si>
  <si>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</si>
  <si>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</si>
  <si>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</si>
  <si>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</si>
  <si>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</si>
  <si>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</si>
  <si>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</si>
  <si>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</si>
  <si>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</si>
  <si>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</si>
  <si>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</si>
  <si>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</si>
  <si>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</si>
  <si>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</si>
  <si>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</si>
  <si>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</si>
  <si>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</si>
  <si>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</si>
  <si>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</si>
  <si>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</si>
  <si>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</si>
  <si>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</si>
  <si>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</si>
  <si>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</si>
  <si>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</si>
  <si>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</si>
  <si>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</si>
  <si>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</si>
  <si>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</si>
  <si>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</si>
  <si>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</si>
  <si>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</si>
  <si>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</si>
  <si>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</si>
  <si>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</si>
  <si>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</si>
  <si>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</si>
  <si>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</si>
  <si>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</si>
  <si>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</si>
  <si>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</si>
  <si>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</si>
  <si>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</si>
  <si>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</si>
  <si>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</si>
  <si>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</si>
  <si>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</si>
  <si>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</si>
  <si>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</si>
  <si>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</si>
  <si>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</si>
  <si>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</si>
  <si>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</si>
  <si>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</si>
  <si>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</si>
  <si>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</si>
  <si>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</si>
  <si>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</si>
  <si>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</si>
  <si>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</si>
  <si>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</si>
  <si>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</si>
  <si>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</si>
  <si>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</si>
  <si>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</si>
  <si>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</si>
  <si>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</si>
  <si>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</si>
  <si>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</si>
  <si>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</si>
  <si>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</si>
  <si>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</si>
  <si>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</si>
  <si>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</si>
  <si>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</si>
  <si>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</si>
  <si>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</si>
  <si>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</si>
  <si>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</si>
  <si>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</si>
  <si>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</si>
  <si>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</si>
  <si>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</si>
  <si>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</si>
  <si>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</si>
  <si>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</si>
  <si>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</si>
  <si>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</si>
  <si>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</si>
  <si>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</si>
  <si>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</si>
  <si>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</si>
  <si>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</si>
  <si>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</si>
  <si>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</si>
  <si>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</si>
  <si>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</si>
  <si>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</si>
  <si>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</si>
  <si>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</si>
  <si>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</si>
  <si>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</si>
  <si>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</si>
  <si>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</si>
  <si>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</si>
  <si>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</si>
  <si>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</si>
  <si>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</si>
  <si>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</si>
  <si>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</si>
  <si>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</si>
  <si>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</si>
  <si>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</si>
  <si>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</si>
  <si>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</si>
  <si>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</si>
  <si>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</si>
  <si>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</si>
  <si>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</si>
  <si>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</si>
  <si>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</si>
  <si>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</si>
  <si>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</si>
  <si>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</si>
  <si>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</si>
  <si>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</si>
  <si>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</si>
  <si>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</si>
  <si>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</si>
  <si>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</si>
  <si>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</si>
  <si>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</si>
  <si>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</si>
  <si>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</si>
  <si>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</si>
  <si>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</si>
  <si>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</si>
  <si>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</si>
  <si>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</si>
  <si>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</si>
  <si>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</si>
  <si>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</si>
  <si>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</si>
  <si>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</si>
  <si>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</si>
  <si>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</si>
  <si>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</si>
  <si>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</si>
  <si>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</si>
  <si>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</si>
  <si>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</si>
  <si>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</si>
  <si>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</si>
  <si>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</si>
  <si>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</si>
  <si>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</si>
  <si>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</si>
  <si>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</si>
  <si>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</si>
  <si>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</si>
  <si>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</si>
  <si>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</si>
  <si>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</si>
  <si>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</si>
  <si>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</si>
  <si>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</si>
  <si>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</si>
  <si>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</si>
  <si>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</si>
  <si>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</si>
  <si>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</si>
  <si>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</si>
  <si>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</si>
  <si>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</si>
  <si>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</si>
  <si>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</si>
  <si>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</si>
  <si>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</si>
  <si>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</si>
  <si>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</si>
  <si>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</si>
  <si>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</si>
  <si>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</si>
  <si>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</si>
  <si>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</si>
  <si>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</si>
  <si>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</si>
  <si>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</si>
  <si>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</si>
  <si>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</si>
  <si>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</si>
  <si>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</si>
  <si>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</si>
  <si>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</si>
  <si>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</si>
  <si>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</si>
  <si>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</si>
  <si>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</si>
  <si>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</si>
  <si>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</si>
  <si>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</si>
  <si>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</si>
  <si>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</si>
  <si>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</si>
  <si>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</si>
  <si>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</si>
  <si>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</si>
  <si>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</si>
  <si>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</si>
  <si>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</si>
  <si>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</si>
  <si>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</si>
  <si>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</si>
  <si>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</si>
  <si>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</si>
  <si>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</si>
  <si>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</si>
  <si>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</si>
  <si>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</si>
  <si>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</si>
  <si>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</si>
  <si>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</si>
  <si>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</si>
  <si>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</si>
  <si>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</si>
  <si>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</si>
  <si>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</si>
  <si>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</si>
  <si>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</si>
  <si>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</si>
  <si>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</si>
  <si>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</si>
  <si>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</si>
  <si>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</si>
  <si>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</si>
  <si>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</si>
  <si>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</si>
  <si>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</si>
  <si>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</si>
  <si>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</si>
  <si>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</si>
  <si>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</si>
  <si>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</si>
  <si>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</si>
  <si>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</si>
  <si>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</si>
  <si>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</si>
  <si>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</si>
  <si>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</si>
  <si>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</si>
  <si>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</si>
  <si>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</si>
  <si>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</si>
  <si>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</si>
  <si>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</si>
  <si>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</si>
  <si>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</si>
  <si>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</si>
  <si>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</si>
  <si>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</si>
  <si>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</si>
  <si>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</si>
  <si>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</si>
  <si>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</si>
  <si>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</si>
  <si>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</si>
  <si>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</si>
  <si>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</si>
  <si>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</si>
  <si>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</si>
  <si>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</si>
  <si>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</si>
  <si>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</si>
  <si>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</si>
  <si>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</si>
  <si>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</si>
  <si>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</si>
  <si>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</si>
  <si>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</si>
  <si>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</si>
  <si>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</si>
  <si>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</si>
  <si>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</si>
  <si>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</si>
  <si>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</si>
  <si>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</si>
  <si>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</si>
  <si>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</si>
  <si>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</si>
  <si>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</si>
  <si>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</si>
  <si>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</si>
  <si>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</si>
  <si>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</si>
  <si>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</si>
  <si>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</si>
  <si>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</si>
  <si>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</si>
  <si>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</si>
  <si>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</si>
  <si>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</si>
  <si>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</si>
  <si>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</si>
  <si>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</si>
  <si>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</si>
  <si>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</si>
  <si>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</si>
  <si>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</si>
  <si>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</si>
  <si>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</si>
  <si>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</si>
  <si>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</si>
  <si>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</si>
  <si>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</si>
  <si>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</si>
  <si>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</si>
  <si>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</si>
  <si>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</si>
  <si>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</si>
  <si>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</si>
  <si>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</si>
  <si>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</si>
  <si>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</si>
  <si>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</si>
  <si>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</si>
  <si>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</si>
  <si>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</si>
  <si>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</si>
  <si>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</si>
  <si>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</si>
  <si>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</si>
  <si>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</si>
  <si>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</si>
  <si>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</si>
  <si>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</si>
  <si>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</si>
  <si>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</si>
  <si>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</si>
  <si>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</si>
  <si>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</si>
  <si>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</si>
  <si>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</si>
  <si>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</si>
  <si>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</si>
  <si>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</si>
  <si>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</si>
  <si>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</si>
  <si>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</si>
  <si>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</si>
  <si>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</si>
  <si>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</si>
  <si>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</si>
  <si>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</si>
  <si>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</si>
  <si>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</si>
  <si>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</si>
  <si>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</si>
  <si>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</si>
  <si>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</si>
  <si>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</si>
  <si>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</si>
  <si>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</si>
  <si>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</si>
  <si>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</si>
  <si>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</si>
  <si>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</si>
  <si>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</si>
  <si>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</si>
  <si>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</si>
  <si>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</si>
  <si>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</si>
  <si>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</si>
  <si>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</si>
  <si>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</si>
  <si>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</si>
  <si>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</si>
  <si>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</si>
  <si>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</si>
  <si>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</si>
  <si>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</si>
  <si>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</si>
  <si>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</si>
  <si>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</si>
  <si>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</si>
  <si>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</si>
  <si>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</si>
  <si>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</si>
  <si>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</si>
  <si>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</si>
  <si>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</si>
  <si>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</si>
  <si>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</si>
  <si>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</si>
  <si>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</si>
  <si>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</si>
  <si>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</si>
  <si>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</si>
  <si>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</si>
  <si>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</si>
  <si>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</si>
  <si>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</si>
  <si>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</si>
  <si>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</si>
  <si>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</si>
  <si>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</si>
  <si>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</si>
  <si>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</si>
  <si>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</si>
  <si>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</si>
  <si>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</si>
  <si>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</si>
  <si>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</si>
  <si>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</si>
  <si>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</si>
  <si>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</si>
  <si>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</si>
  <si>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</si>
  <si>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</si>
  <si>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</si>
  <si>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</si>
  <si>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</si>
  <si>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</si>
  <si>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</si>
  <si>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</si>
  <si>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</si>
  <si>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</si>
  <si>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</si>
  <si>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</si>
  <si>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</si>
  <si>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</si>
  <si>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</si>
  <si>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</si>
  <si>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</si>
  <si>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</si>
  <si>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</si>
  <si>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</si>
  <si>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</si>
  <si>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</si>
  <si>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</si>
  <si>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</si>
  <si>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</si>
  <si>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</si>
  <si>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</si>
  <si>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</si>
  <si>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</si>
  <si>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</si>
  <si>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</si>
  <si>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</si>
  <si>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</si>
  <si>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</si>
  <si>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</si>
  <si>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</si>
  <si>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</si>
  <si>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</si>
  <si>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</si>
  <si>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</si>
  <si>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</si>
  <si>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</si>
  <si>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</si>
  <si>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</si>
  <si>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</si>
  <si>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</si>
  <si>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</si>
  <si>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</si>
  <si>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</si>
  <si>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</si>
  <si>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</si>
  <si>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</si>
  <si>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</si>
  <si>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</si>
  <si>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</si>
  <si>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</si>
  <si>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</si>
  <si>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</si>
  <si>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</si>
  <si>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</si>
  <si>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</si>
  <si>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</si>
  <si>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</si>
  <si>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</si>
  <si>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</si>
  <si>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</si>
  <si>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</si>
  <si>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</si>
  <si>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</si>
  <si>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</si>
  <si>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</si>
  <si>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</si>
  <si>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</si>
  <si>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</si>
  <si>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</si>
  <si>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</si>
  <si>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</si>
  <si>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</si>
  <si>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</si>
  <si>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</si>
  <si>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</si>
  <si>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</si>
  <si>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</si>
  <si>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</si>
  <si>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</si>
  <si>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</si>
  <si>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</si>
  <si>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</si>
  <si>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</si>
  <si>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</si>
  <si>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</si>
  <si>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</si>
  <si>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</si>
  <si>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</si>
  <si>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</si>
  <si>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</si>
  <si>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</si>
  <si>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</si>
  <si>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</si>
  <si>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</si>
  <si>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</si>
  <si>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</si>
  <si>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</si>
  <si>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</si>
  <si>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</si>
  <si>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</si>
  <si>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</si>
  <si>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</si>
  <si>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</si>
  <si>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</si>
  <si>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</si>
  <si>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</si>
  <si>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</si>
  <si>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</si>
  <si>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</si>
  <si>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</si>
  <si>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</si>
  <si>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</si>
  <si>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</si>
  <si>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</si>
  <si>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</si>
  <si>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</si>
  <si>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</si>
  <si>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</si>
  <si>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</si>
  <si>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</si>
  <si>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</si>
  <si>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</si>
  <si>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</si>
  <si>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</si>
  <si>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</si>
  <si>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</si>
  <si>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</si>
  <si>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</si>
  <si>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</si>
  <si>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</si>
  <si>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</si>
  <si>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</si>
  <si>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</si>
  <si>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</si>
  <si>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</si>
  <si>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</si>
  <si>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</si>
  <si>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</si>
  <si>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</si>
  <si>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</si>
  <si>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</si>
  <si>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</si>
  <si>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</si>
  <si>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</si>
  <si>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</si>
  <si>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</si>
  <si>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</si>
  <si>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</si>
  <si>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</si>
  <si>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</si>
  <si>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</si>
  <si>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</si>
  <si>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</si>
  <si>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</si>
  <si>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</si>
  <si>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</si>
  <si>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</si>
  <si>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</si>
  <si>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</si>
  <si>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</si>
  <si>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</si>
  <si>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</si>
  <si>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</si>
  <si>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</si>
  <si>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</si>
  <si>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</si>
  <si>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</si>
  <si>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</si>
  <si>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</si>
  <si>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</si>
  <si>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</si>
  <si>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</si>
  <si>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</si>
  <si>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</si>
  <si>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</si>
  <si>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</si>
  <si>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</si>
  <si>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</si>
  <si>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</si>
  <si>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</si>
  <si>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</si>
  <si>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</si>
  <si>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</si>
  <si>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</si>
  <si>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</si>
  <si>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</si>
  <si>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</si>
  <si>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</si>
  <si>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</si>
  <si>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</si>
  <si>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</si>
  <si>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</si>
  <si>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</si>
  <si>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</si>
  <si>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</si>
  <si>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</si>
  <si>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</si>
  <si>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</si>
  <si>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</si>
  <si>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</si>
  <si>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</si>
  <si>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</si>
  <si>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</si>
  <si>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</si>
  <si>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</si>
  <si>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</si>
  <si>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</si>
  <si>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</si>
  <si>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</si>
  <si>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</si>
  <si>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</si>
  <si>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</si>
  <si>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</si>
  <si>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</si>
  <si>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</si>
  <si>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</si>
  <si>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</si>
  <si>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</si>
  <si>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</si>
  <si>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</si>
  <si>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</si>
  <si>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</si>
  <si>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</si>
  <si>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</si>
  <si>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</si>
  <si>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</si>
  <si>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</si>
  <si>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</si>
  <si>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</si>
  <si>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</si>
  <si>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</si>
  <si>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</si>
  <si>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</si>
  <si>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</si>
  <si>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</si>
  <si>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</si>
  <si>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</si>
  <si>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</si>
  <si>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</si>
  <si>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</si>
  <si>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</si>
  <si>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</si>
  <si>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</si>
  <si>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</si>
  <si>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</si>
  <si>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</si>
  <si>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</si>
  <si>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</si>
  <si>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</si>
  <si>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</si>
  <si>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</si>
  <si>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</si>
  <si>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</si>
  <si>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씨앤엠(1)</t>
    <phoneticPr fontId="2" type="noConversion"/>
  </si>
  <si>
    <t>검사 입회 10시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</si>
  <si>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</si>
  <si>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</si>
  <si>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</si>
  <si>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</si>
  <si>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</si>
  <si>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</si>
  <si>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</si>
  <si>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</si>
  <si>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</si>
  <si>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</si>
  <si>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</si>
  <si>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</si>
  <si>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</si>
  <si>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</si>
  <si>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</si>
  <si>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</si>
  <si>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</si>
  <si>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</si>
  <si>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</si>
  <si>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</si>
  <si>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</si>
  <si>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</si>
  <si>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</si>
  <si>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</si>
  <si>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</si>
  <si>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</si>
  <si>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</si>
  <si>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</si>
  <si>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</si>
  <si>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PC</t>
    <phoneticPr fontId="2" type="noConversion"/>
  </si>
  <si>
    <t>범양(최기추)</t>
    <phoneticPr fontId="2" type="noConversion"/>
  </si>
  <si>
    <t>34주 긴급지원</t>
    <phoneticPr fontId="2" type="noConversion"/>
  </si>
  <si>
    <t>9/1 ~ 9/2</t>
    <phoneticPr fontId="2" type="noConversion"/>
  </si>
  <si>
    <t>9/3 ~ 9/4</t>
    <phoneticPr fontId="2" type="noConversion"/>
  </si>
  <si>
    <t>개선사항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</si>
  <si>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</si>
  <si>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</si>
  <si>
    <t>P168 RCS 보증수리 (충남함 갑판장) 일정 협의 필요</t>
    <phoneticPr fontId="2" type="noConversion"/>
  </si>
  <si>
    <t>HIO(1), 동아(1)</t>
    <phoneticPr fontId="2" type="noConversion"/>
  </si>
  <si>
    <t>1060</t>
    <phoneticPr fontId="2" type="noConversion"/>
  </si>
  <si>
    <t>군산3부두</t>
    <phoneticPr fontId="2" type="noConversion"/>
  </si>
  <si>
    <t>BR</t>
    <phoneticPr fontId="2" type="noConversion"/>
  </si>
  <si>
    <t>사전 미팅</t>
    <phoneticPr fontId="2" type="noConversion"/>
  </si>
  <si>
    <t>개인차량</t>
    <phoneticPr fontId="2" type="noConversion"/>
  </si>
  <si>
    <t>이시맥, 김용진</t>
    <phoneticPr fontId="2" type="noConversion"/>
  </si>
  <si>
    <t>로드셀 세팅, 인디게이터 커버 설치 외 잔여작업 조치</t>
    <phoneticPr fontId="2" type="noConversion"/>
  </si>
  <si>
    <t>개인차량</t>
    <phoneticPr fontId="2" type="noConversion"/>
  </si>
  <si>
    <t>천상욱, 김현우</t>
    <phoneticPr fontId="2" type="noConversion"/>
  </si>
  <si>
    <t>김용진</t>
    <phoneticPr fontId="2" type="noConversion"/>
  </si>
  <si>
    <t>로드셀 세팅, 인디게이터 커버 설치 외 잔여작업 조치, STW</t>
    <phoneticPr fontId="2" type="noConversion"/>
  </si>
  <si>
    <t>자체테스트</t>
    <phoneticPr fontId="2" type="noConversion"/>
  </si>
  <si>
    <t xml:space="preserve">이시맥 </t>
    <phoneticPr fontId="2" type="noConversion"/>
  </si>
  <si>
    <t>HIO(1), 동아(1), 림스코(1), TPS(1)</t>
    <phoneticPr fontId="2" type="noConversion"/>
  </si>
  <si>
    <t>유압 재세팅 &amp; 시운전, 우현 검사 입회(1시) &amp; 승조원교육(3시)</t>
    <phoneticPr fontId="2" type="noConversion"/>
  </si>
  <si>
    <t xml:space="preserve">TPS(1) </t>
    <phoneticPr fontId="2" type="noConversion"/>
  </si>
  <si>
    <t>PE</t>
    <phoneticPr fontId="2" type="noConversion"/>
  </si>
  <si>
    <t>빌지센서 검사 지원 (10:30)</t>
    <phoneticPr fontId="2" type="noConversion"/>
  </si>
  <si>
    <t>플러드 라이트 고정상태 검사</t>
    <phoneticPr fontId="2" type="noConversion"/>
  </si>
  <si>
    <t>천상욱</t>
    <phoneticPr fontId="2" type="noConversion"/>
  </si>
  <si>
    <t>A/S</t>
    <phoneticPr fontId="2" type="noConversion"/>
  </si>
  <si>
    <t>인도전</t>
    <phoneticPr fontId="2" type="noConversion"/>
  </si>
  <si>
    <t>P179</t>
    <phoneticPr fontId="2" type="noConversion"/>
  </si>
  <si>
    <t>HD</t>
    <phoneticPr fontId="2" type="noConversion"/>
  </si>
  <si>
    <t>씨앤엠(1)</t>
    <phoneticPr fontId="2" type="noConversion"/>
  </si>
  <si>
    <t>무상</t>
    <phoneticPr fontId="2" type="noConversion"/>
  </si>
  <si>
    <t>개인차량</t>
    <phoneticPr fontId="2" type="noConversion"/>
  </si>
  <si>
    <t>HOC</t>
    <phoneticPr fontId="2" type="noConversion"/>
  </si>
  <si>
    <t>외주정비</t>
    <phoneticPr fontId="2" type="noConversion"/>
  </si>
  <si>
    <t>동해어업관리단</t>
    <phoneticPr fontId="2" type="noConversion"/>
  </si>
  <si>
    <t>무궁화1호</t>
    <phoneticPr fontId="2" type="noConversion"/>
  </si>
  <si>
    <t>RB</t>
    <phoneticPr fontId="2" type="noConversion"/>
  </si>
  <si>
    <t>좌현 펜둘레이션 실린더 1개 교체</t>
    <phoneticPr fontId="2" type="noConversion"/>
  </si>
  <si>
    <t>우신(2)</t>
    <phoneticPr fontId="2" type="noConversion"/>
  </si>
  <si>
    <t>유상</t>
    <phoneticPr fontId="2" type="noConversion"/>
  </si>
  <si>
    <t>우신차량</t>
    <phoneticPr fontId="2" type="noConversion"/>
  </si>
  <si>
    <t>김유신, 김현우</t>
    <phoneticPr fontId="2" type="noConversion"/>
  </si>
  <si>
    <t>우신(1)</t>
    <phoneticPr fontId="2" type="noConversion"/>
  </si>
  <si>
    <t>박성용</t>
    <phoneticPr fontId="2" type="noConversion"/>
  </si>
  <si>
    <t>우신(1)</t>
    <phoneticPr fontId="2" type="noConversion"/>
  </si>
  <si>
    <t>천상욱</t>
    <phoneticPr fontId="2" type="noConversion"/>
  </si>
  <si>
    <t>천상욱</t>
    <phoneticPr fontId="2" type="noConversion"/>
  </si>
  <si>
    <t>박주성, 이시맥, 김용진</t>
    <phoneticPr fontId="2" type="noConversion"/>
  </si>
  <si>
    <t>보트 시트 설치</t>
    <phoneticPr fontId="2" type="noConversion"/>
  </si>
  <si>
    <t>평가 검사</t>
    <phoneticPr fontId="2" type="noConversion"/>
  </si>
  <si>
    <t>화요일 진행 사항 보고 결정</t>
    <phoneticPr fontId="2" type="noConversion"/>
  </si>
  <si>
    <t>0160</t>
    <phoneticPr fontId="2" type="noConversion"/>
  </si>
  <si>
    <t>우신차량</t>
    <phoneticPr fontId="2" type="noConversion"/>
  </si>
  <si>
    <t>크레들 수정. 리모컨 고정</t>
    <phoneticPr fontId="2" type="noConversion"/>
  </si>
  <si>
    <t>35주 추가
도면불량/선주코멘트</t>
    <phoneticPr fontId="2" type="noConversion"/>
  </si>
  <si>
    <t>계약사항</t>
    <phoneticPr fontId="2" type="noConversion"/>
  </si>
  <si>
    <t>9/7 ~ 9/9</t>
    <phoneticPr fontId="2" type="noConversion"/>
  </si>
  <si>
    <t>SN2729</t>
    <phoneticPr fontId="2" type="noConversion"/>
  </si>
  <si>
    <t>CMR</t>
    <phoneticPr fontId="2" type="noConversion"/>
  </si>
  <si>
    <t>9/10 ~ 9/11</t>
    <phoneticPr fontId="2" type="noConversion"/>
  </si>
  <si>
    <t>범양(최기추2)</t>
    <phoneticPr fontId="2" type="noConversion"/>
  </si>
  <si>
    <t>9/7 ~ 9/8</t>
    <phoneticPr fontId="2" type="noConversion"/>
  </si>
  <si>
    <t>9/9 ~ 9/11</t>
    <phoneticPr fontId="2" type="noConversion"/>
  </si>
  <si>
    <t>범양(최기추3)</t>
    <phoneticPr fontId="2" type="noConversion"/>
  </si>
  <si>
    <t>PV</t>
    <phoneticPr fontId="2" type="noConversion"/>
  </si>
  <si>
    <t>코멘트 조치</t>
    <phoneticPr fontId="2" type="noConversion"/>
  </si>
  <si>
    <t>9/7 ~ 9/11</t>
    <phoneticPr fontId="2" type="noConversion"/>
  </si>
  <si>
    <t>35주 긴급지원</t>
    <phoneticPr fontId="2" type="noConversion"/>
  </si>
  <si>
    <t>박해식(오후)</t>
    <phoneticPr fontId="2" type="noConversion"/>
  </si>
  <si>
    <t>유상신</t>
    <phoneticPr fontId="2" type="noConversion"/>
  </si>
  <si>
    <t>에이치아이오엔지니어링</t>
    <phoneticPr fontId="2" type="noConversion"/>
  </si>
  <si>
    <t>에이치아이오엔지니어링</t>
    <phoneticPr fontId="2" type="noConversion"/>
  </si>
  <si>
    <t>범양마린엔지니어링</t>
    <phoneticPr fontId="2" type="noConversion"/>
  </si>
  <si>
    <t>우신테크</t>
    <phoneticPr fontId="2" type="noConversion"/>
  </si>
  <si>
    <t>진진산업</t>
    <phoneticPr fontId="2" type="noConversion"/>
  </si>
  <si>
    <t>sheave stand 보강, bearing 교체, 
엔코더케이스 교체 외</t>
    <phoneticPr fontId="2" type="noConversion"/>
  </si>
  <si>
    <t>HD</t>
    <phoneticPr fontId="2" type="noConversion"/>
  </si>
  <si>
    <t>승조원 운용교육 영상 촬영(11시) / 교육서명 및 교육사진 촬영_제출</t>
    <phoneticPr fontId="2" type="noConversion"/>
  </si>
  <si>
    <t>갑판장 010-3583-5878</t>
    <phoneticPr fontId="2" type="noConversion"/>
  </si>
  <si>
    <t>플러드 라이트 고정상태 검사 / 빌지센서 검사 지원 (1:30)</t>
    <phoneticPr fontId="2" type="noConversion"/>
  </si>
  <si>
    <t>자체테스트</t>
    <phoneticPr fontId="2" type="noConversion"/>
  </si>
  <si>
    <t>체인 소리 심함, 커버 간섭, 락/언락 작동 불량, 체인 구동부 텐션 부족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</si>
  <si>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</si>
  <si>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</si>
  <si>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</si>
  <si>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우신차량</t>
    <phoneticPr fontId="2" type="noConversion"/>
  </si>
  <si>
    <t>검사 준비 / 자체테스트</t>
    <phoneticPr fontId="2" type="noConversion"/>
  </si>
  <si>
    <t>박성용</t>
    <phoneticPr fontId="2" type="noConversion"/>
  </si>
  <si>
    <t>우신(1)</t>
    <phoneticPr fontId="2" type="noConversion"/>
  </si>
  <si>
    <t>송영국</t>
    <phoneticPr fontId="2" type="noConversion"/>
  </si>
  <si>
    <t>김유신</t>
    <phoneticPr fontId="2" type="noConversion"/>
  </si>
  <si>
    <t>인디게이터 반출</t>
    <phoneticPr fontId="2" type="noConversion"/>
  </si>
  <si>
    <t>이시맥</t>
    <phoneticPr fontId="2" type="noConversion"/>
  </si>
  <si>
    <t>무상</t>
    <phoneticPr fontId="2" type="noConversion"/>
  </si>
  <si>
    <t>0160</t>
    <phoneticPr fontId="2" type="noConversion"/>
  </si>
  <si>
    <t>이시맥</t>
    <phoneticPr fontId="2" type="noConversion"/>
  </si>
  <si>
    <t>이시맥(오후)</t>
    <phoneticPr fontId="2" type="noConversion"/>
  </si>
  <si>
    <t>사내</t>
    <phoneticPr fontId="2" type="noConversion"/>
  </si>
  <si>
    <t>납품전</t>
    <phoneticPr fontId="2" type="noConversion"/>
  </si>
  <si>
    <t>HT</t>
    <phoneticPr fontId="2" type="noConversion"/>
  </si>
  <si>
    <t>W308</t>
    <phoneticPr fontId="2" type="noConversion"/>
  </si>
  <si>
    <t>TF</t>
    <phoneticPr fontId="2" type="noConversion"/>
  </si>
  <si>
    <t>HTS 와이어 로프 와이어 드럼에 권선</t>
    <phoneticPr fontId="2" type="noConversion"/>
  </si>
  <si>
    <t>-</t>
    <phoneticPr fontId="2" type="noConversion"/>
  </si>
  <si>
    <t>검사 입회 (9:30)</t>
    <phoneticPr fontId="2" type="noConversion"/>
  </si>
  <si>
    <t>CNM(1)</t>
    <phoneticPr fontId="2" type="noConversion"/>
  </si>
  <si>
    <t>개인차량</t>
    <phoneticPr fontId="2" type="noConversion"/>
  </si>
  <si>
    <t>DST(1)</t>
    <phoneticPr fontId="2" type="noConversion"/>
  </si>
  <si>
    <t>0160</t>
    <phoneticPr fontId="2" type="noConversion"/>
  </si>
  <si>
    <t>박성용</t>
    <phoneticPr fontId="2" type="noConversion"/>
  </si>
  <si>
    <t>검사 입회 (9:30분)</t>
    <phoneticPr fontId="2" type="noConversion"/>
  </si>
  <si>
    <t>0160</t>
    <phoneticPr fontId="2" type="noConversion"/>
  </si>
  <si>
    <t>김용진(오후)</t>
    <phoneticPr fontId="2" type="noConversion"/>
  </si>
  <si>
    <t>A/S</t>
    <phoneticPr fontId="2" type="noConversion"/>
  </si>
  <si>
    <t>인도전</t>
    <phoneticPr fontId="2" type="noConversion"/>
  </si>
  <si>
    <t>군산항</t>
    <phoneticPr fontId="2" type="noConversion"/>
  </si>
  <si>
    <t>TNG026</t>
    <phoneticPr fontId="2" type="noConversion"/>
  </si>
  <si>
    <t>RB</t>
    <phoneticPr fontId="2" type="noConversion"/>
  </si>
  <si>
    <t>무상</t>
    <phoneticPr fontId="2" type="noConversion"/>
  </si>
  <si>
    <t>추석 연휴</t>
    <phoneticPr fontId="2" type="noConversion"/>
  </si>
  <si>
    <t>추석 연휴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</si>
  <si>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</si>
  <si>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</si>
  <si>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</si>
  <si>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작동 점검/조치</t>
    <phoneticPr fontId="2" type="noConversion"/>
  </si>
  <si>
    <t>김용진</t>
    <phoneticPr fontId="2" type="noConversion"/>
  </si>
  <si>
    <t>진진(1)</t>
    <phoneticPr fontId="2" type="noConversion"/>
  </si>
  <si>
    <t>박재규</t>
    <phoneticPr fontId="2" type="noConversion"/>
  </si>
  <si>
    <t>김유신</t>
    <phoneticPr fontId="2" type="noConversion"/>
  </si>
  <si>
    <t>P178</t>
    <phoneticPr fontId="2" type="noConversion"/>
  </si>
  <si>
    <t>HD</t>
    <phoneticPr fontId="2" type="noConversion"/>
  </si>
  <si>
    <t>등화관제 및 코멘트 조치</t>
    <phoneticPr fontId="2" type="noConversion"/>
  </si>
  <si>
    <t>씨앤엠(4)</t>
    <phoneticPr fontId="2" type="noConversion"/>
  </si>
  <si>
    <t>무상</t>
    <phoneticPr fontId="2" type="noConversion"/>
  </si>
  <si>
    <t>개인차량</t>
    <phoneticPr fontId="2" type="noConversion"/>
  </si>
  <si>
    <t>진진(2)</t>
    <phoneticPr fontId="2" type="noConversion"/>
  </si>
  <si>
    <t>코멘트 검사</t>
    <phoneticPr fontId="2" type="noConversion"/>
  </si>
  <si>
    <t>크레들 수정, 보트 시트 측정, 윈치 슬립현상 확인, 보트 안착 불량 코멘트 조치</t>
    <phoneticPr fontId="2" type="noConversion"/>
  </si>
  <si>
    <t>검사 코멘트 확인/ 조치</t>
    <phoneticPr fontId="2" type="noConversion"/>
  </si>
  <si>
    <t>권용연, 최병경, 김현우, 천상욱</t>
    <phoneticPr fontId="2" type="noConversion"/>
  </si>
  <si>
    <t>박재규, 박용웅</t>
    <phoneticPr fontId="2" type="noConversion"/>
  </si>
  <si>
    <t>개인차량</t>
    <phoneticPr fontId="2" type="noConversion"/>
  </si>
  <si>
    <t>P169</t>
    <phoneticPr fontId="2" type="noConversion"/>
  </si>
  <si>
    <t>박주성</t>
    <phoneticPr fontId="2" type="noConversion"/>
  </si>
  <si>
    <t>씨앤엠(1)</t>
    <phoneticPr fontId="2" type="noConversion"/>
  </si>
  <si>
    <t>신상훈</t>
    <phoneticPr fontId="2" type="noConversion"/>
  </si>
  <si>
    <t>9/14 ~ 9/15</t>
    <phoneticPr fontId="2" type="noConversion"/>
  </si>
  <si>
    <t>36주 긴급지원</t>
    <phoneticPr fontId="2" type="noConversion"/>
  </si>
  <si>
    <t>9/14 ~ 9/16</t>
    <phoneticPr fontId="2" type="noConversion"/>
  </si>
  <si>
    <t>9/17 ~ 9/18</t>
    <phoneticPr fontId="2" type="noConversion"/>
  </si>
  <si>
    <t>9/14 ~ 9/18</t>
    <phoneticPr fontId="2" type="noConversion"/>
  </si>
  <si>
    <t>조립/ 설치</t>
    <phoneticPr fontId="2" type="noConversion"/>
  </si>
  <si>
    <t>HJSC</t>
    <phoneticPr fontId="2" type="noConversion"/>
  </si>
  <si>
    <t>독도함</t>
    <phoneticPr fontId="2" type="noConversion"/>
  </si>
  <si>
    <t>CS, ER</t>
    <phoneticPr fontId="2" type="noConversion"/>
  </si>
  <si>
    <t>박주성</t>
    <phoneticPr fontId="2" type="noConversion"/>
  </si>
  <si>
    <t>무상</t>
    <phoneticPr fontId="2" type="noConversion"/>
  </si>
  <si>
    <t>박해식(오후)</t>
    <phoneticPr fontId="2" type="noConversion"/>
  </si>
  <si>
    <t>시운전 재평가 (10시)</t>
    <phoneticPr fontId="2" type="noConversion"/>
  </si>
  <si>
    <t>블록스탑 검사 입회</t>
    <phoneticPr fontId="2" type="noConversion"/>
  </si>
  <si>
    <t>검사 입회 (9:30분) / 선주코멘트 (도장보수, 그리스도포 외)</t>
    <phoneticPr fontId="2" type="noConversion"/>
  </si>
  <si>
    <t>DST(1), 우신(1)</t>
    <phoneticPr fontId="2" type="noConversion"/>
  </si>
  <si>
    <t>김유신&lt;사전품의추가&gt;</t>
    <phoneticPr fontId="2" type="noConversion"/>
  </si>
  <si>
    <t>인디게이터 설치, 로드셀 세팅</t>
    <phoneticPr fontId="2" type="noConversion"/>
  </si>
  <si>
    <t>김용진</t>
    <phoneticPr fontId="2" type="noConversion"/>
  </si>
  <si>
    <t>동아(2)</t>
    <phoneticPr fontId="2" type="noConversion"/>
  </si>
  <si>
    <t>무상</t>
    <phoneticPr fontId="2" type="noConversion"/>
  </si>
  <si>
    <t>0160</t>
    <phoneticPr fontId="2" type="noConversion"/>
  </si>
  <si>
    <t>실린더 &amp; 펌프 검사 (사내)</t>
    <phoneticPr fontId="2" type="noConversion"/>
  </si>
  <si>
    <t>-</t>
    <phoneticPr fontId="2" type="noConversion"/>
  </si>
  <si>
    <t>개인차량</t>
    <phoneticPr fontId="2" type="noConversion"/>
  </si>
  <si>
    <t>이시맥, 김용진</t>
    <phoneticPr fontId="2" type="noConversion"/>
  </si>
  <si>
    <t>0160</t>
    <phoneticPr fontId="2" type="noConversion"/>
  </si>
  <si>
    <t>-</t>
    <phoneticPr fontId="2" type="noConversion"/>
  </si>
  <si>
    <t>박성용</t>
    <phoneticPr fontId="2" type="noConversion"/>
  </si>
  <si>
    <t>-</t>
    <phoneticPr fontId="2" type="noConversion"/>
  </si>
  <si>
    <t>박성용, 김용진</t>
    <phoneticPr fontId="2" type="noConversion"/>
  </si>
  <si>
    <t>크래들 수정, 보트 시트 설치</t>
    <phoneticPr fontId="2" type="noConversion"/>
  </si>
  <si>
    <t>CLAIM</t>
    <phoneticPr fontId="2" type="noConversion"/>
  </si>
  <si>
    <t>인도후</t>
    <phoneticPr fontId="2" type="noConversion"/>
  </si>
  <si>
    <t>대만</t>
    <phoneticPr fontId="2" type="noConversion"/>
  </si>
  <si>
    <t>OJC</t>
    <phoneticPr fontId="2" type="noConversion"/>
  </si>
  <si>
    <t>NO.1/2/3 CRANE CLAIM 점검/조치</t>
    <phoneticPr fontId="2" type="noConversion"/>
  </si>
  <si>
    <t>이시맥, 김영민, 김동명</t>
    <phoneticPr fontId="2" type="noConversion"/>
  </si>
  <si>
    <t>우신(1)</t>
    <phoneticPr fontId="2" type="noConversion"/>
  </si>
  <si>
    <t>개인차량</t>
    <phoneticPr fontId="2" type="noConversion"/>
  </si>
  <si>
    <t>0160</t>
    <phoneticPr fontId="2" type="noConversion"/>
  </si>
  <si>
    <t>박성용, 김용진</t>
    <phoneticPr fontId="2" type="noConversion"/>
  </si>
  <si>
    <t>-</t>
    <phoneticPr fontId="2" type="noConversion"/>
  </si>
  <si>
    <t>씨앤엠(3)</t>
    <phoneticPr fontId="2" type="noConversion"/>
  </si>
  <si>
    <t>STW (모터 샤프트 손상 수정 후 설치)</t>
    <phoneticPr fontId="2" type="noConversion"/>
  </si>
  <si>
    <t>STW</t>
    <phoneticPr fontId="2" type="noConversion"/>
  </si>
  <si>
    <t>박재규, 박용웅
권택언주무관 : 010-4748-9869</t>
    <phoneticPr fontId="2" type="noConversion"/>
  </si>
  <si>
    <t>김용휸, 최재호</t>
    <phoneticPr fontId="2" type="noConversion"/>
  </si>
  <si>
    <t>권용연 외</t>
    <phoneticPr fontId="2" type="noConversion"/>
  </si>
  <si>
    <t>37주 긴급지원</t>
    <phoneticPr fontId="2" type="noConversion"/>
  </si>
  <si>
    <t>37주 긴급지원</t>
    <phoneticPr fontId="2" type="noConversion"/>
  </si>
  <si>
    <t>HIO(2)</t>
    <phoneticPr fontId="2" type="noConversion"/>
  </si>
  <si>
    <t>PC</t>
    <phoneticPr fontId="2" type="noConversion"/>
  </si>
  <si>
    <t>사상, 도장 수정 작업</t>
    <phoneticPr fontId="2" type="noConversion"/>
  </si>
  <si>
    <t>SN2729</t>
    <phoneticPr fontId="2" type="noConversion"/>
  </si>
  <si>
    <t>UP 조립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</si>
  <si>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</si>
  <si>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</si>
  <si>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</si>
  <si>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범양(3)</t>
    <phoneticPr fontId="2" type="noConversion"/>
  </si>
  <si>
    <t>-</t>
    <phoneticPr fontId="2" type="noConversion"/>
  </si>
  <si>
    <t>9/21 ~ 9/23</t>
    <phoneticPr fontId="2" type="noConversion"/>
  </si>
  <si>
    <t>조립</t>
    <phoneticPr fontId="2" type="noConversion"/>
  </si>
  <si>
    <t>HIO(3)</t>
    <phoneticPr fontId="2" type="noConversion"/>
  </si>
  <si>
    <t>진진(2)</t>
    <phoneticPr fontId="2" type="noConversion"/>
  </si>
  <si>
    <t>박재규, 박용웅</t>
    <phoneticPr fontId="2" type="noConversion"/>
  </si>
  <si>
    <t>계약사항</t>
    <phoneticPr fontId="2" type="noConversion"/>
  </si>
  <si>
    <t>STW</t>
    <phoneticPr fontId="2" type="noConversion"/>
  </si>
  <si>
    <t>동아(2)</t>
    <phoneticPr fontId="2" type="noConversion"/>
  </si>
  <si>
    <t>인디게이터 결선/점검, STW</t>
    <phoneticPr fontId="2" type="noConversion"/>
  </si>
  <si>
    <t>김용훈, 최재호</t>
    <phoneticPr fontId="2" type="noConversion"/>
  </si>
  <si>
    <t>HMD</t>
    <phoneticPr fontId="2" type="noConversion"/>
  </si>
  <si>
    <t>H8448</t>
    <phoneticPr fontId="2" type="noConversion"/>
  </si>
  <si>
    <t>HH</t>
    <phoneticPr fontId="2" type="noConversion"/>
  </si>
  <si>
    <t>야드 대조립관련 미팅</t>
    <phoneticPr fontId="2" type="noConversion"/>
  </si>
  <si>
    <t>박주성</t>
    <phoneticPr fontId="2" type="noConversion"/>
  </si>
  <si>
    <t>-</t>
    <phoneticPr fontId="2" type="noConversion"/>
  </si>
  <si>
    <t>0160</t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</si>
  <si>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</si>
  <si>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</si>
  <si>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</si>
  <si>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ML</t>
    <phoneticPr fontId="2" type="noConversion"/>
  </si>
  <si>
    <t>설치</t>
    <phoneticPr fontId="2" type="noConversion"/>
  </si>
  <si>
    <t>우신(3)</t>
    <phoneticPr fontId="2" type="noConversion"/>
  </si>
  <si>
    <t>우신(3)</t>
    <phoneticPr fontId="2" type="noConversion"/>
  </si>
  <si>
    <t xml:space="preserve">센서 시트 용접/설치, 사전준비 </t>
    <phoneticPr fontId="2" type="noConversion"/>
  </si>
  <si>
    <t>우신차량</t>
    <phoneticPr fontId="2" type="noConversion"/>
  </si>
  <si>
    <t>우신차량</t>
    <phoneticPr fontId="2" type="noConversion"/>
  </si>
  <si>
    <t>대체공휴일</t>
    <phoneticPr fontId="2" type="noConversion"/>
  </si>
  <si>
    <t>한글날</t>
    <phoneticPr fontId="2" type="noConversion"/>
  </si>
  <si>
    <t>그리스 라인 설치, STW</t>
    <phoneticPr fontId="2" type="noConversion"/>
  </si>
  <si>
    <t>서영진</t>
    <phoneticPr fontId="2" type="noConversion"/>
  </si>
  <si>
    <t>서영진</t>
    <phoneticPr fontId="2" type="noConversion"/>
  </si>
  <si>
    <t>설치 (크레인 9시)</t>
    <phoneticPr fontId="2" type="noConversion"/>
  </si>
  <si>
    <t>39주</t>
    <phoneticPr fontId="2" type="noConversion"/>
  </si>
  <si>
    <t>40주</t>
    <phoneticPr fontId="2" type="noConversion"/>
  </si>
  <si>
    <t>41주</t>
    <phoneticPr fontId="2" type="noConversion"/>
  </si>
  <si>
    <t>42주</t>
    <phoneticPr fontId="2" type="noConversion"/>
  </si>
  <si>
    <t>납품 / 설치 (크레인 9시)</t>
    <phoneticPr fontId="2" type="noConversion"/>
  </si>
  <si>
    <t>9/28 ~ 10/2</t>
    <phoneticPr fontId="2" type="noConversion"/>
  </si>
  <si>
    <t>범양(최기추5)</t>
    <phoneticPr fontId="2" type="noConversion"/>
  </si>
  <si>
    <t>9/28 ~ 9/30</t>
    <phoneticPr fontId="2" type="noConversion"/>
  </si>
  <si>
    <t>10/1 ~ 10/2</t>
    <phoneticPr fontId="2" type="noConversion"/>
  </si>
  <si>
    <t>시운전, 초크테스트</t>
    <phoneticPr fontId="2" type="noConversion"/>
  </si>
  <si>
    <t>인디게이터 설치, PUNCH 조치</t>
    <phoneticPr fontId="2" type="noConversion"/>
  </si>
  <si>
    <t>인도후</t>
    <phoneticPr fontId="2" type="noConversion"/>
  </si>
  <si>
    <t>P168</t>
    <phoneticPr fontId="2" type="noConversion"/>
  </si>
  <si>
    <t>HD, RCS</t>
    <phoneticPr fontId="2" type="noConversion"/>
  </si>
  <si>
    <t>무상</t>
    <phoneticPr fontId="2" type="noConversion"/>
  </si>
  <si>
    <t>우신차량</t>
    <phoneticPr fontId="2" type="noConversion"/>
  </si>
  <si>
    <t>한라IMS(영도)</t>
    <phoneticPr fontId="2" type="noConversion"/>
  </si>
  <si>
    <t>승조원 교육 (9시0분 / 인원수 : 약 9명)
HD 현대중공업 함정사업본부(구 특수선사업부) 함정 경영본관 1층 접견실내 회의실</t>
    <phoneticPr fontId="2" type="noConversion"/>
  </si>
  <si>
    <t>갑판장 / 원사 염회제 / 연락처 : 010 - 4233 - 8625</t>
    <phoneticPr fontId="2" type="noConversion"/>
  </si>
  <si>
    <t>TPS(2)</t>
    <phoneticPr fontId="2" type="noConversion"/>
  </si>
  <si>
    <t>무상</t>
    <phoneticPr fontId="2" type="noConversion"/>
  </si>
  <si>
    <t>0160</t>
    <phoneticPr fontId="2" type="noConversion"/>
  </si>
  <si>
    <t>안전 교육 오전 8시 / 보증수리 (10시)
실물신분증 및 출입서류 지참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</si>
  <si>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</si>
  <si>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</si>
  <si>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9/1 ~ 9/4</t>
    <phoneticPr fontId="2" type="noConversion"/>
  </si>
  <si>
    <t>9/28 ~ 9/30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</si>
  <si>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</si>
  <si>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</si>
  <si>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</si>
  <si>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</si>
  <si>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</si>
  <si>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무상</t>
    <phoneticPr fontId="2" type="noConversion"/>
  </si>
  <si>
    <t>개인차량</t>
    <phoneticPr fontId="2" type="noConversion"/>
  </si>
  <si>
    <t>메쉬망 설치 기술 지원</t>
    <phoneticPr fontId="2" type="noConversion"/>
  </si>
  <si>
    <t>우신(1), 씨앤엠(1)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</si>
  <si>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</si>
  <si>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</si>
  <si>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</si>
  <si>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 xml:space="preserve">  Blocstop 해체 / 도어 해체</t>
    <phoneticPr fontId="2" type="noConversion"/>
  </si>
  <si>
    <t>윈치 소음 점검/조치</t>
    <phoneticPr fontId="2" type="noConversion"/>
  </si>
  <si>
    <t>이시맥, 김용진</t>
    <phoneticPr fontId="2" type="noConversion"/>
  </si>
  <si>
    <t>페루</t>
    <phoneticPr fontId="2" type="noConversion"/>
  </si>
  <si>
    <t>PA56/57</t>
    <phoneticPr fontId="2" type="noConversion"/>
  </si>
  <si>
    <t>BR</t>
    <phoneticPr fontId="2" type="noConversion"/>
  </si>
  <si>
    <t>STW / 승조원교육 - 이동</t>
    <phoneticPr fontId="2" type="noConversion"/>
  </si>
  <si>
    <t xml:space="preserve">범양(1), HIO(1) </t>
    <phoneticPr fontId="2" type="noConversion"/>
  </si>
  <si>
    <t>유상</t>
    <phoneticPr fontId="2" type="noConversion"/>
  </si>
  <si>
    <t>-</t>
    <phoneticPr fontId="2" type="noConversion"/>
  </si>
  <si>
    <t>STW</t>
    <phoneticPr fontId="2" type="noConversion"/>
  </si>
  <si>
    <t>PA57</t>
    <phoneticPr fontId="2" type="noConversion"/>
  </si>
  <si>
    <t>STW / 승조원교육 - 대기</t>
    <phoneticPr fontId="2" type="noConversion"/>
  </si>
  <si>
    <t>승조원교육</t>
    <phoneticPr fontId="2" type="noConversion"/>
  </si>
  <si>
    <t>STW / 승조원교육 - 출발</t>
    <phoneticPr fontId="2" type="noConversion"/>
  </si>
  <si>
    <t>씨앤엠</t>
    <phoneticPr fontId="2" type="noConversion"/>
  </si>
  <si>
    <t>개인차량</t>
    <phoneticPr fontId="2" type="noConversion"/>
  </si>
  <si>
    <t>43주</t>
    <phoneticPr fontId="2" type="noConversion"/>
  </si>
  <si>
    <t>44주</t>
    <phoneticPr fontId="2" type="noConversion"/>
  </si>
  <si>
    <t>45주</t>
    <phoneticPr fontId="2" type="noConversion"/>
  </si>
  <si>
    <t>46주</t>
    <phoneticPr fontId="2" type="noConversion"/>
  </si>
  <si>
    <t>47주</t>
    <phoneticPr fontId="2" type="noConversion"/>
  </si>
  <si>
    <t>48주</t>
    <phoneticPr fontId="2" type="noConversion"/>
  </si>
  <si>
    <t>49주</t>
    <phoneticPr fontId="2" type="noConversion"/>
  </si>
  <si>
    <t>50주</t>
    <phoneticPr fontId="2" type="noConversion"/>
  </si>
  <si>
    <t>51주</t>
    <phoneticPr fontId="2" type="noConversion"/>
  </si>
  <si>
    <t>52주</t>
    <phoneticPr fontId="2" type="noConversion"/>
  </si>
  <si>
    <t>도어 판넬 설치</t>
    <phoneticPr fontId="2" type="noConversion"/>
  </si>
  <si>
    <t>해체 (휴일 특근)</t>
    <phoneticPr fontId="2" type="noConversion"/>
  </si>
  <si>
    <t>포장 (휴일 특근)</t>
    <phoneticPr fontId="2" type="noConversion"/>
  </si>
  <si>
    <t>39주 긴급추가</t>
    <phoneticPr fontId="2" type="noConversion"/>
  </si>
  <si>
    <t>10/6 ~ 10/8</t>
    <phoneticPr fontId="2" type="noConversion"/>
  </si>
  <si>
    <t>전처리 (쇼트)</t>
    <phoneticPr fontId="2" type="noConversion"/>
  </si>
  <si>
    <t>10/7 ~ 10/8</t>
    <phoneticPr fontId="2" type="noConversion"/>
  </si>
  <si>
    <t>안전 교육 오전 8시 / 보증수리 (10시)</t>
    <phoneticPr fontId="2" type="noConversion"/>
  </si>
  <si>
    <t>범양_최기추(3)</t>
    <phoneticPr fontId="2" type="noConversion"/>
  </si>
  <si>
    <t>포장 / 선적</t>
    <phoneticPr fontId="2" type="noConversion"/>
  </si>
  <si>
    <t>HH, PV</t>
    <phoneticPr fontId="2" type="noConversion"/>
  </si>
  <si>
    <t>크래들 교체, 보트 시트 설치</t>
    <phoneticPr fontId="2" type="noConversion"/>
  </si>
  <si>
    <t>RD</t>
    <phoneticPr fontId="2" type="noConversion"/>
  </si>
  <si>
    <t>우신(1)</t>
    <phoneticPr fontId="2" type="noConversion"/>
  </si>
  <si>
    <t>시운전 지적사항 조치 
(1) 리모컨 벨크로 고정 2) 크레들 불필요한 HOLE 메공  3) 레벨게이지 볼트 교체 4) 유압 호스 케이블타이 -&gt; 밴딩띠 변경)</t>
    <phoneticPr fontId="2" type="noConversion"/>
  </si>
  <si>
    <t xml:space="preserve"> 헬기 격납고 인입식 작동 코멘트 조치 - 씨앤엠 조치 사항 확인</t>
    <phoneticPr fontId="2" type="noConversion"/>
  </si>
  <si>
    <r>
      <t xml:space="preserve">DST(1),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</si>
  <si>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r>
      <t>범양(1),우</t>
    </r>
    <r>
      <rPr>
        <sz val="10"/>
        <color rgb="FFFF0000"/>
        <rFont val="맑은 고딕"/>
        <family val="3"/>
        <charset val="129"/>
        <scheme val="minor"/>
      </rPr>
      <t>신(2)</t>
    </r>
    <phoneticPr fontId="2" type="noConversion"/>
  </si>
  <si>
    <t>우신테크</t>
    <phoneticPr fontId="2" type="noConversion"/>
  </si>
  <si>
    <r>
      <rPr>
        <sz val="10"/>
        <color rgb="FF0000FF"/>
        <rFont val="맑은 고딕"/>
        <family val="3"/>
        <charset val="129"/>
        <scheme val="minor"/>
      </rPr>
      <t>HIO(1</t>
    </r>
    <r>
      <rPr>
        <sz val="10"/>
        <color theme="1"/>
        <rFont val="맑은 고딕"/>
        <family val="3"/>
        <charset val="129"/>
        <scheme val="minor"/>
      </rPr>
      <t xml:space="preserve">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</si>
  <si>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사전품의 완료
업체변경(우신-&gt;HIO)</t>
    <phoneticPr fontId="2" type="noConversion"/>
  </si>
  <si>
    <t>에이치아이오 엔지니어링</t>
    <phoneticPr fontId="2" type="noConversion"/>
  </si>
  <si>
    <t>송영국</t>
    <phoneticPr fontId="2" type="noConversion"/>
  </si>
  <si>
    <t>송영국</t>
    <phoneticPr fontId="2" type="noConversion"/>
  </si>
  <si>
    <t>STW</t>
    <phoneticPr fontId="2" type="noConversion"/>
  </si>
  <si>
    <t>림스코(1), 동아(1)</t>
    <phoneticPr fontId="2" type="noConversion"/>
  </si>
  <si>
    <t>0160</t>
    <phoneticPr fontId="2" type="noConversion"/>
  </si>
  <si>
    <t>박해식(오후)</t>
    <phoneticPr fontId="2" type="noConversion"/>
  </si>
  <si>
    <t>외주정비</t>
    <phoneticPr fontId="2" type="noConversion"/>
  </si>
  <si>
    <t>HHI</t>
    <phoneticPr fontId="2" type="noConversion"/>
  </si>
  <si>
    <t>P141</t>
    <phoneticPr fontId="2" type="noConversion"/>
  </si>
  <si>
    <t>실린더 &amp; 펌프 설치</t>
    <phoneticPr fontId="2" type="noConversion"/>
  </si>
  <si>
    <t>박성용</t>
    <phoneticPr fontId="2" type="noConversion"/>
  </si>
  <si>
    <t>진진(1)</t>
    <phoneticPr fontId="2" type="noConversion"/>
  </si>
  <si>
    <t>유상</t>
    <phoneticPr fontId="2" type="noConversion"/>
  </si>
  <si>
    <t>인도전</t>
    <phoneticPr fontId="2" type="noConversion"/>
  </si>
  <si>
    <t>삼원중공업</t>
    <phoneticPr fontId="2" type="noConversion"/>
  </si>
  <si>
    <t>SWN0288</t>
    <phoneticPr fontId="2" type="noConversion"/>
  </si>
  <si>
    <t>설치 기술 지원</t>
    <phoneticPr fontId="2" type="noConversion"/>
  </si>
  <si>
    <t>진진(1)</t>
    <phoneticPr fontId="2" type="noConversion"/>
  </si>
  <si>
    <t>무상</t>
    <phoneticPr fontId="2" type="noConversion"/>
  </si>
  <si>
    <t>용접사시험 : 김용진, 우신(김유신), 순천(2)</t>
    <phoneticPr fontId="2" type="noConversion"/>
  </si>
  <si>
    <t>SKMT</t>
    <phoneticPr fontId="2" type="noConversion"/>
  </si>
  <si>
    <t>승조원 교육</t>
    <phoneticPr fontId="2" type="noConversion"/>
  </si>
  <si>
    <t>씨앤엠(1)</t>
    <phoneticPr fontId="2" type="noConversion"/>
  </si>
  <si>
    <t>무상</t>
    <phoneticPr fontId="2" type="noConversion"/>
  </si>
  <si>
    <t>한상준</t>
    <phoneticPr fontId="2" type="noConversion"/>
  </si>
  <si>
    <t>HLG / HHD</t>
    <phoneticPr fontId="2" type="noConversion"/>
  </si>
  <si>
    <t>CLAIM</t>
    <phoneticPr fontId="2" type="noConversion"/>
  </si>
  <si>
    <t>인도후</t>
    <phoneticPr fontId="2" type="noConversion"/>
  </si>
  <si>
    <t>덴마크</t>
    <phoneticPr fontId="2" type="noConversion"/>
  </si>
  <si>
    <t>OJC</t>
    <phoneticPr fontId="2" type="noConversion"/>
  </si>
  <si>
    <t>김영민</t>
    <phoneticPr fontId="2" type="noConversion"/>
  </si>
  <si>
    <t>우신(1), 순천(2)</t>
    <phoneticPr fontId="2" type="noConversion"/>
  </si>
  <si>
    <t>무상</t>
    <phoneticPr fontId="2" type="noConversion"/>
  </si>
  <si>
    <t>인도후</t>
    <phoneticPr fontId="2" type="noConversion"/>
  </si>
  <si>
    <t>HJSC</t>
    <phoneticPr fontId="2" type="noConversion"/>
  </si>
  <si>
    <t>S204</t>
    <phoneticPr fontId="2" type="noConversion"/>
  </si>
  <si>
    <t>무상</t>
    <phoneticPr fontId="2" type="noConversion"/>
  </si>
  <si>
    <t>개인차량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</si>
  <si>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</si>
  <si>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</si>
  <si>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</si>
  <si>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서해어업관리단</t>
    <phoneticPr fontId="2" type="noConversion"/>
  </si>
  <si>
    <t>RB</t>
    <phoneticPr fontId="2" type="noConversion"/>
  </si>
  <si>
    <t>HPU 누유, 작업등 수분 유입</t>
    <phoneticPr fontId="2" type="noConversion"/>
  </si>
  <si>
    <t>씨앤엠(2)</t>
    <phoneticPr fontId="2" type="noConversion"/>
  </si>
  <si>
    <t>씨앤엠(2)</t>
    <phoneticPr fontId="2" type="noConversion"/>
  </si>
  <si>
    <t>이시맥</t>
    <phoneticPr fontId="2" type="noConversion"/>
  </si>
  <si>
    <t>TNG026</t>
    <phoneticPr fontId="2" type="noConversion"/>
  </si>
  <si>
    <t>동아(1)</t>
    <phoneticPr fontId="2" type="noConversion"/>
  </si>
  <si>
    <t>전기 결선 점검, 리미트&amp;로드셀 세팅</t>
    <phoneticPr fontId="2" type="noConversion"/>
  </si>
  <si>
    <t>개인차량</t>
    <phoneticPr fontId="2" type="noConversion"/>
  </si>
  <si>
    <t>STW / 승조원교육</t>
    <phoneticPr fontId="2" type="noConversion"/>
  </si>
  <si>
    <t>STW</t>
    <phoneticPr fontId="2" type="noConversion"/>
  </si>
  <si>
    <t>STW - 이동</t>
    <phoneticPr fontId="2" type="noConversion"/>
  </si>
  <si>
    <t>A/S</t>
    <phoneticPr fontId="2" type="noConversion"/>
  </si>
  <si>
    <t>S198</t>
    <phoneticPr fontId="2" type="noConversion"/>
  </si>
  <si>
    <t>작동 불량 점검/조치</t>
    <phoneticPr fontId="2" type="noConversion"/>
  </si>
  <si>
    <t>박성용</t>
    <phoneticPr fontId="2" type="noConversion"/>
  </si>
  <si>
    <t>동아(1)</t>
    <phoneticPr fontId="2" type="noConversion"/>
  </si>
  <si>
    <t>0160</t>
    <phoneticPr fontId="2" type="noConversion"/>
  </si>
  <si>
    <t>최재호</t>
    <phoneticPr fontId="2" type="noConversion"/>
  </si>
  <si>
    <t>천상욱</t>
    <phoneticPr fontId="2" type="noConversion"/>
  </si>
  <si>
    <t>천상욱</t>
    <phoneticPr fontId="2" type="noConversion"/>
  </si>
  <si>
    <t>외주정비</t>
    <phoneticPr fontId="2" type="noConversion"/>
  </si>
  <si>
    <t>진해해군</t>
    <phoneticPr fontId="2" type="noConversion"/>
  </si>
  <si>
    <t>RCS</t>
    <phoneticPr fontId="2" type="noConversion"/>
  </si>
  <si>
    <t>해체</t>
    <phoneticPr fontId="2" type="noConversion"/>
  </si>
  <si>
    <t>박주성</t>
    <phoneticPr fontId="2" type="noConversion"/>
  </si>
  <si>
    <t>진진(5)</t>
    <phoneticPr fontId="2" type="noConversion"/>
  </si>
  <si>
    <t>유상</t>
    <phoneticPr fontId="2" type="noConversion"/>
  </si>
  <si>
    <t>김용진, 박성용</t>
    <phoneticPr fontId="2" type="noConversion"/>
  </si>
  <si>
    <t>0160</t>
    <phoneticPr fontId="2" type="noConversion"/>
  </si>
  <si>
    <t>김용진</t>
    <phoneticPr fontId="2" type="noConversion"/>
  </si>
  <si>
    <t>김용진</t>
    <phoneticPr fontId="2" type="noConversion"/>
  </si>
  <si>
    <t>인도전</t>
    <phoneticPr fontId="2" type="noConversion"/>
  </si>
  <si>
    <t>HD, RCS</t>
    <phoneticPr fontId="2" type="noConversion"/>
  </si>
  <si>
    <t>지적사항 조치, 명판 교체</t>
    <phoneticPr fontId="2" type="noConversion"/>
  </si>
  <si>
    <t>씨앤엠</t>
    <phoneticPr fontId="2" type="noConversion"/>
  </si>
  <si>
    <t>HHI</t>
    <phoneticPr fontId="2" type="noConversion"/>
  </si>
  <si>
    <t>P175</t>
    <phoneticPr fontId="2" type="noConversion"/>
  </si>
  <si>
    <t>ML</t>
    <phoneticPr fontId="2" type="noConversion"/>
  </si>
  <si>
    <t>우신(1), HIO(1)</t>
    <phoneticPr fontId="2" type="noConversion"/>
  </si>
  <si>
    <t>박성용, 서영진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</si>
  <si>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</si>
  <si>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</si>
  <si>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</si>
  <si>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</si>
  <si>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RB, KT</t>
    <phoneticPr fontId="2" type="noConversion"/>
  </si>
  <si>
    <t>씨앤엠(6)</t>
    <phoneticPr fontId="2" type="noConversion"/>
  </si>
  <si>
    <t>박주성</t>
    <phoneticPr fontId="2" type="noConversion"/>
  </si>
  <si>
    <t>우신(1)</t>
    <phoneticPr fontId="2" type="noConversion"/>
  </si>
  <si>
    <t>턴테이블 수정 점검/조치 (DETENT BLOCK 교체)</t>
    <phoneticPr fontId="2" type="noConversion"/>
  </si>
  <si>
    <t>CLAIM</t>
    <phoneticPr fontId="2" type="noConversion"/>
  </si>
  <si>
    <t>인도전</t>
    <phoneticPr fontId="2" type="noConversion"/>
  </si>
  <si>
    <t>ER</t>
    <phoneticPr fontId="2" type="noConversion"/>
  </si>
  <si>
    <t>동아(1)</t>
    <phoneticPr fontId="2" type="noConversion"/>
  </si>
  <si>
    <t>특수성능 &amp; 테스트 설치</t>
    <phoneticPr fontId="2" type="noConversion"/>
  </si>
  <si>
    <t>이시맥, 김용진</t>
    <phoneticPr fontId="2" type="noConversion"/>
  </si>
  <si>
    <t>김유신출장불가</t>
    <phoneticPr fontId="2" type="noConversion"/>
  </si>
  <si>
    <t>박성용, 김용진</t>
    <phoneticPr fontId="2" type="noConversion"/>
  </si>
  <si>
    <t>SWN0289</t>
    <phoneticPr fontId="2" type="noConversion"/>
  </si>
  <si>
    <t>A/S</t>
    <phoneticPr fontId="2" type="noConversion"/>
  </si>
  <si>
    <t>인도전</t>
    <phoneticPr fontId="2" type="noConversion"/>
  </si>
  <si>
    <t>실린더 점검 (정기보증수리) - 8시 안전교육 이수</t>
    <phoneticPr fontId="2" type="noConversion"/>
  </si>
  <si>
    <t>인도후</t>
    <phoneticPr fontId="2" type="noConversion"/>
  </si>
  <si>
    <t>보증수리</t>
    <phoneticPr fontId="2" type="noConversion"/>
  </si>
  <si>
    <t>인도전</t>
    <phoneticPr fontId="2" type="noConversion"/>
  </si>
  <si>
    <t>베트남</t>
    <phoneticPr fontId="2" type="noConversion"/>
  </si>
  <si>
    <t>YN07</t>
    <phoneticPr fontId="2" type="noConversion"/>
  </si>
  <si>
    <t>HH</t>
    <phoneticPr fontId="2" type="noConversion"/>
  </si>
  <si>
    <t>장비 점검</t>
    <phoneticPr fontId="2" type="noConversion"/>
  </si>
  <si>
    <t>범양(1)</t>
    <phoneticPr fontId="2" type="noConversion"/>
  </si>
  <si>
    <t>-</t>
    <phoneticPr fontId="2" type="noConversion"/>
  </si>
  <si>
    <t>AF, BR</t>
    <phoneticPr fontId="2" type="noConversion"/>
  </si>
  <si>
    <t>크리트 추가 여부 협의 / 유압 라인 (실린더/펌프) 점검 : 현상태 이상없으나 인도전 유압 실린더 지지대 및 호스 파손 이력에 따른 점검요청</t>
    <phoneticPr fontId="2" type="noConversion"/>
  </si>
  <si>
    <t>우신(3)</t>
    <phoneticPr fontId="2" type="noConversion"/>
  </si>
  <si>
    <t>-</t>
    <phoneticPr fontId="2" type="noConversion"/>
  </si>
  <si>
    <t>S210</t>
  </si>
  <si>
    <t>PC</t>
  </si>
  <si>
    <t>10/10(토)</t>
  </si>
  <si>
    <t>사내</t>
  </si>
  <si>
    <t>포장 / 상차</t>
  </si>
  <si>
    <t>40주 긴급추가</t>
  </si>
  <si>
    <t>특수성능</t>
  </si>
  <si>
    <t>김용진</t>
  </si>
  <si>
    <t>10/12(월)</t>
  </si>
  <si>
    <t>김동명　</t>
  </si>
  <si>
    <t>범양_최기추(1)</t>
  </si>
  <si>
    <t>10/13~10/14</t>
  </si>
  <si>
    <t>범양_최기추(4)</t>
  </si>
  <si>
    <t>10/12~10/14</t>
  </si>
  <si>
    <t>박해식　</t>
  </si>
  <si>
    <t>SN2729</t>
  </si>
  <si>
    <t>포장 / 덴소 </t>
  </si>
  <si>
    <t>우신(3), 더베솔(6)</t>
  </si>
  <si>
    <t>10/12~10/13</t>
  </si>
  <si>
    <t>10/6(화)</t>
  </si>
  <si>
    <t>삼원중공업</t>
  </si>
  <si>
    <t>10/7(수)</t>
  </si>
  <si>
    <t>시운전 지적사항 조치 </t>
  </si>
  <si>
    <t>10/13(화)</t>
  </si>
  <si>
    <t>메쉬망 설치 기술 지원</t>
  </si>
  <si>
    <t>우신(1), 씨앤엠(1)</t>
  </si>
  <si>
    <t>10/14(수)</t>
  </si>
  <si>
    <t>센서 시트 용접/설치, 사전준비 </t>
  </si>
  <si>
    <t>A/S</t>
    <phoneticPr fontId="2" type="noConversion"/>
  </si>
  <si>
    <t>인도전</t>
    <phoneticPr fontId="2" type="noConversion"/>
  </si>
  <si>
    <t>GNN0018</t>
    <phoneticPr fontId="2" type="noConversion"/>
  </si>
  <si>
    <t>RB</t>
    <phoneticPr fontId="2" type="noConversion"/>
  </si>
  <si>
    <t>승조원교육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</si>
  <si>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</si>
  <si>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</si>
  <si>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</si>
  <si>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설치 (크레인 9시30분)</t>
    <phoneticPr fontId="2" type="noConversion"/>
  </si>
  <si>
    <t>오태호, 천상욱</t>
    <phoneticPr fontId="2" type="noConversion"/>
  </si>
  <si>
    <t>용접 크랙 수정 (복귀)</t>
    <phoneticPr fontId="2" type="noConversion"/>
  </si>
  <si>
    <t>8262/63</t>
    <phoneticPr fontId="2" type="noConversion"/>
  </si>
  <si>
    <t>업무 미팅</t>
    <phoneticPr fontId="2" type="noConversion"/>
  </si>
  <si>
    <t>김용진, 이주영</t>
    <phoneticPr fontId="2" type="noConversion"/>
  </si>
  <si>
    <t>SHI</t>
    <phoneticPr fontId="2" type="noConversion"/>
  </si>
  <si>
    <t>작동 불량 점검/조치</t>
    <phoneticPr fontId="2" type="noConversion"/>
  </si>
  <si>
    <t>박주성, 이시맥, 김용진</t>
    <phoneticPr fontId="2" type="noConversion"/>
  </si>
  <si>
    <t>동아, 림스코, TPS</t>
    <phoneticPr fontId="2" type="noConversion"/>
  </si>
  <si>
    <t>자재 입고 확인</t>
    <phoneticPr fontId="2" type="noConversion"/>
  </si>
  <si>
    <t>본선일정 : 10/27일, 11/10 ~ 11/12일 가능</t>
    <phoneticPr fontId="2" type="noConversion"/>
  </si>
  <si>
    <t>비상작동 운용 교육, 로우레벨 타이머 설정 문의/설명/현장 조치, DAVIT 비상파워팩 펌프 흡인 밸브 누유 확인 / KT 마감테이프 보수 - 10시까지</t>
    <phoneticPr fontId="2" type="noConversion"/>
  </si>
  <si>
    <t>0160</t>
    <phoneticPr fontId="2" type="noConversion"/>
  </si>
  <si>
    <t>턴테이블 수정</t>
    <phoneticPr fontId="2" type="noConversion"/>
  </si>
  <si>
    <t>무상</t>
    <phoneticPr fontId="2" type="noConversion"/>
  </si>
  <si>
    <t>KT</t>
    <phoneticPr fontId="2" type="noConversion"/>
  </si>
  <si>
    <t>HPU의 전기모터 설치</t>
    <phoneticPr fontId="2" type="noConversion"/>
  </si>
  <si>
    <t>HJSC</t>
    <phoneticPr fontId="2" type="noConversion"/>
  </si>
  <si>
    <t>동아, DST</t>
    <phoneticPr fontId="2" type="noConversion"/>
  </si>
  <si>
    <t>우신(1), 진진(1)</t>
    <phoneticPr fontId="2" type="noConversion"/>
  </si>
  <si>
    <t>박용웅, 천상욱</t>
    <phoneticPr fontId="2" type="noConversion"/>
  </si>
  <si>
    <t>우신(2)</t>
    <phoneticPr fontId="2" type="noConversion"/>
  </si>
  <si>
    <t>설치</t>
    <phoneticPr fontId="2" type="noConversion"/>
  </si>
  <si>
    <t>HD</t>
    <phoneticPr fontId="2" type="noConversion"/>
  </si>
  <si>
    <t>HD</t>
    <phoneticPr fontId="2" type="noConversion"/>
  </si>
  <si>
    <t>PE</t>
    <phoneticPr fontId="2" type="noConversion"/>
  </si>
  <si>
    <t>평가</t>
    <phoneticPr fontId="2" type="noConversion"/>
  </si>
  <si>
    <t>평가</t>
    <phoneticPr fontId="2" type="noConversion"/>
  </si>
  <si>
    <t>코멘트 조치</t>
    <phoneticPr fontId="2" type="noConversion"/>
  </si>
  <si>
    <t>특수성능</t>
    <phoneticPr fontId="2" type="noConversion"/>
  </si>
  <si>
    <t>박성용</t>
    <phoneticPr fontId="2" type="noConversion"/>
  </si>
  <si>
    <t>이시맥, 김용진</t>
    <phoneticPr fontId="2" type="noConversion"/>
  </si>
  <si>
    <t>THERMAL RELAY 사양 변경 (도면불량) / OVER LOAD 110% 세팅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</si>
  <si>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</si>
  <si>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</si>
  <si>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</si>
  <si>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S187/88</t>
    <phoneticPr fontId="2" type="noConversion"/>
  </si>
  <si>
    <t>BR</t>
    <phoneticPr fontId="2" type="noConversion"/>
  </si>
  <si>
    <t>함수, 미 램프 완충패드 5개소 갈라짐 파손 / 램프 작동시 조종실 오버헤드 콘솔 LOCK상태에서 작동램프 점등 외</t>
    <phoneticPr fontId="2" type="noConversion"/>
  </si>
  <si>
    <t>무상</t>
    <phoneticPr fontId="2" type="noConversion"/>
  </si>
  <si>
    <t>0160</t>
    <phoneticPr fontId="2" type="noConversion"/>
  </si>
  <si>
    <t>이시맥, 박성용</t>
    <phoneticPr fontId="2" type="noConversion"/>
  </si>
  <si>
    <t>우신(2)</t>
    <phoneticPr fontId="2" type="noConversion"/>
  </si>
  <si>
    <t>보증수리 (점검/ 보트시트 교체 / 볼트 교체)</t>
    <phoneticPr fontId="2" type="noConversion"/>
  </si>
  <si>
    <t>43주</t>
    <phoneticPr fontId="2" type="noConversion"/>
  </si>
  <si>
    <t>10/17(토)</t>
  </si>
  <si>
    <t>PD</t>
  </si>
  <si>
    <t>P/D 포장</t>
  </si>
  <si>
    <t>41주 긴급추가</t>
  </si>
  <si>
    <t>10/19~10/23</t>
  </si>
  <si>
    <t>조립 / 설치</t>
  </si>
  <si>
    <t>김동명</t>
  </si>
  <si>
    <t>범양_최기추(5)</t>
  </si>
  <si>
    <t>10/19~10/21</t>
  </si>
  <si>
    <t>10/22~10/23</t>
  </si>
  <si>
    <t>10/20~10/21</t>
  </si>
  <si>
    <t>P175</t>
  </si>
  <si>
    <t>10/20(화)</t>
  </si>
  <si>
    <t>턴테이블 수정 점검/조치 (DETENT BLOCK 교체)</t>
  </si>
  <si>
    <t>10/22(목)</t>
  </si>
  <si>
    <t>박성용, 서영진</t>
  </si>
  <si>
    <t>우신(1), HIO(1)</t>
  </si>
  <si>
    <t>10/23(금)</t>
  </si>
  <si>
    <t>우신(2)</t>
    <phoneticPr fontId="2" type="noConversion"/>
  </si>
  <si>
    <t>계약사항</t>
    <phoneticPr fontId="2" type="noConversion"/>
  </si>
  <si>
    <t>계약사항</t>
    <phoneticPr fontId="2" type="noConversion"/>
  </si>
  <si>
    <t>42주 긴급추가</t>
    <phoneticPr fontId="2" type="noConversion"/>
  </si>
  <si>
    <t>10/26~10/28</t>
    <phoneticPr fontId="2" type="noConversion"/>
  </si>
  <si>
    <t>RD</t>
    <phoneticPr fontId="2" type="noConversion"/>
  </si>
  <si>
    <t>포장</t>
    <phoneticPr fontId="2" type="noConversion"/>
  </si>
  <si>
    <t>송영국</t>
    <phoneticPr fontId="2" type="noConversion"/>
  </si>
  <si>
    <t>HIO(3)</t>
    <phoneticPr fontId="2" type="noConversion"/>
  </si>
  <si>
    <t>SN2729</t>
    <phoneticPr fontId="2" type="noConversion"/>
  </si>
  <si>
    <t>CMR</t>
    <phoneticPr fontId="2" type="noConversion"/>
  </si>
  <si>
    <t>10/29~10/30</t>
    <phoneticPr fontId="2" type="noConversion"/>
  </si>
  <si>
    <t>HIO(2)</t>
    <phoneticPr fontId="2" type="noConversion"/>
  </si>
  <si>
    <t>박해식</t>
    <phoneticPr fontId="2" type="noConversion"/>
  </si>
  <si>
    <t>HIO(1)</t>
    <phoneticPr fontId="2" type="noConversion"/>
  </si>
  <si>
    <t>쇼트</t>
    <phoneticPr fontId="2" type="noConversion"/>
  </si>
  <si>
    <t>P180</t>
    <phoneticPr fontId="2" type="noConversion"/>
  </si>
  <si>
    <t>LRD</t>
    <phoneticPr fontId="2" type="noConversion"/>
  </si>
  <si>
    <t>P54</t>
    <phoneticPr fontId="2" type="noConversion"/>
  </si>
  <si>
    <t>AH</t>
    <phoneticPr fontId="2" type="noConversion"/>
  </si>
  <si>
    <t>10/26~10/30</t>
    <phoneticPr fontId="2" type="noConversion"/>
  </si>
  <si>
    <t>설치, 시운전</t>
    <phoneticPr fontId="2" type="noConversion"/>
  </si>
  <si>
    <t>김동명</t>
    <phoneticPr fontId="2" type="noConversion"/>
  </si>
  <si>
    <t>범양_최기추(5)</t>
    <phoneticPr fontId="2" type="noConversion"/>
  </si>
  <si>
    <t>HH</t>
    <phoneticPr fontId="2" type="noConversion"/>
  </si>
  <si>
    <t>조립</t>
    <phoneticPr fontId="2" type="noConversion"/>
  </si>
  <si>
    <t>10/29~10/30</t>
    <phoneticPr fontId="2" type="noConversion"/>
  </si>
  <si>
    <t>OC</t>
    <phoneticPr fontId="2" type="noConversion"/>
  </si>
  <si>
    <t>조립</t>
    <phoneticPr fontId="2" type="noConversion"/>
  </si>
  <si>
    <t>HIO(2)</t>
    <phoneticPr fontId="2" type="noConversion"/>
  </si>
  <si>
    <t>박해식</t>
    <phoneticPr fontId="2" type="noConversion"/>
  </si>
  <si>
    <t>CLAIM</t>
    <phoneticPr fontId="2" type="noConversion"/>
  </si>
  <si>
    <t>인도후</t>
    <phoneticPr fontId="2" type="noConversion"/>
  </si>
  <si>
    <t>진해해군</t>
    <phoneticPr fontId="2" type="noConversion"/>
  </si>
  <si>
    <t>P167</t>
    <phoneticPr fontId="2" type="noConversion"/>
  </si>
  <si>
    <t>HD</t>
    <phoneticPr fontId="2" type="noConversion"/>
  </si>
  <si>
    <t>보증수리 (판넬 교체 외)</t>
    <phoneticPr fontId="2" type="noConversion"/>
  </si>
  <si>
    <t>* 정박기간: 12/7~1/15 
* 정박위치: 진해해군</t>
    <phoneticPr fontId="2" type="noConversion"/>
  </si>
  <si>
    <t>정지훈, 김경원 (6556)</t>
    <phoneticPr fontId="2" type="noConversion"/>
  </si>
  <si>
    <t>연차</t>
    <phoneticPr fontId="2" type="noConversion"/>
  </si>
  <si>
    <t>박성용기장</t>
    <phoneticPr fontId="2" type="noConversion"/>
  </si>
  <si>
    <t>2026.10.29 - 2026.10.30</t>
    <phoneticPr fontId="2" type="noConversion"/>
  </si>
  <si>
    <t xml:space="preserve">THERMAL RELAY 사양 변경 (도면불량) </t>
    <phoneticPr fontId="2" type="noConversion"/>
  </si>
  <si>
    <t>자재 준비 (보강자재 개선 작업)</t>
    <phoneticPr fontId="2" type="noConversion"/>
  </si>
  <si>
    <t>OJC</t>
    <phoneticPr fontId="2" type="noConversion"/>
  </si>
  <si>
    <t>인도후</t>
    <phoneticPr fontId="2" type="noConversion"/>
  </si>
  <si>
    <t>사내</t>
    <phoneticPr fontId="2" type="noConversion"/>
  </si>
  <si>
    <t>우신(2)</t>
    <phoneticPr fontId="2" type="noConversion"/>
  </si>
  <si>
    <t>-</t>
    <phoneticPr fontId="2" type="noConversion"/>
  </si>
  <si>
    <t>이시맥, 김용진</t>
    <phoneticPr fontId="2" type="noConversion"/>
  </si>
  <si>
    <t>P176</t>
    <phoneticPr fontId="2" type="noConversion"/>
  </si>
  <si>
    <t>ML</t>
    <phoneticPr fontId="2" type="noConversion"/>
  </si>
  <si>
    <t>자체테스트</t>
    <phoneticPr fontId="2" type="noConversion"/>
  </si>
  <si>
    <t>박성용</t>
    <phoneticPr fontId="2" type="noConversion"/>
  </si>
  <si>
    <t>-</t>
    <phoneticPr fontId="2" type="noConversion"/>
  </si>
  <si>
    <t>-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</si>
  <si>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</si>
  <si>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</si>
  <si>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</si>
  <si>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</si>
  <si>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RCS, RB</t>
    <phoneticPr fontId="2" type="noConversion"/>
  </si>
  <si>
    <t>평가 입회 (RCS 진행 후 RB 진행) 09:30분</t>
    <phoneticPr fontId="2" type="noConversion"/>
  </si>
  <si>
    <t>0160</t>
    <phoneticPr fontId="2" type="noConversion"/>
  </si>
  <si>
    <t>김용진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</si>
  <si>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</si>
  <si>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</si>
  <si>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</si>
  <si>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등화관제 검사 입회 (13:30)</t>
    <phoneticPr fontId="2" type="noConversion"/>
  </si>
  <si>
    <t>무상</t>
    <phoneticPr fontId="2" type="noConversion"/>
  </si>
  <si>
    <t>진진(1)</t>
    <phoneticPr fontId="2" type="noConversion"/>
  </si>
  <si>
    <t>박주성(반차)</t>
    <phoneticPr fontId="2" type="noConversion"/>
  </si>
  <si>
    <t>김은영(오후반차)</t>
    <phoneticPr fontId="2" type="noConversion"/>
  </si>
  <si>
    <t>자체테스트</t>
    <phoneticPr fontId="2" type="noConversion"/>
  </si>
  <si>
    <t>이시맥</t>
    <phoneticPr fontId="2" type="noConversion"/>
  </si>
  <si>
    <t>우신(1)</t>
    <phoneticPr fontId="2" type="noConversion"/>
  </si>
  <si>
    <t>김용진</t>
    <phoneticPr fontId="2" type="noConversion"/>
  </si>
  <si>
    <t>우신(1), 림스코(1)</t>
    <phoneticPr fontId="2" type="noConversion"/>
  </si>
  <si>
    <t>박재규</t>
    <phoneticPr fontId="2" type="noConversion"/>
  </si>
  <si>
    <t>김유신, 공일영</t>
    <phoneticPr fontId="2" type="noConversion"/>
  </si>
  <si>
    <t>김유신</t>
    <phoneticPr fontId="2" type="noConversion"/>
  </si>
  <si>
    <t>핸들 설치 / 평가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</si>
</sst>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40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  <font>
      <sz val="8"/>
      <name val="굴림"/>
      <family val="3"/>
      <charset val="129"/>
    </font>
    <font>
      <sz val="9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4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240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7" fillId="0" borderId="9" xfId="0" applyFont="1" applyBorder="1" applyAlignment="1">
      <alignment vertical="center" wrapText="1"/>
    </xf>
    <xf numFmtId="0" fontId="138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6" fillId="0" borderId="9" xfId="0" applyFont="1" applyBorder="1" applyAlignment="1">
      <alignment vertical="center" wrapText="1"/>
    </xf>
    <xf numFmtId="0" fontId="132" fillId="0" borderId="3" xfId="0" applyFont="1" applyFill="1" applyBorder="1" applyAlignment="1">
      <alignment horizontal="center" vertical="center"/>
    </xf>
    <xf numFmtId="0" fontId="132" fillId="0" borderId="25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4" fillId="3" borderId="7" xfId="0" quotePrefix="1" applyFont="1" applyFill="1" applyBorder="1" applyAlignment="1">
      <alignment horizontal="center" vertical="center" wrapText="1"/>
    </xf>
    <xf numFmtId="177" fontId="8" fillId="0" borderId="6" xfId="0" applyNumberFormat="1" applyFont="1" applyBorder="1" applyAlignment="1">
      <alignment horizontal="center" vertical="center" wrapText="1"/>
    </xf>
    <xf numFmtId="177" fontId="8" fillId="0" borderId="25" xfId="0" applyNumberFormat="1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8" fillId="9" borderId="2" xfId="0" applyFont="1" applyFill="1" applyBorder="1" applyAlignment="1">
      <alignment horizontal="center" vertical="center" wrapText="1"/>
    </xf>
    <xf numFmtId="0" fontId="122" fillId="6" borderId="0" xfId="0" applyFont="1" applyFill="1">
      <alignment vertical="center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177" fontId="8" fillId="0" borderId="2" xfId="0" applyNumberFormat="1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32" fillId="0" borderId="26" xfId="0" applyFont="1" applyFill="1" applyBorder="1" applyAlignment="1">
      <alignment horizontal="center" vertical="center"/>
    </xf>
    <xf numFmtId="177" fontId="122" fillId="0" borderId="25" xfId="0" applyNumberFormat="1" applyFont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/>
    </xf>
    <xf numFmtId="0" fontId="139" fillId="3" borderId="1" xfId="0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56" fillId="0" borderId="11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3" fillId="0" borderId="30" xfId="0" applyFont="1" applyBorder="1" applyAlignment="1">
      <alignment horizontal="center" vertical="center" wrapText="1"/>
    </xf>
    <xf numFmtId="0" fontId="124" fillId="4" borderId="27" xfId="0" applyFont="1" applyFill="1" applyBorder="1" applyAlignment="1">
      <alignment horizontal="center" vertical="center" wrapText="1"/>
    </xf>
    <xf numFmtId="0" fontId="123" fillId="4" borderId="27" xfId="0" applyFont="1" applyFill="1" applyBorder="1" applyAlignment="1">
      <alignment horizontal="center" vertical="center" wrapText="1"/>
    </xf>
    <xf numFmtId="0" fontId="123" fillId="0" borderId="27" xfId="0" applyFont="1" applyBorder="1" applyAlignment="1">
      <alignment horizontal="center" vertical="center" wrapText="1"/>
    </xf>
    <xf numFmtId="0" fontId="124" fillId="0" borderId="27" xfId="0" applyFont="1" applyBorder="1" applyAlignment="1">
      <alignment horizontal="center" vertical="center" wrapText="1"/>
    </xf>
    <xf numFmtId="0" fontId="123" fillId="0" borderId="31" xfId="0" applyFont="1" applyBorder="1" applyAlignment="1">
      <alignment horizontal="center" vertical="center" wrapText="1"/>
    </xf>
    <xf numFmtId="0" fontId="125" fillId="4" borderId="27" xfId="0" applyFont="1" applyFill="1" applyBorder="1" applyAlignment="1">
      <alignment horizontal="center" vertical="center" wrapText="1"/>
    </xf>
    <xf numFmtId="0" fontId="123" fillId="0" borderId="32" xfId="0" applyFont="1" applyBorder="1" applyAlignment="1">
      <alignment horizontal="center" vertical="center" wrapText="1"/>
    </xf>
    <xf numFmtId="0" fontId="123" fillId="0" borderId="28" xfId="0" applyFont="1" applyBorder="1" applyAlignment="1">
      <alignment horizontal="center" vertical="center" wrapText="1"/>
    </xf>
    <xf numFmtId="0" fontId="132" fillId="0" borderId="6" xfId="0" applyFont="1" applyFill="1" applyBorder="1" applyAlignment="1">
      <alignment horizontal="center" vertical="center"/>
    </xf>
    <xf numFmtId="41" fontId="124" fillId="0" borderId="27" xfId="1" applyFont="1" applyBorder="1" applyAlignment="1">
      <alignment horizontal="center" vertical="center" wrapText="1"/>
    </xf>
    <xf numFmtId="41" fontId="124" fillId="0" borderId="27" xfId="1" applyFont="1" applyBorder="1" applyAlignment="1">
      <alignment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5" fillId="0" borderId="10" xfId="0" applyFont="1" applyBorder="1" applyAlignment="1">
      <alignment vertical="center" wrapText="1"/>
    </xf>
    <xf numFmtId="0" fontId="70" fillId="0" borderId="10" xfId="0" applyFont="1" applyBorder="1" applyAlignment="1">
      <alignment vertical="center" wrapText="1"/>
    </xf>
    <xf numFmtId="0" fontId="122" fillId="0" borderId="2" xfId="0" applyFont="1" applyBorder="1">
      <alignment vertical="center"/>
    </xf>
    <xf numFmtId="0" fontId="124" fillId="4" borderId="30" xfId="0" applyFont="1" applyFill="1" applyBorder="1" applyAlignment="1">
      <alignment horizontal="center" vertical="center" wrapText="1"/>
    </xf>
    <xf numFmtId="0" fontId="123" fillId="4" borderId="30" xfId="0" applyFont="1" applyFill="1" applyBorder="1" applyAlignment="1">
      <alignment horizontal="center" vertical="center" wrapText="1"/>
    </xf>
    <xf numFmtId="0" fontId="123" fillId="0" borderId="36" xfId="0" applyFont="1" applyBorder="1" applyAlignment="1">
      <alignment horizontal="center" vertical="center" wrapText="1"/>
    </xf>
    <xf numFmtId="0" fontId="124" fillId="0" borderId="37" xfId="0" applyFont="1" applyBorder="1" applyAlignment="1">
      <alignment horizontal="center" vertical="center" wrapText="1"/>
    </xf>
    <xf numFmtId="0" fontId="125" fillId="0" borderId="38" xfId="0" applyFont="1" applyBorder="1" applyAlignment="1">
      <alignment horizontal="center" vertical="center" wrapText="1"/>
    </xf>
    <xf numFmtId="0" fontId="123" fillId="0" borderId="40" xfId="0" applyFont="1" applyBorder="1" applyAlignment="1">
      <alignment horizontal="center" vertical="center" wrapText="1"/>
    </xf>
    <xf numFmtId="0" fontId="123" fillId="0" borderId="34" xfId="0" applyFont="1" applyBorder="1" applyAlignment="1">
      <alignment horizontal="center" vertical="center" wrapText="1"/>
    </xf>
    <xf numFmtId="0" fontId="124" fillId="0" borderId="42" xfId="0" applyFont="1" applyBorder="1" applyAlignment="1">
      <alignment horizontal="center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30" fillId="0" borderId="43" xfId="0" applyFont="1" applyBorder="1" applyAlignment="1">
      <alignment horizontal="center" vertical="center" wrapText="1"/>
    </xf>
    <xf numFmtId="0" fontId="130" fillId="0" borderId="29" xfId="0" applyFont="1" applyBorder="1" applyAlignment="1">
      <alignment horizontal="center" vertical="center" wrapText="1"/>
    </xf>
    <xf numFmtId="0" fontId="130" fillId="0" borderId="35" xfId="0" applyFont="1" applyBorder="1" applyAlignment="1">
      <alignment horizontal="center" vertical="center" wrapText="1"/>
    </xf>
    <xf numFmtId="0" fontId="130" fillId="0" borderId="39" xfId="0" applyFont="1" applyBorder="1" applyAlignment="1">
      <alignment horizontal="center" vertical="center" wrapText="1"/>
    </xf>
    <xf numFmtId="0" fontId="130" fillId="0" borderId="41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0" fontId="130" fillId="0" borderId="7" xfId="0" applyFont="1" applyBorder="1" applyAlignment="1">
      <alignment horizontal="center" vertical="center" wrapText="1"/>
    </xf>
    <xf numFmtId="0" fontId="130" fillId="0" borderId="10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30" fillId="0" borderId="33" xfId="0" applyFont="1" applyBorder="1" applyAlignment="1">
      <alignment horizontal="center" vertical="center" wrapText="1"/>
    </xf>
    <xf numFmtId="0" fontId="130" fillId="0" borderId="44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26" fillId="0" borderId="3" xfId="0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5" xfId="0" applyFont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2" fillId="0" borderId="1" xfId="0" quotePrefix="1" applyFont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876"/>
  <sheetViews>
    <sheetView showGridLines="0" tabSelected="1" topLeftCell="A798" zoomScaleNormal="100" workbookViewId="0">
      <selection activeCell="H803" sqref="H803"/>
    </sheetView>
  </sheetViews>
  <sheetFormatPr defaultRowHeight="16.5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942" t="s">
        <v>3261</v>
      </c>
      <c r="B1" s="942"/>
      <c r="C1" s="942"/>
      <c r="D1" s="942"/>
      <c r="E1" s="942"/>
      <c r="F1" s="942"/>
      <c r="G1" s="942"/>
      <c r="H1" s="942"/>
      <c r="I1" s="942"/>
      <c r="J1" s="942"/>
      <c r="K1" s="942"/>
      <c r="L1" s="942"/>
      <c r="M1" s="942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09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0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937"/>
      <c r="Q22" s="938"/>
      <c r="R22" s="938"/>
      <c r="S22" s="938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1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1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1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937"/>
      <c r="Q27" s="938"/>
      <c r="R27" s="938"/>
      <c r="S27" s="938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1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1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1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1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1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1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09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09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937"/>
      <c r="Q36" s="938"/>
      <c r="R36" s="938"/>
      <c r="S36" s="938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937"/>
      <c r="Q37" s="938"/>
      <c r="R37" s="938"/>
      <c r="S37" s="938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09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09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937"/>
      <c r="Q40" s="938"/>
      <c r="R40" s="938"/>
      <c r="S40" s="938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937"/>
      <c r="Q41" s="938"/>
      <c r="R41" s="938"/>
      <c r="S41" s="938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09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937" t="s">
        <v>4390</v>
      </c>
      <c r="Q43" s="938"/>
      <c r="R43" s="938"/>
      <c r="S43" s="938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0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0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2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2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1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1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1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1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1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1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1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1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1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1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937"/>
      <c r="Q61" s="938"/>
      <c r="R61" s="938"/>
      <c r="S61" s="938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937"/>
      <c r="Q64" s="938"/>
      <c r="R64" s="938"/>
      <c r="S64" s="938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937"/>
      <c r="Q67" s="938"/>
      <c r="R67" s="938"/>
      <c r="S67" s="938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937"/>
      <c r="Q74" s="938"/>
      <c r="R74" s="938"/>
      <c r="S74" s="938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3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4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4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4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937"/>
      <c r="Q83" s="938"/>
      <c r="R83" s="938"/>
      <c r="S83" s="938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4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937"/>
      <c r="Q85" s="938"/>
      <c r="R85" s="938"/>
      <c r="S85" s="938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937" t="s">
        <v>4390</v>
      </c>
      <c r="Q93" s="938"/>
      <c r="R93" s="938"/>
      <c r="S93" s="938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0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0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0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0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15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15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15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15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935"/>
      <c r="Q169" s="936"/>
      <c r="R169" s="936"/>
      <c r="S169" s="936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0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933" t="s">
        <v>4688</v>
      </c>
      <c r="Q182" s="934"/>
      <c r="R182" s="934"/>
      <c r="S182" s="934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16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16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17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17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18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16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16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19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0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0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0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0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0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0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0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0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0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0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0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0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0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0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0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0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0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0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0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0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0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>
      <c r="A376" s="695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>
      <c r="A380" s="695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0" t="s">
        <v>33</v>
      </c>
      <c r="M426" s="731">
        <v>2</v>
      </c>
      <c r="N426" s="6"/>
      <c r="O426" s="434"/>
      <c r="P426" s="31" t="s">
        <v>6293</v>
      </c>
    </row>
    <row r="427" spans="1:16" s="17" customFormat="1" ht="33" customHeight="1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0" t="s">
        <v>6218</v>
      </c>
      <c r="M428" s="731">
        <v>2</v>
      </c>
      <c r="N428" s="6"/>
      <c r="O428" s="434"/>
      <c r="P428" s="31" t="s">
        <v>6293</v>
      </c>
    </row>
    <row r="429" spans="1:16" s="17" customFormat="1" ht="33" customHeight="1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0" t="s">
        <v>4550</v>
      </c>
      <c r="M432" s="731">
        <v>2</v>
      </c>
      <c r="N432" s="6"/>
      <c r="O432" s="434"/>
      <c r="P432" s="193"/>
    </row>
    <row r="433" spans="1:16" s="17" customFormat="1" ht="33" customHeight="1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1">
        <v>4</v>
      </c>
      <c r="N436" s="394"/>
      <c r="O436" s="437" t="s">
        <v>6352</v>
      </c>
      <c r="P436" s="31"/>
    </row>
    <row r="437" spans="1:16" s="17" customFormat="1" ht="33" customHeight="1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1">
        <v>2</v>
      </c>
      <c r="N437" s="394"/>
      <c r="O437" s="437" t="s">
        <v>6352</v>
      </c>
      <c r="P437" s="31"/>
    </row>
    <row r="438" spans="1:16" s="17" customFormat="1" ht="33" customHeight="1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1">
        <v>2</v>
      </c>
      <c r="N438" s="394"/>
      <c r="O438" s="437" t="s">
        <v>6351</v>
      </c>
      <c r="P438" s="31"/>
    </row>
    <row r="439" spans="1:16" s="17" customFormat="1" ht="33" customHeight="1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1">
        <v>2</v>
      </c>
      <c r="N441" s="394"/>
      <c r="O441" s="437"/>
      <c r="P441" s="31"/>
    </row>
    <row r="442" spans="1:16" s="17" customFormat="1" ht="33" customHeight="1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0" t="s">
        <v>4550</v>
      </c>
      <c r="M442" s="731">
        <v>2</v>
      </c>
      <c r="N442" s="394"/>
      <c r="O442" s="437"/>
      <c r="P442" s="31"/>
    </row>
    <row r="443" spans="1:16" s="17" customFormat="1" ht="33" customHeight="1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1">
        <v>2</v>
      </c>
      <c r="N443" s="394"/>
      <c r="O443" s="437" t="s">
        <v>6351</v>
      </c>
      <c r="P443" s="31"/>
    </row>
    <row r="444" spans="1:16" s="17" customFormat="1" ht="33" customHeight="1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1">
        <v>2</v>
      </c>
      <c r="N446" s="394"/>
      <c r="O446" s="437"/>
      <c r="P446" s="31" t="s">
        <v>6293</v>
      </c>
    </row>
    <row r="447" spans="1:16" s="17" customFormat="1" ht="33" customHeight="1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1">
        <v>2</v>
      </c>
      <c r="N447" s="394"/>
      <c r="O447" s="437"/>
      <c r="P447" s="31"/>
    </row>
    <row r="448" spans="1:16" s="17" customFormat="1" ht="33" customHeight="1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1">
        <v>1</v>
      </c>
      <c r="N448" s="394"/>
      <c r="O448" s="437"/>
      <c r="P448" s="31"/>
    </row>
    <row r="449" spans="1:17" s="17" customFormat="1" ht="33" customHeight="1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1">
        <v>2</v>
      </c>
      <c r="N453" s="31"/>
      <c r="O453" s="431"/>
      <c r="P453" s="31" t="s">
        <v>6293</v>
      </c>
    </row>
    <row r="454" spans="1:17" s="17" customFormat="1" ht="33" customHeight="1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1">
        <v>2</v>
      </c>
      <c r="N455" s="422"/>
      <c r="O455" s="430"/>
      <c r="P455" s="31"/>
    </row>
    <row r="456" spans="1:17" s="17" customFormat="1" ht="33" customHeight="1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1">
        <v>2</v>
      </c>
      <c r="N456" s="422"/>
      <c r="O456" s="430"/>
      <c r="P456" s="31"/>
    </row>
    <row r="457" spans="1:17" s="17" customFormat="1" ht="33" customHeight="1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1">
        <v>2</v>
      </c>
      <c r="N462" s="422"/>
      <c r="O462" s="430"/>
      <c r="P462" s="31"/>
    </row>
    <row r="463" spans="1:17" s="17" customFormat="1" ht="33" customHeight="1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4"/>
      <c r="P492" s="31"/>
    </row>
    <row r="493" spans="1:17" s="17" customFormat="1" ht="33" customHeight="1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4"/>
      <c r="P493" s="31"/>
    </row>
    <row r="494" spans="1:17" s="17" customFormat="1" ht="33" customHeight="1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4"/>
      <c r="P494" s="31"/>
    </row>
    <row r="495" spans="1:17" s="17" customFormat="1" ht="33" customHeight="1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67"/>
      <c r="P505" s="31"/>
    </row>
    <row r="506" spans="1:16" s="17" customFormat="1" ht="33" customHeight="1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67"/>
      <c r="P506" s="31"/>
    </row>
    <row r="507" spans="1:16" s="17" customFormat="1" ht="33" customHeight="1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>
      <c r="A508" s="756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>
      <c r="A509" s="756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>
      <c r="A510" s="756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55"/>
      <c r="O511" s="432"/>
      <c r="P511" s="31"/>
    </row>
    <row r="512" spans="1:16" s="17" customFormat="1" ht="33" customHeight="1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1" t="s">
        <v>6674</v>
      </c>
    </row>
    <row r="519" spans="1:17" s="17" customFormat="1" ht="33" customHeight="1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1" t="s">
        <v>6674</v>
      </c>
    </row>
    <row r="520" spans="1:17" s="17" customFormat="1" ht="33" customHeight="1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1" t="s">
        <v>6674</v>
      </c>
    </row>
    <row r="526" spans="1:17" s="17" customFormat="1" ht="33" customHeight="1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1" t="s">
        <v>6674</v>
      </c>
    </row>
    <row r="528" spans="1:17" s="17" customFormat="1" ht="33" customHeight="1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1" t="s">
        <v>6674</v>
      </c>
    </row>
    <row r="529" spans="1:16" s="17" customFormat="1" ht="33" customHeight="1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>
      <c r="A548" s="939" t="s">
        <v>6741</v>
      </c>
      <c r="B548" s="757" t="s">
        <v>6640</v>
      </c>
      <c r="C548" s="272" t="s">
        <v>21</v>
      </c>
      <c r="D548" s="272" t="s">
        <v>14</v>
      </c>
      <c r="E548" s="759" t="s">
        <v>211</v>
      </c>
      <c r="F548" s="759" t="s">
        <v>5754</v>
      </c>
      <c r="G548" s="760" t="s">
        <v>18</v>
      </c>
      <c r="H548" s="758" t="s">
        <v>6350</v>
      </c>
      <c r="I548" s="759"/>
      <c r="J548" s="758"/>
      <c r="K548" s="761"/>
      <c r="L548" s="760"/>
      <c r="M548" s="762"/>
      <c r="N548" s="763"/>
      <c r="O548" s="768"/>
      <c r="P548" s="31"/>
    </row>
    <row r="549" spans="1:16" s="17" customFormat="1" ht="33" customHeight="1">
      <c r="A549" s="940"/>
      <c r="B549" s="757" t="s">
        <v>6640</v>
      </c>
      <c r="C549" s="272" t="s">
        <v>21</v>
      </c>
      <c r="D549" s="272" t="s">
        <v>14</v>
      </c>
      <c r="E549" s="759" t="s">
        <v>107</v>
      </c>
      <c r="F549" s="759" t="s">
        <v>2959</v>
      </c>
      <c r="G549" s="760" t="s">
        <v>6642</v>
      </c>
      <c r="H549" s="758" t="s">
        <v>6643</v>
      </c>
      <c r="I549" s="759"/>
      <c r="J549" s="759" t="s">
        <v>6634</v>
      </c>
      <c r="K549" s="761" t="s">
        <v>15</v>
      </c>
      <c r="L549" s="760" t="s">
        <v>4550</v>
      </c>
      <c r="M549" s="762"/>
      <c r="N549" s="763"/>
      <c r="O549" s="768"/>
      <c r="P549" s="31"/>
    </row>
    <row r="550" spans="1:16" s="17" customFormat="1" ht="33" customHeight="1">
      <c r="A550" s="940"/>
      <c r="B550" s="757" t="s">
        <v>6641</v>
      </c>
      <c r="C550" s="272" t="s">
        <v>21</v>
      </c>
      <c r="D550" s="272" t="s">
        <v>14</v>
      </c>
      <c r="E550" s="759" t="s">
        <v>107</v>
      </c>
      <c r="F550" s="759" t="s">
        <v>2959</v>
      </c>
      <c r="G550" s="760" t="s">
        <v>1895</v>
      </c>
      <c r="H550" s="758" t="s">
        <v>6635</v>
      </c>
      <c r="I550" s="759"/>
      <c r="J550" s="759" t="s">
        <v>6634</v>
      </c>
      <c r="K550" s="761" t="s">
        <v>15</v>
      </c>
      <c r="L550" s="760" t="s">
        <v>4550</v>
      </c>
      <c r="M550" s="762"/>
      <c r="N550" s="763"/>
      <c r="O550" s="765"/>
      <c r="P550" s="31"/>
    </row>
    <row r="551" spans="1:16" s="17" customFormat="1" ht="33" customHeight="1">
      <c r="A551" s="941"/>
      <c r="B551" s="757" t="s">
        <v>6575</v>
      </c>
      <c r="C551" s="272" t="s">
        <v>21</v>
      </c>
      <c r="D551" s="272" t="s">
        <v>14</v>
      </c>
      <c r="E551" s="758" t="s">
        <v>107</v>
      </c>
      <c r="F551" s="759" t="s">
        <v>3386</v>
      </c>
      <c r="G551" s="760" t="s">
        <v>102</v>
      </c>
      <c r="H551" s="758" t="s">
        <v>6578</v>
      </c>
      <c r="I551" s="759" t="s">
        <v>1948</v>
      </c>
      <c r="J551" s="759" t="s">
        <v>6591</v>
      </c>
      <c r="K551" s="761" t="s">
        <v>15</v>
      </c>
      <c r="L551" s="760" t="s">
        <v>6575</v>
      </c>
      <c r="M551" s="762">
        <v>3</v>
      </c>
      <c r="N551" s="764"/>
      <c r="O551" s="765"/>
      <c r="P551" s="31"/>
    </row>
    <row r="552" spans="1:16" s="17" customFormat="1" ht="33" customHeight="1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>
      <c r="A566" s="595"/>
      <c r="B566" s="399">
        <v>46248</v>
      </c>
      <c r="C566" s="4" t="s">
        <v>21</v>
      </c>
      <c r="D566" s="4" t="s">
        <v>14</v>
      </c>
      <c r="E566" s="31" t="s">
        <v>6811</v>
      </c>
      <c r="F566" s="31" t="s">
        <v>6812</v>
      </c>
      <c r="G566" s="16" t="s">
        <v>6806</v>
      </c>
      <c r="H566" s="193" t="s">
        <v>6832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6835</v>
      </c>
      <c r="I567" s="31" t="s">
        <v>6833</v>
      </c>
      <c r="J567" s="31" t="s">
        <v>6834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6840</v>
      </c>
      <c r="H569" s="193" t="s">
        <v>6841</v>
      </c>
      <c r="I569" s="31" t="s">
        <v>6842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>
      <c r="A570" s="939" t="s">
        <v>6741</v>
      </c>
      <c r="B570" s="757" t="s">
        <v>6575</v>
      </c>
      <c r="C570" s="272" t="s">
        <v>21</v>
      </c>
      <c r="D570" s="272" t="s">
        <v>14</v>
      </c>
      <c r="E570" s="759" t="s">
        <v>211</v>
      </c>
      <c r="F570" s="759" t="s">
        <v>5754</v>
      </c>
      <c r="G570" s="760" t="s">
        <v>18</v>
      </c>
      <c r="H570" s="758" t="s">
        <v>6767</v>
      </c>
      <c r="I570" s="759"/>
      <c r="J570" s="758"/>
      <c r="K570" s="761"/>
      <c r="L570" s="760"/>
      <c r="M570" s="762"/>
      <c r="N570" s="763"/>
      <c r="O570" s="768"/>
      <c r="P570" s="31"/>
    </row>
    <row r="571" spans="1:16" s="17" customFormat="1" ht="33" customHeight="1">
      <c r="A571" s="940"/>
      <c r="B571" s="757" t="s">
        <v>6575</v>
      </c>
      <c r="C571" s="272" t="s">
        <v>21</v>
      </c>
      <c r="D571" s="272" t="s">
        <v>6749</v>
      </c>
      <c r="E571" s="758" t="s">
        <v>6750</v>
      </c>
      <c r="F571" s="759" t="s">
        <v>6746</v>
      </c>
      <c r="G571" s="760" t="s">
        <v>6747</v>
      </c>
      <c r="H571" s="758" t="s">
        <v>6748</v>
      </c>
      <c r="I571" s="759"/>
      <c r="J571" s="758"/>
      <c r="K571" s="761"/>
      <c r="L571" s="760"/>
      <c r="M571" s="762"/>
      <c r="N571" s="763"/>
      <c r="O571" s="768"/>
      <c r="P571" s="31"/>
    </row>
    <row r="572" spans="1:16" s="17" customFormat="1" ht="33" customHeight="1">
      <c r="A572" s="940"/>
      <c r="B572" s="757" t="s">
        <v>6575</v>
      </c>
      <c r="C572" s="272" t="s">
        <v>21</v>
      </c>
      <c r="D572" s="272" t="s">
        <v>14</v>
      </c>
      <c r="E572" s="759" t="s">
        <v>107</v>
      </c>
      <c r="F572" s="759" t="s">
        <v>3386</v>
      </c>
      <c r="G572" s="760" t="s">
        <v>102</v>
      </c>
      <c r="H572" s="758" t="s">
        <v>6810</v>
      </c>
      <c r="I572" s="759"/>
      <c r="J572" s="759"/>
      <c r="K572" s="761"/>
      <c r="L572" s="760"/>
      <c r="M572" s="762"/>
      <c r="N572" s="759"/>
      <c r="O572" s="778" t="s">
        <v>6740</v>
      </c>
      <c r="P572" s="31"/>
    </row>
    <row r="573" spans="1:16" s="17" customFormat="1" ht="33" customHeight="1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6846</v>
      </c>
      <c r="M576" s="8">
        <v>2</v>
      </c>
      <c r="N576" s="31"/>
      <c r="O576" s="429" t="s">
        <v>6850</v>
      </c>
      <c r="P576" s="31"/>
    </row>
    <row r="577" spans="1:17" s="17" customFormat="1" ht="33" customHeight="1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6839</v>
      </c>
      <c r="K578" s="125" t="s">
        <v>6769</v>
      </c>
      <c r="L578" s="16" t="s">
        <v>6771</v>
      </c>
      <c r="M578" s="8">
        <v>4</v>
      </c>
      <c r="N578" s="31"/>
      <c r="O578" s="429" t="s">
        <v>6847</v>
      </c>
      <c r="P578" s="31"/>
    </row>
    <row r="579" spans="1:17" s="17" customFormat="1" ht="33" customHeight="1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6837</v>
      </c>
      <c r="I579" s="31"/>
      <c r="J579" s="193" t="s">
        <v>6836</v>
      </c>
      <c r="K579" s="125" t="s">
        <v>6759</v>
      </c>
      <c r="L579" s="16" t="s">
        <v>6760</v>
      </c>
      <c r="M579" s="8">
        <v>2</v>
      </c>
      <c r="N579" s="31"/>
      <c r="O579" s="430" t="s">
        <v>6838</v>
      </c>
      <c r="P579" s="31"/>
    </row>
    <row r="580" spans="1:17" s="17" customFormat="1" ht="33" customHeight="1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6843</v>
      </c>
      <c r="I580" s="31"/>
      <c r="J580" s="193" t="s">
        <v>6857</v>
      </c>
      <c r="K580" s="125" t="s">
        <v>6769</v>
      </c>
      <c r="L580" s="16" t="s">
        <v>6757</v>
      </c>
      <c r="M580" s="8">
        <v>3</v>
      </c>
      <c r="N580" s="31"/>
      <c r="O580" s="429" t="s">
        <v>6859</v>
      </c>
      <c r="P580" s="31"/>
    </row>
    <row r="581" spans="1:17" s="17" customFormat="1" ht="33" customHeight="1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6853</v>
      </c>
      <c r="I583" s="31" t="s">
        <v>6854</v>
      </c>
      <c r="J583" s="31" t="s">
        <v>6761</v>
      </c>
      <c r="K583" s="277" t="s">
        <v>6782</v>
      </c>
      <c r="L583" s="16" t="s">
        <v>6855</v>
      </c>
      <c r="M583" s="8">
        <v>2</v>
      </c>
      <c r="N583" s="422"/>
      <c r="O583" s="430" t="s">
        <v>6850</v>
      </c>
      <c r="P583" s="31"/>
    </row>
    <row r="584" spans="1:17" s="17" customFormat="1" ht="33" customHeight="1">
      <c r="A584" s="595"/>
      <c r="B584" s="399">
        <v>46253</v>
      </c>
      <c r="C584" s="4" t="s">
        <v>21</v>
      </c>
      <c r="D584" s="4" t="s">
        <v>14</v>
      </c>
      <c r="E584" s="31" t="s">
        <v>6844</v>
      </c>
      <c r="F584" s="193" t="s">
        <v>2978</v>
      </c>
      <c r="G584" s="16" t="s">
        <v>170</v>
      </c>
      <c r="H584" s="193" t="s">
        <v>6845</v>
      </c>
      <c r="I584" s="31" t="s">
        <v>6858</v>
      </c>
      <c r="J584" s="31" t="s">
        <v>6834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6866</v>
      </c>
      <c r="I585" s="31" t="s">
        <v>6865</v>
      </c>
      <c r="J585" s="193" t="s">
        <v>6808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6809</v>
      </c>
      <c r="M588" s="8">
        <v>2</v>
      </c>
      <c r="N588" s="422"/>
      <c r="O588" s="430" t="s">
        <v>6849</v>
      </c>
      <c r="P588" s="31"/>
    </row>
    <row r="589" spans="1:17" s="17" customFormat="1" ht="36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6869</v>
      </c>
      <c r="I589" s="31" t="s">
        <v>3661</v>
      </c>
      <c r="J589" s="193" t="s">
        <v>6884</v>
      </c>
      <c r="K589" s="125" t="s">
        <v>15</v>
      </c>
      <c r="L589" s="16" t="s">
        <v>6757</v>
      </c>
      <c r="M589" s="8">
        <v>6</v>
      </c>
      <c r="N589" s="422"/>
      <c r="O589" s="430" t="s">
        <v>6860</v>
      </c>
      <c r="P589" s="31"/>
    </row>
    <row r="590" spans="1:17" s="17" customFormat="1" ht="33" customHeight="1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6852</v>
      </c>
      <c r="I591" s="31"/>
      <c r="J591" s="31" t="s">
        <v>6862</v>
      </c>
      <c r="K591" s="277" t="s">
        <v>6779</v>
      </c>
      <c r="L591" s="16" t="s">
        <v>6770</v>
      </c>
      <c r="M591" s="8">
        <v>3</v>
      </c>
      <c r="N591" s="422"/>
      <c r="O591" s="430" t="s">
        <v>6863</v>
      </c>
      <c r="P591" s="31"/>
    </row>
    <row r="592" spans="1:17" s="17" customFormat="1" ht="33" customHeight="1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6861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6848</v>
      </c>
      <c r="P592" s="31"/>
      <c r="Q592" s="430" t="s">
        <v>6807</v>
      </c>
    </row>
    <row r="593" spans="1:16" s="17" customFormat="1" ht="33" customHeight="1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6886</v>
      </c>
      <c r="F595" s="31">
        <v>3006</v>
      </c>
      <c r="G595" s="16" t="s">
        <v>6722</v>
      </c>
      <c r="H595" s="193" t="s">
        <v>6851</v>
      </c>
      <c r="I595" s="31" t="s">
        <v>6856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6900</v>
      </c>
      <c r="O595" s="431"/>
      <c r="P595" s="31"/>
    </row>
    <row r="596" spans="1:16" s="17" customFormat="1" ht="33" customHeight="1">
      <c r="A596" s="595"/>
      <c r="B596" s="399">
        <v>46258</v>
      </c>
      <c r="C596" s="4" t="s">
        <v>6874</v>
      </c>
      <c r="D596" s="4" t="s">
        <v>70</v>
      </c>
      <c r="E596" s="31" t="s">
        <v>6875</v>
      </c>
      <c r="F596" s="31" t="s">
        <v>6876</v>
      </c>
      <c r="G596" s="16" t="s">
        <v>6877</v>
      </c>
      <c r="H596" s="193" t="s">
        <v>6878</v>
      </c>
      <c r="I596" s="31" t="s">
        <v>6879</v>
      </c>
      <c r="J596" s="31" t="s">
        <v>6880</v>
      </c>
      <c r="K596" s="125" t="s">
        <v>6881</v>
      </c>
      <c r="L596" s="16" t="s">
        <v>6882</v>
      </c>
      <c r="M596" s="8">
        <v>2</v>
      </c>
      <c r="N596" s="31"/>
      <c r="O596" s="431"/>
      <c r="P596" s="31"/>
    </row>
    <row r="597" spans="1:16" s="17" customFormat="1" ht="33" customHeight="1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6956</v>
      </c>
      <c r="I597" s="31" t="s">
        <v>6520</v>
      </c>
      <c r="J597" s="31" t="s">
        <v>2838</v>
      </c>
      <c r="K597" s="125" t="s">
        <v>6759</v>
      </c>
      <c r="L597" s="16" t="s">
        <v>6873</v>
      </c>
      <c r="M597" s="8">
        <v>4</v>
      </c>
      <c r="N597" s="31"/>
      <c r="O597" s="431"/>
      <c r="P597" s="31"/>
    </row>
    <row r="598" spans="1:16" s="17" customFormat="1" ht="33" customHeight="1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6883</v>
      </c>
      <c r="I598" s="31"/>
      <c r="J598" s="31" t="s">
        <v>6870</v>
      </c>
      <c r="K598" s="125" t="s">
        <v>15</v>
      </c>
      <c r="L598" s="16" t="s">
        <v>6872</v>
      </c>
      <c r="M598" s="8">
        <v>3</v>
      </c>
      <c r="N598" s="31"/>
      <c r="O598" s="431"/>
      <c r="P598" s="31"/>
    </row>
    <row r="599" spans="1:16" s="17" customFormat="1" ht="33" customHeight="1">
      <c r="A599" s="595"/>
      <c r="B599" s="399">
        <v>46258</v>
      </c>
      <c r="C599" s="4" t="s">
        <v>6707</v>
      </c>
      <c r="D599" s="4" t="s">
        <v>151</v>
      </c>
      <c r="E599" s="31" t="s">
        <v>6895</v>
      </c>
      <c r="F599" s="31" t="s">
        <v>6894</v>
      </c>
      <c r="G599" s="16" t="s">
        <v>145</v>
      </c>
      <c r="H599" s="193" t="s">
        <v>6896</v>
      </c>
      <c r="I599" s="31" t="s">
        <v>6897</v>
      </c>
      <c r="J599" s="31"/>
      <c r="K599" s="277" t="s">
        <v>6898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0" t="s">
        <v>209</v>
      </c>
      <c r="L600" s="459">
        <v>9080</v>
      </c>
      <c r="M600" s="455">
        <v>1</v>
      </c>
      <c r="N600" s="454" t="s">
        <v>6901</v>
      </c>
      <c r="O600" s="457"/>
      <c r="P600" s="454"/>
    </row>
    <row r="601" spans="1:16" s="17" customFormat="1" ht="33" customHeight="1">
      <c r="A601" s="595"/>
      <c r="B601" s="198">
        <v>46259</v>
      </c>
      <c r="C601" s="3" t="s">
        <v>6707</v>
      </c>
      <c r="D601" s="3" t="s">
        <v>151</v>
      </c>
      <c r="E601" s="454" t="s">
        <v>6895</v>
      </c>
      <c r="F601" s="454" t="s">
        <v>6894</v>
      </c>
      <c r="G601" s="459" t="s">
        <v>145</v>
      </c>
      <c r="H601" s="453" t="s">
        <v>6896</v>
      </c>
      <c r="I601" s="454" t="s">
        <v>6897</v>
      </c>
      <c r="J601" s="454"/>
      <c r="K601" s="730" t="s">
        <v>6898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6957</v>
      </c>
      <c r="I602" s="454" t="s">
        <v>6520</v>
      </c>
      <c r="J602" s="453" t="s">
        <v>6955</v>
      </c>
      <c r="K602" s="136" t="s">
        <v>6759</v>
      </c>
      <c r="L602" s="459" t="s">
        <v>6757</v>
      </c>
      <c r="M602" s="455">
        <v>4</v>
      </c>
      <c r="N602" s="454"/>
      <c r="O602" s="800"/>
      <c r="P602" s="454"/>
    </row>
    <row r="603" spans="1:16" s="17" customFormat="1" ht="33" customHeight="1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6870</v>
      </c>
      <c r="K603" s="136" t="s">
        <v>15</v>
      </c>
      <c r="L603" s="459" t="s">
        <v>6872</v>
      </c>
      <c r="M603" s="455">
        <v>3</v>
      </c>
      <c r="N603" s="454"/>
      <c r="O603" s="801" t="s">
        <v>6921</v>
      </c>
      <c r="P603" s="454"/>
    </row>
    <row r="604" spans="1:16" s="17" customFormat="1" ht="33" customHeight="1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>
      <c r="A605" s="595"/>
      <c r="B605" s="399">
        <v>46260</v>
      </c>
      <c r="C605" s="3" t="s">
        <v>6707</v>
      </c>
      <c r="D605" s="3" t="s">
        <v>151</v>
      </c>
      <c r="E605" s="454" t="s">
        <v>6895</v>
      </c>
      <c r="F605" s="454" t="s">
        <v>6894</v>
      </c>
      <c r="G605" s="459" t="s">
        <v>145</v>
      </c>
      <c r="H605" s="453" t="s">
        <v>6896</v>
      </c>
      <c r="I605" s="31" t="s">
        <v>6899</v>
      </c>
      <c r="J605" s="31"/>
      <c r="K605" s="277" t="s">
        <v>6898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6958</v>
      </c>
      <c r="I606" s="31" t="s">
        <v>1948</v>
      </c>
      <c r="J606" s="193" t="s">
        <v>6857</v>
      </c>
      <c r="K606" s="125" t="s">
        <v>6759</v>
      </c>
      <c r="L606" s="16" t="s">
        <v>6757</v>
      </c>
      <c r="M606" s="8">
        <v>4</v>
      </c>
      <c r="N606" s="31"/>
      <c r="O606" s="754"/>
      <c r="P606" s="31"/>
    </row>
    <row r="607" spans="1:16" s="17" customFormat="1" ht="33" customHeight="1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6922</v>
      </c>
      <c r="G607" s="459" t="s">
        <v>6923</v>
      </c>
      <c r="H607" s="453" t="s">
        <v>6924</v>
      </c>
      <c r="I607" s="31"/>
      <c r="J607" s="193" t="s">
        <v>6925</v>
      </c>
      <c r="K607" s="125" t="s">
        <v>15</v>
      </c>
      <c r="L607" s="16"/>
      <c r="M607" s="8">
        <v>2</v>
      </c>
      <c r="N607" s="31"/>
      <c r="O607" s="754" t="s">
        <v>6926</v>
      </c>
      <c r="P607" s="31"/>
    </row>
    <row r="608" spans="1:16" s="17" customFormat="1" ht="33" customHeight="1">
      <c r="A608" s="595"/>
      <c r="B608" s="198">
        <v>46261</v>
      </c>
      <c r="C608" s="3" t="s">
        <v>21</v>
      </c>
      <c r="D608" s="3" t="s">
        <v>14</v>
      </c>
      <c r="E608" s="454" t="s">
        <v>6927</v>
      </c>
      <c r="F608" s="454" t="s">
        <v>6928</v>
      </c>
      <c r="G608" s="459" t="s">
        <v>6929</v>
      </c>
      <c r="H608" s="453" t="s">
        <v>6930</v>
      </c>
      <c r="I608" s="454" t="s">
        <v>6932</v>
      </c>
      <c r="J608" s="453" t="s">
        <v>6931</v>
      </c>
      <c r="K608" s="136" t="s">
        <v>15</v>
      </c>
      <c r="L608" s="459">
        <v>9080</v>
      </c>
      <c r="M608" s="455">
        <v>3</v>
      </c>
      <c r="N608" s="454"/>
      <c r="O608" s="802" t="s">
        <v>4661</v>
      </c>
      <c r="P608" s="454"/>
    </row>
    <row r="609" spans="1:17" s="17" customFormat="1" ht="33" customHeight="1">
      <c r="A609" s="595"/>
      <c r="B609" s="198">
        <v>46261</v>
      </c>
      <c r="C609" s="4" t="s">
        <v>21</v>
      </c>
      <c r="D609" s="4" t="s">
        <v>17</v>
      </c>
      <c r="E609" s="786" t="s">
        <v>78</v>
      </c>
      <c r="F609" s="786" t="s">
        <v>6666</v>
      </c>
      <c r="G609" s="16" t="s">
        <v>207</v>
      </c>
      <c r="H609" s="791" t="s">
        <v>6867</v>
      </c>
      <c r="I609" s="786"/>
      <c r="J609" s="791" t="s">
        <v>641</v>
      </c>
      <c r="K609" s="125"/>
      <c r="L609" s="16" t="s">
        <v>6287</v>
      </c>
      <c r="M609" s="8">
        <v>2</v>
      </c>
      <c r="N609" s="456"/>
      <c r="O609" s="473" t="s">
        <v>6961</v>
      </c>
      <c r="P609" s="454"/>
      <c r="Q609" s="17" t="s">
        <v>6729</v>
      </c>
    </row>
    <row r="610" spans="1:17" s="474" customFormat="1" ht="33" customHeight="1">
      <c r="A610" s="695"/>
      <c r="B610" s="198">
        <v>46261</v>
      </c>
      <c r="C610" s="3" t="s">
        <v>6707</v>
      </c>
      <c r="D610" s="3" t="s">
        <v>151</v>
      </c>
      <c r="E610" s="454" t="s">
        <v>6895</v>
      </c>
      <c r="F610" s="454" t="s">
        <v>6894</v>
      </c>
      <c r="G610" s="459" t="s">
        <v>145</v>
      </c>
      <c r="H610" s="453" t="s">
        <v>6896</v>
      </c>
      <c r="I610" s="454" t="s">
        <v>6897</v>
      </c>
      <c r="J610" s="454"/>
      <c r="K610" s="730" t="s">
        <v>6898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>
      <c r="A611" s="695"/>
      <c r="B611" s="399">
        <v>46262</v>
      </c>
      <c r="C611" s="3" t="s">
        <v>21</v>
      </c>
      <c r="D611" s="3" t="s">
        <v>14</v>
      </c>
      <c r="E611" s="454" t="s">
        <v>6927</v>
      </c>
      <c r="F611" s="454" t="s">
        <v>3589</v>
      </c>
      <c r="G611" s="459" t="s">
        <v>6929</v>
      </c>
      <c r="H611" s="453" t="s">
        <v>6930</v>
      </c>
      <c r="I611" s="454" t="s">
        <v>202</v>
      </c>
      <c r="J611" s="453" t="s">
        <v>7016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>
      <c r="A613" s="595"/>
      <c r="B613" s="399">
        <v>46262</v>
      </c>
      <c r="C613" s="4" t="s">
        <v>6707</v>
      </c>
      <c r="D613" s="4" t="s">
        <v>151</v>
      </c>
      <c r="E613" s="31" t="s">
        <v>6895</v>
      </c>
      <c r="F613" s="31" t="s">
        <v>6894</v>
      </c>
      <c r="G613" s="16" t="s">
        <v>145</v>
      </c>
      <c r="H613" s="193" t="s">
        <v>6896</v>
      </c>
      <c r="I613" s="31" t="s">
        <v>6897</v>
      </c>
      <c r="J613" s="31"/>
      <c r="K613" s="277" t="s">
        <v>6898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>
      <c r="A614" s="785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6864</v>
      </c>
      <c r="I614" s="453" t="s">
        <v>6968</v>
      </c>
      <c r="J614" s="454" t="s">
        <v>2828</v>
      </c>
      <c r="K614" s="136" t="s">
        <v>15</v>
      </c>
      <c r="L614" s="459" t="s">
        <v>6959</v>
      </c>
      <c r="M614" s="455">
        <v>2</v>
      </c>
      <c r="N614" s="790"/>
      <c r="O614" s="430"/>
      <c r="P614" s="786"/>
    </row>
    <row r="615" spans="1:17" s="17" customFormat="1" ht="33" customHeight="1">
      <c r="A615" s="785"/>
      <c r="B615" s="399">
        <v>46263</v>
      </c>
      <c r="C615" s="3" t="s">
        <v>6969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6975</v>
      </c>
      <c r="I615" s="453" t="s">
        <v>6971</v>
      </c>
      <c r="J615" s="454" t="s">
        <v>686</v>
      </c>
      <c r="K615" s="136" t="s">
        <v>15</v>
      </c>
      <c r="L615" s="459" t="s">
        <v>6972</v>
      </c>
      <c r="M615" s="455">
        <v>3</v>
      </c>
      <c r="N615" s="790"/>
      <c r="O615" s="430"/>
      <c r="P615" s="786"/>
    </row>
    <row r="616" spans="1:17" s="17" customFormat="1" ht="33" customHeight="1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6864</v>
      </c>
      <c r="I616" s="453" t="s">
        <v>6968</v>
      </c>
      <c r="J616" s="454" t="s">
        <v>2828</v>
      </c>
      <c r="K616" s="136" t="s">
        <v>15</v>
      </c>
      <c r="L616" s="459" t="s">
        <v>6959</v>
      </c>
      <c r="M616" s="455">
        <v>2</v>
      </c>
      <c r="N616" s="31"/>
      <c r="O616" s="432"/>
      <c r="P616" s="31"/>
    </row>
    <row r="617" spans="1:17" s="17" customFormat="1" ht="33" customHeight="1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>
      <c r="A618" s="594" t="s">
        <v>6333</v>
      </c>
      <c r="B618" s="399">
        <v>46265</v>
      </c>
      <c r="C618" s="3" t="s">
        <v>6969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6976</v>
      </c>
      <c r="I618" s="453" t="s">
        <v>6971</v>
      </c>
      <c r="J618" s="454" t="s">
        <v>686</v>
      </c>
      <c r="K618" s="136" t="s">
        <v>15</v>
      </c>
      <c r="L618" s="459" t="s">
        <v>6972</v>
      </c>
      <c r="M618" s="455">
        <v>3</v>
      </c>
      <c r="N618" s="31"/>
      <c r="O618" s="430" t="s">
        <v>7002</v>
      </c>
      <c r="P618" s="31"/>
    </row>
    <row r="619" spans="1:17" s="17" customFormat="1" ht="33" customHeight="1">
      <c r="A619" s="785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6981</v>
      </c>
      <c r="I619" s="453" t="s">
        <v>6982</v>
      </c>
      <c r="J619" s="458" t="s">
        <v>7013</v>
      </c>
      <c r="K619" s="136" t="s">
        <v>6983</v>
      </c>
      <c r="L619" s="459" t="s">
        <v>6959</v>
      </c>
      <c r="M619" s="455">
        <v>6</v>
      </c>
      <c r="N619" s="786"/>
      <c r="O619" s="430" t="s">
        <v>7014</v>
      </c>
      <c r="P619" s="786"/>
    </row>
    <row r="620" spans="1:17" s="17" customFormat="1" ht="33" customHeight="1">
      <c r="A620" s="785"/>
      <c r="B620" s="399">
        <v>46265</v>
      </c>
      <c r="C620" s="4" t="s">
        <v>6707</v>
      </c>
      <c r="D620" s="4" t="s">
        <v>25</v>
      </c>
      <c r="E620" s="786" t="s">
        <v>6895</v>
      </c>
      <c r="F620" s="786" t="s">
        <v>6075</v>
      </c>
      <c r="G620" s="16" t="s">
        <v>145</v>
      </c>
      <c r="H620" s="453" t="s">
        <v>7004</v>
      </c>
      <c r="I620" s="453" t="s">
        <v>7005</v>
      </c>
      <c r="J620" s="458"/>
      <c r="K620" s="136"/>
      <c r="L620" s="459" t="s">
        <v>7006</v>
      </c>
      <c r="M620" s="455">
        <v>1</v>
      </c>
      <c r="N620" s="786"/>
      <c r="O620" s="430"/>
      <c r="P620" s="786"/>
    </row>
    <row r="621" spans="1:17" s="17" customFormat="1" ht="33" customHeight="1">
      <c r="A621" s="785"/>
      <c r="B621" s="399">
        <v>46265</v>
      </c>
      <c r="C621" s="4" t="s">
        <v>6707</v>
      </c>
      <c r="D621" s="4" t="s">
        <v>25</v>
      </c>
      <c r="E621" s="786" t="s">
        <v>6709</v>
      </c>
      <c r="F621" s="786">
        <v>7065</v>
      </c>
      <c r="G621" s="16" t="s">
        <v>145</v>
      </c>
      <c r="H621" s="791" t="s">
        <v>6706</v>
      </c>
      <c r="I621" s="786" t="s">
        <v>6312</v>
      </c>
      <c r="J621" s="786"/>
      <c r="K621" s="277" t="s">
        <v>209</v>
      </c>
      <c r="L621" s="16"/>
      <c r="M621" s="8">
        <v>1</v>
      </c>
      <c r="N621" s="786"/>
      <c r="O621" s="430"/>
      <c r="P621" s="786"/>
    </row>
    <row r="622" spans="1:17" s="17" customFormat="1" ht="33" customHeight="1">
      <c r="A622" s="785"/>
      <c r="B622" s="399">
        <v>46265</v>
      </c>
      <c r="C622" s="4" t="s">
        <v>138</v>
      </c>
      <c r="D622" s="4" t="s">
        <v>7010</v>
      </c>
      <c r="E622" s="786" t="s">
        <v>6964</v>
      </c>
      <c r="F622" s="786" t="s">
        <v>7009</v>
      </c>
      <c r="G622" s="16" t="s">
        <v>7007</v>
      </c>
      <c r="H622" s="791" t="s">
        <v>7008</v>
      </c>
      <c r="I622" s="786" t="s">
        <v>7011</v>
      </c>
      <c r="J622" s="786" t="s">
        <v>5606</v>
      </c>
      <c r="K622" s="277" t="s">
        <v>7012</v>
      </c>
      <c r="L622" s="16" t="s">
        <v>6287</v>
      </c>
      <c r="M622" s="8">
        <v>3</v>
      </c>
      <c r="N622" s="786"/>
      <c r="O622" s="430" t="s">
        <v>7015</v>
      </c>
      <c r="P622" s="786"/>
    </row>
    <row r="623" spans="1:17" s="17" customFormat="1" ht="33" customHeight="1">
      <c r="A623" s="793"/>
      <c r="B623" s="399">
        <v>46266</v>
      </c>
      <c r="C623" s="3" t="s">
        <v>21</v>
      </c>
      <c r="D623" s="3" t="s">
        <v>14</v>
      </c>
      <c r="E623" s="454" t="s">
        <v>7029</v>
      </c>
      <c r="F623" s="454" t="s">
        <v>3415</v>
      </c>
      <c r="G623" s="459" t="s">
        <v>23</v>
      </c>
      <c r="H623" s="799" t="s">
        <v>7024</v>
      </c>
      <c r="I623" s="796"/>
      <c r="J623" s="796" t="s">
        <v>7027</v>
      </c>
      <c r="K623" s="277" t="s">
        <v>15</v>
      </c>
      <c r="L623" s="16" t="s">
        <v>7028</v>
      </c>
      <c r="M623" s="8">
        <v>2</v>
      </c>
      <c r="N623" s="796"/>
      <c r="O623" s="430"/>
      <c r="P623" s="796"/>
    </row>
    <row r="624" spans="1:17" s="17" customFormat="1" ht="33" customHeight="1">
      <c r="A624" s="595"/>
      <c r="B624" s="399">
        <v>46266</v>
      </c>
      <c r="C624" s="3" t="s">
        <v>6969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6977</v>
      </c>
      <c r="I624" s="453" t="s">
        <v>6971</v>
      </c>
      <c r="J624" s="454" t="s">
        <v>686</v>
      </c>
      <c r="K624" s="136" t="s">
        <v>15</v>
      </c>
      <c r="L624" s="459" t="s">
        <v>6972</v>
      </c>
      <c r="M624" s="455">
        <v>3</v>
      </c>
      <c r="N624" s="31"/>
      <c r="O624" s="430" t="s">
        <v>7002</v>
      </c>
      <c r="P624" s="31"/>
    </row>
    <row r="625" spans="1:16" s="17" customFormat="1" ht="33" customHeight="1">
      <c r="A625" s="793"/>
      <c r="B625" s="399">
        <v>46266</v>
      </c>
      <c r="C625" s="3" t="s">
        <v>1301</v>
      </c>
      <c r="D625" s="3" t="s">
        <v>17</v>
      </c>
      <c r="E625" s="454" t="s">
        <v>6950</v>
      </c>
      <c r="F625" s="454">
        <v>7064</v>
      </c>
      <c r="G625" s="459" t="s">
        <v>7030</v>
      </c>
      <c r="H625" s="453" t="s">
        <v>7031</v>
      </c>
      <c r="I625" s="453" t="s">
        <v>1690</v>
      </c>
      <c r="J625" s="454" t="s">
        <v>316</v>
      </c>
      <c r="K625" s="136" t="s">
        <v>1356</v>
      </c>
      <c r="L625" s="459" t="s">
        <v>7032</v>
      </c>
      <c r="M625" s="455">
        <v>2</v>
      </c>
      <c r="N625" s="796"/>
      <c r="O625" s="430"/>
      <c r="P625" s="796"/>
    </row>
    <row r="626" spans="1:16" s="17" customFormat="1" ht="33" customHeight="1">
      <c r="A626" s="785"/>
      <c r="B626" s="399">
        <v>46266</v>
      </c>
      <c r="C626" s="4" t="s">
        <v>21</v>
      </c>
      <c r="D626" s="4" t="s">
        <v>17</v>
      </c>
      <c r="E626" s="786" t="s">
        <v>78</v>
      </c>
      <c r="F626" s="786">
        <v>7060</v>
      </c>
      <c r="G626" s="16" t="s">
        <v>36</v>
      </c>
      <c r="H626" s="791" t="s">
        <v>7025</v>
      </c>
      <c r="I626" s="786" t="s">
        <v>6842</v>
      </c>
      <c r="J626" s="786"/>
      <c r="K626" s="125" t="s">
        <v>15</v>
      </c>
      <c r="L626" s="16">
        <v>9080</v>
      </c>
      <c r="M626" s="8">
        <v>2</v>
      </c>
      <c r="N626" s="786"/>
      <c r="O626" s="431"/>
      <c r="P626" s="786"/>
    </row>
    <row r="627" spans="1:16" s="17" customFormat="1" ht="33" customHeight="1">
      <c r="A627" s="785"/>
      <c r="B627" s="399">
        <v>46266</v>
      </c>
      <c r="C627" s="4" t="s">
        <v>21</v>
      </c>
      <c r="D627" s="4" t="s">
        <v>14</v>
      </c>
      <c r="E627" s="786" t="s">
        <v>140</v>
      </c>
      <c r="F627" s="786" t="s">
        <v>2959</v>
      </c>
      <c r="G627" s="16" t="s">
        <v>6980</v>
      </c>
      <c r="H627" s="791" t="s">
        <v>6949</v>
      </c>
      <c r="I627" s="786" t="s">
        <v>6996</v>
      </c>
      <c r="J627" s="786" t="s">
        <v>686</v>
      </c>
      <c r="K627" s="125" t="s">
        <v>15</v>
      </c>
      <c r="L627" s="16" t="s">
        <v>6287</v>
      </c>
      <c r="M627" s="8">
        <v>2</v>
      </c>
      <c r="N627" s="786"/>
      <c r="O627" s="430" t="s">
        <v>6116</v>
      </c>
      <c r="P627" s="786"/>
    </row>
    <row r="628" spans="1:16" s="17" customFormat="1" ht="33" customHeight="1">
      <c r="A628" s="793"/>
      <c r="B628" s="399">
        <v>46267</v>
      </c>
      <c r="C628" s="3" t="s">
        <v>21</v>
      </c>
      <c r="D628" s="3" t="s">
        <v>14</v>
      </c>
      <c r="E628" s="454" t="s">
        <v>211</v>
      </c>
      <c r="F628" s="454" t="s">
        <v>2916</v>
      </c>
      <c r="G628" s="459" t="s">
        <v>2917</v>
      </c>
      <c r="H628" s="799" t="s">
        <v>7034</v>
      </c>
      <c r="I628" s="796" t="s">
        <v>7033</v>
      </c>
      <c r="J628" s="796"/>
      <c r="K628" s="125" t="s">
        <v>1356</v>
      </c>
      <c r="L628" s="16">
        <v>9080</v>
      </c>
      <c r="M628" s="8">
        <v>2</v>
      </c>
      <c r="N628" s="796"/>
      <c r="O628" s="430"/>
      <c r="P628" s="796"/>
    </row>
    <row r="629" spans="1:16" s="17" customFormat="1" ht="33" customHeight="1">
      <c r="A629" s="595"/>
      <c r="B629" s="399">
        <v>46267</v>
      </c>
      <c r="C629" s="4" t="s">
        <v>6933</v>
      </c>
      <c r="D629" s="4" t="s">
        <v>17</v>
      </c>
      <c r="E629" s="31" t="s">
        <v>6942</v>
      </c>
      <c r="F629" s="31" t="s">
        <v>6943</v>
      </c>
      <c r="G629" s="16" t="s">
        <v>6944</v>
      </c>
      <c r="H629" s="193" t="s">
        <v>6945</v>
      </c>
      <c r="I629" s="31" t="s">
        <v>6932</v>
      </c>
      <c r="J629" s="193" t="s">
        <v>6960</v>
      </c>
      <c r="K629" s="125" t="s">
        <v>6939</v>
      </c>
      <c r="L629" s="16" t="s">
        <v>7035</v>
      </c>
      <c r="M629" s="8">
        <v>2</v>
      </c>
      <c r="N629" s="422"/>
      <c r="O629" s="430" t="s">
        <v>6946</v>
      </c>
      <c r="P629" s="31"/>
    </row>
    <row r="630" spans="1:16" s="17" customFormat="1" ht="33" customHeight="1">
      <c r="A630" s="785"/>
      <c r="B630" s="399">
        <v>46267</v>
      </c>
      <c r="C630" s="4" t="s">
        <v>21</v>
      </c>
      <c r="D630" s="4" t="s">
        <v>14</v>
      </c>
      <c r="E630" s="786" t="s">
        <v>140</v>
      </c>
      <c r="F630" s="786" t="s">
        <v>2959</v>
      </c>
      <c r="G630" s="16" t="s">
        <v>143</v>
      </c>
      <c r="H630" s="791" t="s">
        <v>6949</v>
      </c>
      <c r="I630" s="786"/>
      <c r="J630" s="786" t="s">
        <v>641</v>
      </c>
      <c r="K630" s="125" t="s">
        <v>15</v>
      </c>
      <c r="L630" s="16" t="s">
        <v>6287</v>
      </c>
      <c r="M630" s="8">
        <v>2</v>
      </c>
      <c r="N630" s="790"/>
      <c r="O630" s="430" t="s">
        <v>6997</v>
      </c>
      <c r="P630" s="786"/>
    </row>
    <row r="631" spans="1:16" s="17" customFormat="1" ht="33" customHeight="1">
      <c r="A631" s="785"/>
      <c r="B631" s="399">
        <v>46267</v>
      </c>
      <c r="C631" s="3" t="s">
        <v>6969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6970</v>
      </c>
      <c r="I631" s="453" t="s">
        <v>6971</v>
      </c>
      <c r="J631" s="454" t="s">
        <v>686</v>
      </c>
      <c r="K631" s="136" t="s">
        <v>15</v>
      </c>
      <c r="L631" s="459" t="s">
        <v>6972</v>
      </c>
      <c r="M631" s="455">
        <v>3</v>
      </c>
      <c r="N631" s="790"/>
      <c r="O631" s="430" t="s">
        <v>7002</v>
      </c>
      <c r="P631" s="786"/>
    </row>
    <row r="632" spans="1:16" s="17" customFormat="1" ht="33" customHeight="1">
      <c r="A632" s="785"/>
      <c r="B632" s="399">
        <v>46268</v>
      </c>
      <c r="C632" s="4" t="s">
        <v>6707</v>
      </c>
      <c r="D632" s="4" t="s">
        <v>25</v>
      </c>
      <c r="E632" s="786" t="s">
        <v>6709</v>
      </c>
      <c r="F632" s="786">
        <v>7065</v>
      </c>
      <c r="G632" s="16" t="s">
        <v>145</v>
      </c>
      <c r="H632" s="791" t="s">
        <v>6706</v>
      </c>
      <c r="I632" s="786" t="s">
        <v>6312</v>
      </c>
      <c r="J632" s="786"/>
      <c r="K632" s="277" t="s">
        <v>209</v>
      </c>
      <c r="L632" s="16">
        <v>9080</v>
      </c>
      <c r="M632" s="8">
        <v>1</v>
      </c>
      <c r="N632" s="790"/>
      <c r="O632" s="430"/>
      <c r="P632" s="786"/>
    </row>
    <row r="633" spans="1:16" s="17" customFormat="1" ht="33" customHeight="1">
      <c r="A633" s="785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6990</v>
      </c>
      <c r="I633" s="453" t="s">
        <v>126</v>
      </c>
      <c r="J633" s="454" t="s">
        <v>6989</v>
      </c>
      <c r="K633" s="136" t="s">
        <v>15</v>
      </c>
      <c r="L633" s="459" t="s">
        <v>4525</v>
      </c>
      <c r="M633" s="455">
        <v>2</v>
      </c>
      <c r="N633" s="790"/>
      <c r="O633" s="430" t="s">
        <v>5899</v>
      </c>
      <c r="P633" s="786"/>
    </row>
    <row r="634" spans="1:16" s="17" customFormat="1" ht="33" customHeight="1">
      <c r="A634" s="793"/>
      <c r="B634" s="399">
        <v>46268</v>
      </c>
      <c r="C634" s="4" t="s">
        <v>21</v>
      </c>
      <c r="D634" s="4" t="s">
        <v>14</v>
      </c>
      <c r="E634" s="796" t="s">
        <v>140</v>
      </c>
      <c r="F634" s="796" t="s">
        <v>2959</v>
      </c>
      <c r="G634" s="16" t="s">
        <v>143</v>
      </c>
      <c r="H634" s="799" t="s">
        <v>6949</v>
      </c>
      <c r="I634" s="796"/>
      <c r="J634" s="796" t="s">
        <v>641</v>
      </c>
      <c r="K634" s="125" t="s">
        <v>15</v>
      </c>
      <c r="L634" s="16" t="s">
        <v>6287</v>
      </c>
      <c r="M634" s="8">
        <v>2</v>
      </c>
      <c r="N634" s="798"/>
      <c r="O634" s="430" t="s">
        <v>7036</v>
      </c>
      <c r="P634" s="796"/>
    </row>
    <row r="635" spans="1:16" s="17" customFormat="1" ht="33" customHeight="1">
      <c r="A635" s="785"/>
      <c r="B635" s="399">
        <v>46268</v>
      </c>
      <c r="C635" s="4" t="s">
        <v>21</v>
      </c>
      <c r="D635" s="4" t="s">
        <v>14</v>
      </c>
      <c r="E635" s="786" t="s">
        <v>140</v>
      </c>
      <c r="F635" s="786" t="s">
        <v>2959</v>
      </c>
      <c r="G635" s="16" t="s">
        <v>6979</v>
      </c>
      <c r="H635" s="791" t="s">
        <v>6949</v>
      </c>
      <c r="I635" s="786"/>
      <c r="J635" s="786" t="s">
        <v>6998</v>
      </c>
      <c r="K635" s="125" t="s">
        <v>15</v>
      </c>
      <c r="L635" s="16" t="s">
        <v>6287</v>
      </c>
      <c r="M635" s="8">
        <v>3</v>
      </c>
      <c r="N635" s="790"/>
      <c r="O635" s="430" t="s">
        <v>6999</v>
      </c>
      <c r="P635" s="786"/>
    </row>
    <row r="636" spans="1:16" s="17" customFormat="1" ht="33" customHeight="1">
      <c r="A636" s="785"/>
      <c r="B636" s="399">
        <v>46268</v>
      </c>
      <c r="C636" s="3" t="s">
        <v>6969</v>
      </c>
      <c r="D636" s="3" t="s">
        <v>77</v>
      </c>
      <c r="E636" s="454" t="s">
        <v>5890</v>
      </c>
      <c r="F636" s="454">
        <v>3307</v>
      </c>
      <c r="G636" s="459" t="s">
        <v>1328</v>
      </c>
      <c r="H636" s="453" t="s">
        <v>6978</v>
      </c>
      <c r="I636" s="453" t="s">
        <v>6971</v>
      </c>
      <c r="J636" s="454" t="s">
        <v>686</v>
      </c>
      <c r="K636" s="136" t="s">
        <v>15</v>
      </c>
      <c r="L636" s="459" t="s">
        <v>6972</v>
      </c>
      <c r="M636" s="455">
        <v>3</v>
      </c>
      <c r="N636" s="790"/>
      <c r="O636" s="430" t="s">
        <v>7002</v>
      </c>
      <c r="P636" s="786"/>
    </row>
    <row r="637" spans="1:16" s="17" customFormat="1" ht="33" customHeight="1">
      <c r="A637" s="793"/>
      <c r="B637" s="399">
        <v>46269</v>
      </c>
      <c r="C637" s="3" t="s">
        <v>21</v>
      </c>
      <c r="D637" s="3" t="s">
        <v>14</v>
      </c>
      <c r="E637" s="454" t="s">
        <v>7029</v>
      </c>
      <c r="F637" s="454" t="s">
        <v>3415</v>
      </c>
      <c r="G637" s="459" t="s">
        <v>23</v>
      </c>
      <c r="H637" s="799" t="s">
        <v>7042</v>
      </c>
      <c r="I637" s="796"/>
      <c r="J637" s="796" t="s">
        <v>7043</v>
      </c>
      <c r="K637" s="277" t="s">
        <v>15</v>
      </c>
      <c r="L637" s="16" t="s">
        <v>4550</v>
      </c>
      <c r="M637" s="8">
        <v>1</v>
      </c>
      <c r="N637" s="798"/>
      <c r="O637" s="430"/>
      <c r="P637" s="796"/>
    </row>
    <row r="638" spans="1:16" s="17" customFormat="1" ht="33" customHeight="1">
      <c r="A638" s="785"/>
      <c r="B638" s="399">
        <v>46269</v>
      </c>
      <c r="C638" s="4" t="s">
        <v>6707</v>
      </c>
      <c r="D638" s="4" t="s">
        <v>25</v>
      </c>
      <c r="E638" s="786" t="s">
        <v>6709</v>
      </c>
      <c r="F638" s="786">
        <v>7065</v>
      </c>
      <c r="G638" s="16" t="s">
        <v>145</v>
      </c>
      <c r="H638" s="791" t="s">
        <v>6706</v>
      </c>
      <c r="I638" s="786" t="s">
        <v>6312</v>
      </c>
      <c r="J638" s="786"/>
      <c r="K638" s="277" t="s">
        <v>209</v>
      </c>
      <c r="L638" s="16">
        <v>9080</v>
      </c>
      <c r="M638" s="8">
        <v>1</v>
      </c>
      <c r="N638" s="790" t="s">
        <v>7037</v>
      </c>
      <c r="O638" s="430"/>
      <c r="P638" s="786"/>
    </row>
    <row r="639" spans="1:16" s="17" customFormat="1" ht="33" customHeight="1">
      <c r="A639" s="785"/>
      <c r="B639" s="399">
        <v>46269</v>
      </c>
      <c r="C639" s="3" t="s">
        <v>21</v>
      </c>
      <c r="D639" s="3" t="s">
        <v>6991</v>
      </c>
      <c r="E639" s="454" t="s">
        <v>6992</v>
      </c>
      <c r="F639" s="453" t="s">
        <v>6995</v>
      </c>
      <c r="G639" s="459" t="s">
        <v>6993</v>
      </c>
      <c r="H639" s="453" t="s">
        <v>6994</v>
      </c>
      <c r="I639" s="453" t="s">
        <v>126</v>
      </c>
      <c r="J639" s="454" t="s">
        <v>6989</v>
      </c>
      <c r="K639" s="136" t="s">
        <v>15</v>
      </c>
      <c r="L639" s="459" t="s">
        <v>4525</v>
      </c>
      <c r="M639" s="455">
        <v>2</v>
      </c>
      <c r="N639" s="790"/>
      <c r="O639" s="430" t="s">
        <v>5899</v>
      </c>
      <c r="P639" s="786"/>
    </row>
    <row r="640" spans="1:16" s="17" customFormat="1" ht="33" customHeight="1">
      <c r="A640" s="785"/>
      <c r="B640" s="399">
        <v>46269</v>
      </c>
      <c r="C640" s="3" t="s">
        <v>6969</v>
      </c>
      <c r="D640" s="3" t="s">
        <v>77</v>
      </c>
      <c r="E640" s="454" t="s">
        <v>5890</v>
      </c>
      <c r="F640" s="454">
        <v>3307</v>
      </c>
      <c r="G640" s="459" t="s">
        <v>1328</v>
      </c>
      <c r="H640" s="453" t="s">
        <v>6973</v>
      </c>
      <c r="I640" s="453" t="s">
        <v>6971</v>
      </c>
      <c r="J640" s="454" t="s">
        <v>686</v>
      </c>
      <c r="K640" s="136" t="s">
        <v>15</v>
      </c>
      <c r="L640" s="459" t="s">
        <v>6972</v>
      </c>
      <c r="M640" s="455">
        <v>3</v>
      </c>
      <c r="N640" s="790"/>
      <c r="O640" s="430" t="s">
        <v>7002</v>
      </c>
      <c r="P640" s="786"/>
    </row>
    <row r="641" spans="1:16" s="17" customFormat="1" ht="33" customHeight="1">
      <c r="A641" s="595"/>
      <c r="B641" s="399">
        <v>46269</v>
      </c>
      <c r="C641" s="3" t="s">
        <v>21</v>
      </c>
      <c r="D641" s="3" t="s">
        <v>70</v>
      </c>
      <c r="E641" s="454" t="s">
        <v>1787</v>
      </c>
      <c r="F641" s="454" t="s">
        <v>2978</v>
      </c>
      <c r="G641" s="459" t="s">
        <v>40</v>
      </c>
      <c r="H641" s="453" t="s">
        <v>7001</v>
      </c>
      <c r="I641" s="454" t="s">
        <v>7000</v>
      </c>
      <c r="J641" s="786" t="s">
        <v>641</v>
      </c>
      <c r="K641" s="125" t="s">
        <v>15</v>
      </c>
      <c r="L641" s="16" t="s">
        <v>6287</v>
      </c>
      <c r="M641" s="8">
        <v>3</v>
      </c>
      <c r="N641" s="422"/>
      <c r="O641" s="430" t="s">
        <v>6997</v>
      </c>
      <c r="P641" s="31"/>
    </row>
    <row r="642" spans="1:16" s="17" customFormat="1" ht="33" customHeight="1">
      <c r="A642" s="595"/>
      <c r="B642" s="399">
        <v>46269</v>
      </c>
      <c r="C642" s="4" t="s">
        <v>6933</v>
      </c>
      <c r="D642" s="4" t="s">
        <v>6934</v>
      </c>
      <c r="E642" s="31" t="s">
        <v>6935</v>
      </c>
      <c r="F642" s="31" t="s">
        <v>6936</v>
      </c>
      <c r="G642" s="16" t="s">
        <v>6937</v>
      </c>
      <c r="H642" s="193" t="s">
        <v>6941</v>
      </c>
      <c r="I642" s="31" t="s">
        <v>6932</v>
      </c>
      <c r="J642" s="193"/>
      <c r="K642" s="125" t="s">
        <v>6939</v>
      </c>
      <c r="L642" s="16" t="s">
        <v>6938</v>
      </c>
      <c r="M642" s="8">
        <v>1</v>
      </c>
      <c r="N642" s="422"/>
      <c r="O642" s="430" t="s">
        <v>6940</v>
      </c>
      <c r="P642" s="31"/>
    </row>
    <row r="643" spans="1:16" s="17" customFormat="1" ht="33" customHeight="1">
      <c r="A643" s="596"/>
      <c r="B643" s="399">
        <v>46270</v>
      </c>
      <c r="C643" s="3" t="s">
        <v>6969</v>
      </c>
      <c r="D643" s="3" t="s">
        <v>77</v>
      </c>
      <c r="E643" s="454" t="s">
        <v>5890</v>
      </c>
      <c r="F643" s="454">
        <v>3307</v>
      </c>
      <c r="G643" s="459" t="s">
        <v>1328</v>
      </c>
      <c r="H643" s="453" t="s">
        <v>6974</v>
      </c>
      <c r="I643" s="453" t="s">
        <v>6971</v>
      </c>
      <c r="J643" s="454" t="s">
        <v>686</v>
      </c>
      <c r="K643" s="136" t="s">
        <v>15</v>
      </c>
      <c r="L643" s="459" t="s">
        <v>6972</v>
      </c>
      <c r="M643" s="455">
        <v>3</v>
      </c>
      <c r="N643" s="31"/>
      <c r="O643" s="430" t="s">
        <v>7002</v>
      </c>
      <c r="P643" s="31"/>
    </row>
    <row r="644" spans="1:16" s="17" customFormat="1" ht="33" customHeight="1">
      <c r="A644" s="322" t="s">
        <v>0</v>
      </c>
      <c r="B644" s="323" t="s">
        <v>1</v>
      </c>
      <c r="C644" s="322" t="s">
        <v>2</v>
      </c>
      <c r="D644" s="322" t="s">
        <v>3</v>
      </c>
      <c r="E644" s="322" t="s">
        <v>4</v>
      </c>
      <c r="F644" s="322" t="s">
        <v>5</v>
      </c>
      <c r="G644" s="322" t="s">
        <v>6</v>
      </c>
      <c r="H644" s="324" t="s">
        <v>7</v>
      </c>
      <c r="I644" s="322" t="s">
        <v>8</v>
      </c>
      <c r="J644" s="322" t="s">
        <v>9</v>
      </c>
      <c r="K644" s="325" t="s">
        <v>10</v>
      </c>
      <c r="L644" s="326" t="s">
        <v>11</v>
      </c>
      <c r="M644" s="322" t="s">
        <v>12</v>
      </c>
      <c r="N644" s="327" t="s">
        <v>13</v>
      </c>
      <c r="O644" s="427" t="s">
        <v>63</v>
      </c>
      <c r="P644" s="322" t="s">
        <v>123</v>
      </c>
    </row>
    <row r="645" spans="1:16" s="17" customFormat="1" ht="33" customHeight="1">
      <c r="A645" s="594" t="s">
        <v>6763</v>
      </c>
      <c r="B645" s="399">
        <v>46272</v>
      </c>
      <c r="C645" s="4" t="s">
        <v>6948</v>
      </c>
      <c r="D645" s="4" t="s">
        <v>6934</v>
      </c>
      <c r="E645" s="31" t="s">
        <v>6950</v>
      </c>
      <c r="F645" s="31">
        <v>7064</v>
      </c>
      <c r="G645" s="16" t="s">
        <v>6951</v>
      </c>
      <c r="H645" s="193" t="s">
        <v>6952</v>
      </c>
      <c r="I645" s="31"/>
      <c r="J645" s="31" t="s">
        <v>6953</v>
      </c>
      <c r="K645" s="125" t="s">
        <v>6939</v>
      </c>
      <c r="L645" s="16" t="s">
        <v>6954</v>
      </c>
      <c r="M645" s="8">
        <v>4</v>
      </c>
      <c r="N645" s="422" t="s">
        <v>6947</v>
      </c>
      <c r="O645" s="428"/>
      <c r="P645" s="31"/>
    </row>
    <row r="646" spans="1:16" s="17" customFormat="1" ht="33" customHeight="1">
      <c r="A646" s="793"/>
      <c r="B646" s="399">
        <v>46272</v>
      </c>
      <c r="C646" s="4" t="s">
        <v>7056</v>
      </c>
      <c r="D646" s="4" t="s">
        <v>17</v>
      </c>
      <c r="E646" s="799" t="s">
        <v>7057</v>
      </c>
      <c r="F646" s="796" t="s">
        <v>7058</v>
      </c>
      <c r="G646" s="16" t="s">
        <v>7059</v>
      </c>
      <c r="H646" s="799" t="s">
        <v>7060</v>
      </c>
      <c r="I646" s="796"/>
      <c r="J646" s="796" t="s">
        <v>7061</v>
      </c>
      <c r="K646" s="125" t="s">
        <v>7062</v>
      </c>
      <c r="L646" s="16" t="s">
        <v>7063</v>
      </c>
      <c r="M646" s="8">
        <v>2</v>
      </c>
      <c r="N646" s="798"/>
      <c r="O646" s="428" t="s">
        <v>7064</v>
      </c>
      <c r="P646" s="796"/>
    </row>
    <row r="647" spans="1:16" s="17" customFormat="1" ht="33" customHeight="1">
      <c r="A647" s="793"/>
      <c r="B647" s="399">
        <v>46272</v>
      </c>
      <c r="C647" s="4" t="s">
        <v>6707</v>
      </c>
      <c r="D647" s="4" t="s">
        <v>25</v>
      </c>
      <c r="E647" s="796" t="s">
        <v>6709</v>
      </c>
      <c r="F647" s="796">
        <v>7065</v>
      </c>
      <c r="G647" s="16" t="s">
        <v>145</v>
      </c>
      <c r="H647" s="799" t="s">
        <v>6706</v>
      </c>
      <c r="I647" s="796" t="s">
        <v>6312</v>
      </c>
      <c r="J647" s="796"/>
      <c r="K647" s="277" t="s">
        <v>209</v>
      </c>
      <c r="L647" s="16">
        <v>9080</v>
      </c>
      <c r="M647" s="8">
        <v>1</v>
      </c>
      <c r="N647" s="798"/>
      <c r="O647" s="428"/>
      <c r="P647" s="796"/>
    </row>
    <row r="648" spans="1:16" s="17" customFormat="1" ht="33" customHeight="1">
      <c r="A648" s="793"/>
      <c r="B648" s="399">
        <v>46272</v>
      </c>
      <c r="C648" s="4" t="s">
        <v>21</v>
      </c>
      <c r="D648" s="4" t="s">
        <v>14</v>
      </c>
      <c r="E648" s="796" t="s">
        <v>140</v>
      </c>
      <c r="F648" s="796" t="s">
        <v>2959</v>
      </c>
      <c r="G648" s="16" t="s">
        <v>143</v>
      </c>
      <c r="H648" s="799" t="s">
        <v>6949</v>
      </c>
      <c r="I648" s="796" t="s">
        <v>7066</v>
      </c>
      <c r="J648" s="796" t="s">
        <v>7065</v>
      </c>
      <c r="K648" s="125" t="s">
        <v>15</v>
      </c>
      <c r="L648" s="16" t="s">
        <v>7074</v>
      </c>
      <c r="M648" s="8">
        <v>2</v>
      </c>
      <c r="N648" s="798"/>
      <c r="O648" s="428" t="s">
        <v>7068</v>
      </c>
      <c r="P648" s="796"/>
    </row>
    <row r="649" spans="1:16" s="17" customFormat="1" ht="33" customHeight="1">
      <c r="A649" s="793"/>
      <c r="B649" s="399">
        <v>46273</v>
      </c>
      <c r="C649" s="4" t="s">
        <v>21</v>
      </c>
      <c r="D649" s="4" t="s">
        <v>14</v>
      </c>
      <c r="E649" s="796" t="s">
        <v>140</v>
      </c>
      <c r="F649" s="796" t="s">
        <v>2959</v>
      </c>
      <c r="G649" s="16" t="s">
        <v>143</v>
      </c>
      <c r="H649" s="799" t="s">
        <v>6949</v>
      </c>
      <c r="I649" s="796" t="s">
        <v>7066</v>
      </c>
      <c r="J649" s="796" t="s">
        <v>7067</v>
      </c>
      <c r="K649" s="125" t="s">
        <v>15</v>
      </c>
      <c r="L649" s="16" t="s">
        <v>7074</v>
      </c>
      <c r="M649" s="8">
        <v>2</v>
      </c>
      <c r="N649" s="798"/>
      <c r="O649" s="428" t="s">
        <v>7069</v>
      </c>
      <c r="P649" s="796"/>
    </row>
    <row r="650" spans="1:16" s="17" customFormat="1" ht="33" customHeight="1">
      <c r="A650" s="793"/>
      <c r="B650" s="399">
        <v>46273</v>
      </c>
      <c r="C650" s="4" t="s">
        <v>21</v>
      </c>
      <c r="D650" s="4" t="s">
        <v>14</v>
      </c>
      <c r="E650" s="796" t="s">
        <v>107</v>
      </c>
      <c r="F650" s="796" t="s">
        <v>2959</v>
      </c>
      <c r="G650" s="16" t="s">
        <v>7044</v>
      </c>
      <c r="H650" s="799" t="s">
        <v>7102</v>
      </c>
      <c r="I650" s="796" t="s">
        <v>7066</v>
      </c>
      <c r="J650" s="796" t="s">
        <v>7067</v>
      </c>
      <c r="K650" s="125" t="s">
        <v>15</v>
      </c>
      <c r="L650" s="16" t="s">
        <v>7074</v>
      </c>
      <c r="M650" s="8">
        <v>2</v>
      </c>
      <c r="N650" s="798"/>
      <c r="O650" s="428" t="s">
        <v>7069</v>
      </c>
      <c r="P650" s="796"/>
    </row>
    <row r="651" spans="1:16" s="17" customFormat="1" ht="33" customHeight="1">
      <c r="A651" s="595"/>
      <c r="B651" s="399">
        <v>46273</v>
      </c>
      <c r="C651" s="4" t="s">
        <v>6948</v>
      </c>
      <c r="D651" s="4" t="s">
        <v>6934</v>
      </c>
      <c r="E651" s="31" t="s">
        <v>6950</v>
      </c>
      <c r="F651" s="31">
        <v>7064</v>
      </c>
      <c r="G651" s="16" t="s">
        <v>6951</v>
      </c>
      <c r="H651" s="193" t="s">
        <v>6952</v>
      </c>
      <c r="I651" s="31"/>
      <c r="J651" s="31" t="s">
        <v>6953</v>
      </c>
      <c r="K651" s="125" t="s">
        <v>6939</v>
      </c>
      <c r="L651" s="16" t="s">
        <v>6954</v>
      </c>
      <c r="M651" s="8">
        <v>4</v>
      </c>
      <c r="N651" s="31"/>
      <c r="O651" s="428"/>
      <c r="P651" s="31"/>
    </row>
    <row r="652" spans="1:16" s="17" customFormat="1" ht="33" customHeight="1">
      <c r="A652" s="793"/>
      <c r="B652" s="399">
        <v>46273</v>
      </c>
      <c r="C652" s="3" t="s">
        <v>21</v>
      </c>
      <c r="D652" s="3" t="s">
        <v>14</v>
      </c>
      <c r="E652" s="454" t="s">
        <v>211</v>
      </c>
      <c r="F652" s="454" t="s">
        <v>2916</v>
      </c>
      <c r="G652" s="459" t="s">
        <v>2917</v>
      </c>
      <c r="H652" s="799" t="s">
        <v>7038</v>
      </c>
      <c r="I652" s="799" t="s">
        <v>7070</v>
      </c>
      <c r="J652" s="796" t="s">
        <v>68</v>
      </c>
      <c r="K652" s="125" t="s">
        <v>1356</v>
      </c>
      <c r="L652" s="16">
        <v>9080</v>
      </c>
      <c r="M652" s="8">
        <v>4</v>
      </c>
      <c r="N652" s="796"/>
      <c r="O652" s="428"/>
      <c r="P652" s="796"/>
    </row>
    <row r="653" spans="1:16" s="17" customFormat="1" ht="33" customHeight="1">
      <c r="A653" s="793"/>
      <c r="B653" s="399">
        <v>46274</v>
      </c>
      <c r="C653" s="4" t="s">
        <v>6707</v>
      </c>
      <c r="D653" s="4" t="s">
        <v>25</v>
      </c>
      <c r="E653" s="796" t="s">
        <v>6709</v>
      </c>
      <c r="F653" s="796">
        <v>7065</v>
      </c>
      <c r="G653" s="16" t="s">
        <v>145</v>
      </c>
      <c r="H653" s="799" t="s">
        <v>6706</v>
      </c>
      <c r="I653" s="796" t="s">
        <v>6312</v>
      </c>
      <c r="J653" s="796"/>
      <c r="K653" s="277" t="s">
        <v>209</v>
      </c>
      <c r="L653" s="16">
        <v>9080</v>
      </c>
      <c r="M653" s="8">
        <v>1</v>
      </c>
      <c r="N653" s="796"/>
      <c r="O653" s="428"/>
      <c r="P653" s="796"/>
    </row>
    <row r="654" spans="1:16" s="17" customFormat="1" ht="33" customHeight="1">
      <c r="A654" s="793"/>
      <c r="B654" s="399">
        <v>46274</v>
      </c>
      <c r="C654" s="3" t="s">
        <v>21</v>
      </c>
      <c r="D654" s="3" t="s">
        <v>14</v>
      </c>
      <c r="E654" s="454" t="s">
        <v>211</v>
      </c>
      <c r="F654" s="454" t="s">
        <v>2916</v>
      </c>
      <c r="G654" s="459" t="s">
        <v>2917</v>
      </c>
      <c r="H654" s="799" t="s">
        <v>7039</v>
      </c>
      <c r="I654" s="796" t="s">
        <v>7040</v>
      </c>
      <c r="J654" s="799" t="s">
        <v>7041</v>
      </c>
      <c r="K654" s="125" t="s">
        <v>1356</v>
      </c>
      <c r="L654" s="16" t="s">
        <v>33</v>
      </c>
      <c r="M654" s="8">
        <v>5</v>
      </c>
      <c r="N654" s="798"/>
      <c r="O654" s="818" t="s">
        <v>7073</v>
      </c>
      <c r="P654" s="796"/>
    </row>
    <row r="655" spans="1:16" s="17" customFormat="1" ht="33" customHeight="1">
      <c r="A655" s="595"/>
      <c r="B655" s="399">
        <v>46274</v>
      </c>
      <c r="C655" s="4" t="s">
        <v>6948</v>
      </c>
      <c r="D655" s="4" t="s">
        <v>6934</v>
      </c>
      <c r="E655" s="31" t="s">
        <v>6950</v>
      </c>
      <c r="F655" s="31">
        <v>7064</v>
      </c>
      <c r="G655" s="16" t="s">
        <v>6951</v>
      </c>
      <c r="H655" s="193" t="s">
        <v>6952</v>
      </c>
      <c r="I655" s="31" t="s">
        <v>6932</v>
      </c>
      <c r="J655" s="31" t="s">
        <v>6953</v>
      </c>
      <c r="K655" s="125" t="s">
        <v>6939</v>
      </c>
      <c r="L655" s="16" t="s">
        <v>6954</v>
      </c>
      <c r="M655" s="8">
        <v>4</v>
      </c>
      <c r="N655" s="422"/>
      <c r="O655" s="428"/>
      <c r="P655" s="31"/>
    </row>
    <row r="656" spans="1:16" s="17" customFormat="1" ht="33" customHeight="1">
      <c r="A656" s="785"/>
      <c r="B656" s="399">
        <v>46274</v>
      </c>
      <c r="C656" s="4" t="s">
        <v>21</v>
      </c>
      <c r="D656" s="4" t="s">
        <v>6984</v>
      </c>
      <c r="E656" s="786" t="s">
        <v>6985</v>
      </c>
      <c r="F656" s="786" t="s">
        <v>6986</v>
      </c>
      <c r="G656" s="16" t="s">
        <v>205</v>
      </c>
      <c r="H656" s="791" t="s">
        <v>6988</v>
      </c>
      <c r="I656" s="786"/>
      <c r="J656" s="786" t="s">
        <v>6987</v>
      </c>
      <c r="K656" s="125" t="s">
        <v>15</v>
      </c>
      <c r="L656" s="16" t="s">
        <v>4550</v>
      </c>
      <c r="M656" s="8">
        <v>1</v>
      </c>
      <c r="N656" s="790"/>
      <c r="O656" s="428"/>
      <c r="P656" s="786"/>
    </row>
    <row r="657" spans="1:16" s="17" customFormat="1" ht="33" customHeight="1">
      <c r="A657" s="793"/>
      <c r="B657" s="399">
        <v>46274</v>
      </c>
      <c r="C657" s="4" t="s">
        <v>21</v>
      </c>
      <c r="D657" s="4" t="s">
        <v>14</v>
      </c>
      <c r="E657" s="796" t="s">
        <v>107</v>
      </c>
      <c r="F657" s="796" t="s">
        <v>2959</v>
      </c>
      <c r="G657" s="16" t="s">
        <v>7055</v>
      </c>
      <c r="H657" s="799" t="s">
        <v>7072</v>
      </c>
      <c r="I657" s="796" t="s">
        <v>7066</v>
      </c>
      <c r="J657" s="796" t="s">
        <v>1300</v>
      </c>
      <c r="K657" s="125" t="s">
        <v>15</v>
      </c>
      <c r="L657" s="16" t="s">
        <v>7075</v>
      </c>
      <c r="M657" s="8">
        <v>2</v>
      </c>
      <c r="N657" s="798"/>
      <c r="O657" s="428" t="s">
        <v>7047</v>
      </c>
      <c r="P657" s="796"/>
    </row>
    <row r="658" spans="1:16" s="17" customFormat="1" ht="33" customHeight="1">
      <c r="A658" s="804"/>
      <c r="B658" s="399">
        <v>46275</v>
      </c>
      <c r="C658" s="4" t="s">
        <v>21</v>
      </c>
      <c r="D658" s="4" t="s">
        <v>14</v>
      </c>
      <c r="E658" s="806" t="s">
        <v>5583</v>
      </c>
      <c r="F658" s="806" t="s">
        <v>5408</v>
      </c>
      <c r="G658" s="16" t="s">
        <v>205</v>
      </c>
      <c r="H658" s="817" t="s">
        <v>7104</v>
      </c>
      <c r="I658" s="806" t="s">
        <v>7105</v>
      </c>
      <c r="J658" s="806" t="s">
        <v>7111</v>
      </c>
      <c r="K658" s="125" t="s">
        <v>7107</v>
      </c>
      <c r="L658" s="16" t="s">
        <v>7108</v>
      </c>
      <c r="M658" s="8">
        <v>2</v>
      </c>
      <c r="N658" s="816"/>
      <c r="O658" s="428" t="s">
        <v>7113</v>
      </c>
      <c r="P658" s="806"/>
    </row>
    <row r="659" spans="1:16" s="17" customFormat="1" ht="33" customHeight="1">
      <c r="A659" s="785"/>
      <c r="B659" s="399">
        <v>46275</v>
      </c>
      <c r="C659" s="4" t="s">
        <v>21</v>
      </c>
      <c r="D659" s="4" t="s">
        <v>14</v>
      </c>
      <c r="E659" s="806" t="s">
        <v>5583</v>
      </c>
      <c r="F659" s="806" t="s">
        <v>5408</v>
      </c>
      <c r="G659" s="16" t="s">
        <v>7051</v>
      </c>
      <c r="H659" s="791" t="s">
        <v>7109</v>
      </c>
      <c r="I659" s="786" t="s">
        <v>7110</v>
      </c>
      <c r="J659" s="786" t="s">
        <v>7052</v>
      </c>
      <c r="K659" s="125" t="s">
        <v>7053</v>
      </c>
      <c r="L659" s="16" t="s">
        <v>7054</v>
      </c>
      <c r="M659" s="8">
        <v>2</v>
      </c>
      <c r="N659" s="790" t="s">
        <v>7112</v>
      </c>
      <c r="O659" s="428" t="s">
        <v>5909</v>
      </c>
      <c r="P659" s="786"/>
    </row>
    <row r="660" spans="1:16" s="17" customFormat="1" ht="33" customHeight="1">
      <c r="A660" s="804"/>
      <c r="B660" s="399">
        <v>46275</v>
      </c>
      <c r="C660" s="3" t="s">
        <v>21</v>
      </c>
      <c r="D660" s="3" t="s">
        <v>14</v>
      </c>
      <c r="E660" s="454" t="s">
        <v>211</v>
      </c>
      <c r="F660" s="454" t="s">
        <v>2916</v>
      </c>
      <c r="G660" s="459" t="s">
        <v>2917</v>
      </c>
      <c r="H660" s="817" t="s">
        <v>7114</v>
      </c>
      <c r="I660" s="806" t="s">
        <v>7115</v>
      </c>
      <c r="J660" s="806"/>
      <c r="K660" s="125" t="s">
        <v>7116</v>
      </c>
      <c r="L660" s="16" t="s">
        <v>7117</v>
      </c>
      <c r="M660" s="8">
        <v>1</v>
      </c>
      <c r="N660" s="816"/>
      <c r="O660" s="428"/>
      <c r="P660" s="806"/>
    </row>
    <row r="661" spans="1:16" s="17" customFormat="1" ht="33" customHeight="1">
      <c r="A661" s="595"/>
      <c r="B661" s="399">
        <v>46275</v>
      </c>
      <c r="C661" s="4" t="s">
        <v>6948</v>
      </c>
      <c r="D661" s="4" t="s">
        <v>6934</v>
      </c>
      <c r="E661" s="31" t="s">
        <v>6950</v>
      </c>
      <c r="F661" s="31">
        <v>7064</v>
      </c>
      <c r="G661" s="16" t="s">
        <v>6951</v>
      </c>
      <c r="H661" s="193" t="s">
        <v>7098</v>
      </c>
      <c r="I661" s="31" t="s">
        <v>6932</v>
      </c>
      <c r="J661" s="31" t="s">
        <v>6953</v>
      </c>
      <c r="K661" s="125" t="s">
        <v>6939</v>
      </c>
      <c r="L661" s="16" t="s">
        <v>6954</v>
      </c>
      <c r="M661" s="8">
        <v>4</v>
      </c>
      <c r="N661" s="422" t="s">
        <v>7091</v>
      </c>
      <c r="O661" s="428"/>
      <c r="P661" s="31"/>
    </row>
    <row r="662" spans="1:16" s="17" customFormat="1" ht="33" customHeight="1">
      <c r="A662" s="804"/>
      <c r="B662" s="399">
        <v>46275</v>
      </c>
      <c r="C662" s="4" t="s">
        <v>6707</v>
      </c>
      <c r="D662" s="4" t="s">
        <v>25</v>
      </c>
      <c r="E662" s="806" t="s">
        <v>6709</v>
      </c>
      <c r="F662" s="806">
        <v>7065</v>
      </c>
      <c r="G662" s="16" t="s">
        <v>145</v>
      </c>
      <c r="H662" s="817" t="s">
        <v>6706</v>
      </c>
      <c r="I662" s="806" t="s">
        <v>6312</v>
      </c>
      <c r="J662" s="806"/>
      <c r="K662" s="277" t="s">
        <v>209</v>
      </c>
      <c r="L662" s="16">
        <v>9080</v>
      </c>
      <c r="M662" s="8">
        <v>1</v>
      </c>
      <c r="N662" s="816" t="s">
        <v>7135</v>
      </c>
      <c r="O662" s="428"/>
      <c r="P662" s="806"/>
    </row>
    <row r="663" spans="1:16" s="17" customFormat="1" ht="33" customHeight="1">
      <c r="A663" s="793"/>
      <c r="B663" s="399">
        <v>46276</v>
      </c>
      <c r="C663" s="4" t="s">
        <v>6707</v>
      </c>
      <c r="D663" s="4" t="s">
        <v>25</v>
      </c>
      <c r="E663" s="806" t="s">
        <v>6709</v>
      </c>
      <c r="F663" s="806">
        <v>7065</v>
      </c>
      <c r="G663" s="16" t="s">
        <v>145</v>
      </c>
      <c r="H663" s="817" t="s">
        <v>6706</v>
      </c>
      <c r="I663" s="806" t="s">
        <v>6312</v>
      </c>
      <c r="J663" s="806"/>
      <c r="K663" s="277" t="s">
        <v>209</v>
      </c>
      <c r="L663" s="16">
        <v>9080</v>
      </c>
      <c r="M663" s="8">
        <v>1</v>
      </c>
      <c r="N663" s="798" t="s">
        <v>7092</v>
      </c>
      <c r="O663" s="428"/>
      <c r="P663" s="796"/>
    </row>
    <row r="664" spans="1:16" s="17" customFormat="1" ht="33" customHeight="1">
      <c r="A664" s="595"/>
      <c r="B664" s="399">
        <v>46276</v>
      </c>
      <c r="C664" s="4" t="s">
        <v>6948</v>
      </c>
      <c r="D664" s="4" t="s">
        <v>6934</v>
      </c>
      <c r="E664" s="31" t="s">
        <v>6950</v>
      </c>
      <c r="F664" s="31">
        <v>7064</v>
      </c>
      <c r="G664" s="16" t="s">
        <v>6951</v>
      </c>
      <c r="H664" s="193" t="s">
        <v>6952</v>
      </c>
      <c r="I664" s="31" t="s">
        <v>6932</v>
      </c>
      <c r="J664" s="31" t="s">
        <v>6953</v>
      </c>
      <c r="K664" s="125" t="s">
        <v>6939</v>
      </c>
      <c r="L664" s="16" t="s">
        <v>6954</v>
      </c>
      <c r="M664" s="8">
        <v>4</v>
      </c>
      <c r="N664" s="422"/>
      <c r="O664" s="430"/>
      <c r="P664" s="31"/>
    </row>
    <row r="665" spans="1:16" s="17" customFormat="1" ht="33" customHeight="1">
      <c r="A665" s="804"/>
      <c r="B665" s="399">
        <v>46276</v>
      </c>
      <c r="C665" s="4" t="s">
        <v>7120</v>
      </c>
      <c r="D665" s="4" t="s">
        <v>7121</v>
      </c>
      <c r="E665" s="806" t="s">
        <v>7124</v>
      </c>
      <c r="F665" s="806" t="s">
        <v>7123</v>
      </c>
      <c r="G665" s="806" t="s">
        <v>7122</v>
      </c>
      <c r="H665" s="817" t="s">
        <v>7125</v>
      </c>
      <c r="I665" s="806" t="s">
        <v>7105</v>
      </c>
      <c r="J665" s="806"/>
      <c r="K665" s="125"/>
      <c r="L665" s="16" t="s">
        <v>7126</v>
      </c>
      <c r="M665" s="8">
        <v>1</v>
      </c>
      <c r="N665" s="816"/>
      <c r="O665" s="430"/>
      <c r="P665" s="806"/>
    </row>
    <row r="666" spans="1:16" s="17" customFormat="1" ht="33" customHeight="1">
      <c r="A666" s="596"/>
      <c r="B666" s="399">
        <v>46277</v>
      </c>
      <c r="C666" s="4" t="s">
        <v>6948</v>
      </c>
      <c r="D666" s="4" t="s">
        <v>6934</v>
      </c>
      <c r="E666" s="31" t="s">
        <v>6950</v>
      </c>
      <c r="F666" s="31">
        <v>7064</v>
      </c>
      <c r="G666" s="16" t="s">
        <v>6951</v>
      </c>
      <c r="H666" s="193" t="s">
        <v>7003</v>
      </c>
      <c r="I666" s="31" t="s">
        <v>6932</v>
      </c>
      <c r="J666" s="31" t="s">
        <v>6953</v>
      </c>
      <c r="K666" s="125" t="s">
        <v>6939</v>
      </c>
      <c r="L666" s="16" t="s">
        <v>6954</v>
      </c>
      <c r="M666" s="8">
        <v>4</v>
      </c>
      <c r="N666" s="31"/>
      <c r="O666" s="432"/>
      <c r="P666" s="31"/>
    </row>
    <row r="667" spans="1:16" s="17" customFormat="1" ht="33" customHeight="1">
      <c r="A667" s="322" t="s">
        <v>0</v>
      </c>
      <c r="B667" s="323" t="s">
        <v>1</v>
      </c>
      <c r="C667" s="322" t="s">
        <v>2</v>
      </c>
      <c r="D667" s="322" t="s">
        <v>3</v>
      </c>
      <c r="E667" s="322" t="s">
        <v>4</v>
      </c>
      <c r="F667" s="322" t="s">
        <v>5</v>
      </c>
      <c r="G667" s="322" t="s">
        <v>6</v>
      </c>
      <c r="H667" s="324" t="s">
        <v>7</v>
      </c>
      <c r="I667" s="322" t="s">
        <v>8</v>
      </c>
      <c r="J667" s="322" t="s">
        <v>9</v>
      </c>
      <c r="K667" s="325" t="s">
        <v>10</v>
      </c>
      <c r="L667" s="326" t="s">
        <v>11</v>
      </c>
      <c r="M667" s="322" t="s">
        <v>12</v>
      </c>
      <c r="N667" s="327" t="s">
        <v>13</v>
      </c>
      <c r="O667" s="427" t="s">
        <v>63</v>
      </c>
      <c r="P667" s="322" t="s">
        <v>123</v>
      </c>
    </row>
    <row r="668" spans="1:16" s="17" customFormat="1" ht="33" customHeight="1">
      <c r="A668" s="594" t="s">
        <v>6764</v>
      </c>
      <c r="B668" s="399">
        <v>46279</v>
      </c>
      <c r="C668" s="4" t="s">
        <v>7048</v>
      </c>
      <c r="D668" s="4" t="s">
        <v>7049</v>
      </c>
      <c r="E668" s="31" t="s">
        <v>107</v>
      </c>
      <c r="F668" s="31" t="s">
        <v>7050</v>
      </c>
      <c r="G668" s="16" t="s">
        <v>1721</v>
      </c>
      <c r="H668" s="193" t="s">
        <v>7103</v>
      </c>
      <c r="I668" s="31" t="s">
        <v>7105</v>
      </c>
      <c r="J668" s="31" t="s">
        <v>7106</v>
      </c>
      <c r="K668" s="125" t="s">
        <v>7107</v>
      </c>
      <c r="L668" s="16" t="s">
        <v>7131</v>
      </c>
      <c r="M668" s="8">
        <v>2</v>
      </c>
      <c r="N668" s="31" t="s">
        <v>7119</v>
      </c>
      <c r="O668" s="438" t="s">
        <v>7151</v>
      </c>
      <c r="P668" s="31"/>
    </row>
    <row r="669" spans="1:16" s="17" customFormat="1" ht="33" customHeight="1">
      <c r="A669" s="804"/>
      <c r="B669" s="399">
        <v>46279</v>
      </c>
      <c r="C669" s="4" t="s">
        <v>21</v>
      </c>
      <c r="D669" s="4" t="s">
        <v>14</v>
      </c>
      <c r="E669" s="806" t="s">
        <v>1787</v>
      </c>
      <c r="F669" s="806" t="s">
        <v>2978</v>
      </c>
      <c r="G669" s="16" t="s">
        <v>7099</v>
      </c>
      <c r="H669" s="817" t="s">
        <v>7127</v>
      </c>
      <c r="I669" s="806"/>
      <c r="J669" s="806" t="s">
        <v>7128</v>
      </c>
      <c r="K669" s="125" t="s">
        <v>7107</v>
      </c>
      <c r="L669" s="16" t="s">
        <v>7129</v>
      </c>
      <c r="M669" s="8">
        <v>1</v>
      </c>
      <c r="N669" s="806"/>
      <c r="O669" s="438"/>
      <c r="P669" s="806"/>
    </row>
    <row r="670" spans="1:16" s="17" customFormat="1" ht="33" customHeight="1">
      <c r="A670" s="804"/>
      <c r="B670" s="399">
        <v>46279</v>
      </c>
      <c r="C670" s="4" t="s">
        <v>21</v>
      </c>
      <c r="D670" s="4" t="s">
        <v>7144</v>
      </c>
      <c r="E670" s="806" t="s">
        <v>7145</v>
      </c>
      <c r="F670" s="806">
        <v>7060</v>
      </c>
      <c r="G670" s="16" t="s">
        <v>7146</v>
      </c>
      <c r="H670" s="817" t="s">
        <v>7147</v>
      </c>
      <c r="I670" s="806" t="s">
        <v>7148</v>
      </c>
      <c r="J670" s="806" t="s">
        <v>7149</v>
      </c>
      <c r="K670" s="125" t="s">
        <v>7107</v>
      </c>
      <c r="L670" s="16">
        <v>9080</v>
      </c>
      <c r="M670" s="8">
        <v>2</v>
      </c>
      <c r="N670" s="806"/>
      <c r="O670" s="438" t="s">
        <v>7150</v>
      </c>
      <c r="P670" s="806"/>
    </row>
    <row r="671" spans="1:16" s="17" customFormat="1" ht="33" customHeight="1">
      <c r="A671" s="595"/>
      <c r="B671" s="399">
        <v>46280</v>
      </c>
      <c r="C671" s="4" t="s">
        <v>29</v>
      </c>
      <c r="D671" s="4" t="s">
        <v>17</v>
      </c>
      <c r="E671" s="796" t="s">
        <v>78</v>
      </c>
      <c r="F671" s="796" t="s">
        <v>6936</v>
      </c>
      <c r="G671" s="16" t="s">
        <v>1470</v>
      </c>
      <c r="H671" s="799" t="s">
        <v>6941</v>
      </c>
      <c r="I671" s="796" t="s">
        <v>1690</v>
      </c>
      <c r="J671" s="799"/>
      <c r="K671" s="125" t="s">
        <v>15</v>
      </c>
      <c r="L671" s="16" t="s">
        <v>6938</v>
      </c>
      <c r="M671" s="8">
        <v>1</v>
      </c>
      <c r="N671" s="31" t="s">
        <v>7118</v>
      </c>
      <c r="O671" s="438"/>
      <c r="P671" s="31"/>
    </row>
    <row r="672" spans="1:16" s="17" customFormat="1" ht="33" customHeight="1">
      <c r="A672" s="804"/>
      <c r="B672" s="399">
        <v>46280</v>
      </c>
      <c r="C672" s="4" t="s">
        <v>6707</v>
      </c>
      <c r="D672" s="4" t="s">
        <v>25</v>
      </c>
      <c r="E672" s="806" t="s">
        <v>6709</v>
      </c>
      <c r="F672" s="806">
        <v>7065</v>
      </c>
      <c r="G672" s="16" t="s">
        <v>145</v>
      </c>
      <c r="H672" s="817" t="s">
        <v>6706</v>
      </c>
      <c r="I672" s="806" t="s">
        <v>6312</v>
      </c>
      <c r="J672" s="806"/>
      <c r="K672" s="277" t="s">
        <v>209</v>
      </c>
      <c r="L672" s="16">
        <v>9080</v>
      </c>
      <c r="M672" s="8">
        <v>1</v>
      </c>
      <c r="N672" s="806"/>
      <c r="O672" s="438"/>
      <c r="P672" s="806"/>
    </row>
    <row r="673" spans="1:16" s="17" customFormat="1" ht="33" customHeight="1">
      <c r="A673" s="804"/>
      <c r="B673" s="399">
        <v>46280</v>
      </c>
      <c r="C673" s="4" t="s">
        <v>7048</v>
      </c>
      <c r="D673" s="4" t="s">
        <v>14</v>
      </c>
      <c r="E673" s="806" t="s">
        <v>107</v>
      </c>
      <c r="F673" s="806" t="s">
        <v>5269</v>
      </c>
      <c r="G673" s="16" t="s">
        <v>1721</v>
      </c>
      <c r="H673" s="817" t="s">
        <v>7183</v>
      </c>
      <c r="I673" s="806" t="s">
        <v>7132</v>
      </c>
      <c r="J673" s="806" t="s">
        <v>7184</v>
      </c>
      <c r="K673" s="125" t="s">
        <v>7107</v>
      </c>
      <c r="L673" s="16" t="s">
        <v>7134</v>
      </c>
      <c r="M673" s="8">
        <v>2</v>
      </c>
      <c r="N673" s="806" t="s">
        <v>7168</v>
      </c>
      <c r="O673" s="834" t="s">
        <v>7185</v>
      </c>
      <c r="P673" s="806"/>
    </row>
    <row r="674" spans="1:16" s="17" customFormat="1" ht="33" customHeight="1">
      <c r="A674" s="804"/>
      <c r="B674" s="399">
        <v>46280</v>
      </c>
      <c r="C674" s="4" t="s">
        <v>7048</v>
      </c>
      <c r="D674" s="4" t="s">
        <v>14</v>
      </c>
      <c r="E674" s="806" t="s">
        <v>107</v>
      </c>
      <c r="F674" s="806" t="s">
        <v>5269</v>
      </c>
      <c r="G674" s="16" t="s">
        <v>1721</v>
      </c>
      <c r="H674" s="817" t="s">
        <v>7100</v>
      </c>
      <c r="I674" s="806" t="s">
        <v>7105</v>
      </c>
      <c r="J674" s="806" t="s">
        <v>7130</v>
      </c>
      <c r="K674" s="125" t="s">
        <v>7107</v>
      </c>
      <c r="L674" s="16" t="s">
        <v>7131</v>
      </c>
      <c r="M674" s="8">
        <v>2</v>
      </c>
      <c r="N674" s="806"/>
      <c r="O674" s="438" t="s">
        <v>7101</v>
      </c>
      <c r="P674" s="806"/>
    </row>
    <row r="675" spans="1:16" s="17" customFormat="1" ht="33" customHeight="1">
      <c r="A675" s="804"/>
      <c r="B675" s="399">
        <v>46280</v>
      </c>
      <c r="C675" s="4" t="s">
        <v>7048</v>
      </c>
      <c r="D675" s="4" t="s">
        <v>14</v>
      </c>
      <c r="E675" s="806" t="s">
        <v>107</v>
      </c>
      <c r="F675" s="806" t="s">
        <v>7152</v>
      </c>
      <c r="G675" s="16" t="s">
        <v>7153</v>
      </c>
      <c r="H675" s="817" t="s">
        <v>7154</v>
      </c>
      <c r="I675" s="806"/>
      <c r="J675" s="806" t="s">
        <v>7155</v>
      </c>
      <c r="K675" s="125" t="s">
        <v>7156</v>
      </c>
      <c r="L675" s="16" t="s">
        <v>7157</v>
      </c>
      <c r="M675" s="8">
        <v>4</v>
      </c>
      <c r="N675" s="806"/>
      <c r="O675" s="438" t="s">
        <v>7162</v>
      </c>
      <c r="P675" s="806"/>
    </row>
    <row r="676" spans="1:16" s="17" customFormat="1" ht="33" customHeight="1">
      <c r="A676" s="804"/>
      <c r="B676" s="399">
        <v>46280</v>
      </c>
      <c r="C676" s="4" t="s">
        <v>7048</v>
      </c>
      <c r="D676" s="4" t="s">
        <v>14</v>
      </c>
      <c r="E676" s="806" t="s">
        <v>107</v>
      </c>
      <c r="F676" s="806" t="s">
        <v>7165</v>
      </c>
      <c r="G676" s="16" t="s">
        <v>7153</v>
      </c>
      <c r="H676" s="817" t="s">
        <v>7182</v>
      </c>
      <c r="I676" s="806" t="s">
        <v>7166</v>
      </c>
      <c r="J676" s="806" t="s">
        <v>7167</v>
      </c>
      <c r="K676" s="125" t="s">
        <v>15</v>
      </c>
      <c r="L676" s="16" t="s">
        <v>7164</v>
      </c>
      <c r="M676" s="8">
        <v>2</v>
      </c>
      <c r="N676" s="806"/>
      <c r="O676" s="438"/>
      <c r="P676" s="806"/>
    </row>
    <row r="677" spans="1:16" s="17" customFormat="1" ht="33" customHeight="1">
      <c r="A677" s="595"/>
      <c r="B677" s="399">
        <v>46281</v>
      </c>
      <c r="C677" s="4" t="s">
        <v>7136</v>
      </c>
      <c r="D677" s="4" t="s">
        <v>7137</v>
      </c>
      <c r="E677" s="31" t="s">
        <v>7138</v>
      </c>
      <c r="F677" s="31" t="s">
        <v>7139</v>
      </c>
      <c r="G677" s="16" t="s">
        <v>7140</v>
      </c>
      <c r="H677" s="193" t="s">
        <v>7160</v>
      </c>
      <c r="I677" s="31"/>
      <c r="J677" s="193" t="s">
        <v>7158</v>
      </c>
      <c r="K677" s="125" t="s">
        <v>7141</v>
      </c>
      <c r="L677" s="16" t="s">
        <v>7129</v>
      </c>
      <c r="M677" s="8">
        <v>2</v>
      </c>
      <c r="N677" s="422"/>
      <c r="O677" s="438" t="s">
        <v>7163</v>
      </c>
      <c r="P677" s="31"/>
    </row>
    <row r="678" spans="1:16" s="17" customFormat="1" ht="33" customHeight="1">
      <c r="A678" s="804"/>
      <c r="B678" s="399">
        <v>46281</v>
      </c>
      <c r="C678" s="4" t="s">
        <v>6707</v>
      </c>
      <c r="D678" s="4" t="s">
        <v>25</v>
      </c>
      <c r="E678" s="806" t="s">
        <v>6709</v>
      </c>
      <c r="F678" s="806">
        <v>7065</v>
      </c>
      <c r="G678" s="16" t="s">
        <v>145</v>
      </c>
      <c r="H678" s="817" t="s">
        <v>6706</v>
      </c>
      <c r="I678" s="806" t="s">
        <v>6312</v>
      </c>
      <c r="J678" s="806"/>
      <c r="K678" s="277" t="s">
        <v>209</v>
      </c>
      <c r="L678" s="16">
        <v>9080</v>
      </c>
      <c r="M678" s="8">
        <v>1</v>
      </c>
      <c r="N678" s="816"/>
      <c r="O678" s="438"/>
      <c r="P678" s="806"/>
    </row>
    <row r="679" spans="1:16" s="17" customFormat="1" ht="33" customHeight="1">
      <c r="A679" s="804"/>
      <c r="B679" s="399">
        <v>46281</v>
      </c>
      <c r="C679" s="4" t="s">
        <v>7048</v>
      </c>
      <c r="D679" s="4" t="s">
        <v>14</v>
      </c>
      <c r="E679" s="806" t="s">
        <v>107</v>
      </c>
      <c r="F679" s="806" t="s">
        <v>7152</v>
      </c>
      <c r="G679" s="16" t="s">
        <v>7153</v>
      </c>
      <c r="H679" s="817" t="s">
        <v>7154</v>
      </c>
      <c r="I679" s="806"/>
      <c r="J679" s="806" t="s">
        <v>7155</v>
      </c>
      <c r="K679" s="125" t="s">
        <v>7156</v>
      </c>
      <c r="L679" s="16" t="s">
        <v>7157</v>
      </c>
      <c r="M679" s="8">
        <v>4</v>
      </c>
      <c r="N679" s="816"/>
      <c r="O679" s="438" t="s">
        <v>7162</v>
      </c>
      <c r="P679" s="806"/>
    </row>
    <row r="680" spans="1:16" s="17" customFormat="1" ht="33" customHeight="1">
      <c r="A680" s="804"/>
      <c r="B680" s="399">
        <v>46282</v>
      </c>
      <c r="C680" s="4" t="s">
        <v>21</v>
      </c>
      <c r="D680" s="4" t="s">
        <v>14</v>
      </c>
      <c r="E680" s="806" t="s">
        <v>1787</v>
      </c>
      <c r="F680" s="806" t="s">
        <v>2978</v>
      </c>
      <c r="G680" s="16" t="s">
        <v>7099</v>
      </c>
      <c r="H680" s="16" t="s">
        <v>7161</v>
      </c>
      <c r="I680" s="806" t="s">
        <v>7110</v>
      </c>
      <c r="J680" s="806" t="s">
        <v>7106</v>
      </c>
      <c r="K680" s="277" t="s">
        <v>15</v>
      </c>
      <c r="L680" s="16" t="s">
        <v>7131</v>
      </c>
      <c r="M680" s="8">
        <v>2</v>
      </c>
      <c r="N680" s="816"/>
      <c r="O680" s="438"/>
      <c r="P680" s="806"/>
    </row>
    <row r="681" spans="1:16" s="17" customFormat="1" ht="33" customHeight="1">
      <c r="A681" s="595"/>
      <c r="B681" s="399">
        <v>46282</v>
      </c>
      <c r="C681" s="4" t="s">
        <v>7136</v>
      </c>
      <c r="D681" s="4" t="s">
        <v>7137</v>
      </c>
      <c r="E681" s="806" t="s">
        <v>7138</v>
      </c>
      <c r="F681" s="806" t="s">
        <v>7139</v>
      </c>
      <c r="G681" s="16" t="s">
        <v>7140</v>
      </c>
      <c r="H681" s="817" t="s">
        <v>7159</v>
      </c>
      <c r="I681" s="806"/>
      <c r="J681" s="817" t="s">
        <v>7158</v>
      </c>
      <c r="K681" s="125" t="s">
        <v>7141</v>
      </c>
      <c r="L681" s="16" t="s">
        <v>7129</v>
      </c>
      <c r="M681" s="8">
        <v>2</v>
      </c>
      <c r="N681" s="422"/>
      <c r="O681" s="438" t="s">
        <v>7163</v>
      </c>
      <c r="P681" s="31"/>
    </row>
    <row r="682" spans="1:16" s="17" customFormat="1" ht="33" customHeight="1">
      <c r="A682" s="804"/>
      <c r="B682" s="399">
        <v>46282</v>
      </c>
      <c r="C682" s="4" t="s">
        <v>6707</v>
      </c>
      <c r="D682" s="4" t="s">
        <v>25</v>
      </c>
      <c r="E682" s="806" t="s">
        <v>6709</v>
      </c>
      <c r="F682" s="806">
        <v>7065</v>
      </c>
      <c r="G682" s="16" t="s">
        <v>145</v>
      </c>
      <c r="H682" s="817" t="s">
        <v>6706</v>
      </c>
      <c r="I682" s="806" t="s">
        <v>6312</v>
      </c>
      <c r="J682" s="806"/>
      <c r="K682" s="277" t="s">
        <v>209</v>
      </c>
      <c r="L682" s="16">
        <v>9080</v>
      </c>
      <c r="M682" s="8">
        <v>1</v>
      </c>
      <c r="N682" s="816"/>
      <c r="O682" s="438"/>
      <c r="P682" s="806"/>
    </row>
    <row r="683" spans="1:16" s="17" customFormat="1" ht="33" customHeight="1">
      <c r="A683" s="804"/>
      <c r="B683" s="399">
        <v>46282</v>
      </c>
      <c r="C683" s="4" t="s">
        <v>7048</v>
      </c>
      <c r="D683" s="4" t="s">
        <v>14</v>
      </c>
      <c r="E683" s="806" t="s">
        <v>107</v>
      </c>
      <c r="F683" s="806" t="s">
        <v>7152</v>
      </c>
      <c r="G683" s="16" t="s">
        <v>7153</v>
      </c>
      <c r="H683" s="817" t="s">
        <v>7154</v>
      </c>
      <c r="I683" s="806"/>
      <c r="J683" s="806" t="s">
        <v>7155</v>
      </c>
      <c r="K683" s="125" t="s">
        <v>7156</v>
      </c>
      <c r="L683" s="16" t="s">
        <v>7157</v>
      </c>
      <c r="M683" s="8">
        <v>4</v>
      </c>
      <c r="N683" s="816"/>
      <c r="O683" s="438" t="s">
        <v>7162</v>
      </c>
      <c r="P683" s="806"/>
    </row>
    <row r="684" spans="1:16" s="17" customFormat="1" ht="33" customHeight="1">
      <c r="A684" s="804"/>
      <c r="B684" s="399">
        <v>46283</v>
      </c>
      <c r="C684" s="4" t="s">
        <v>7048</v>
      </c>
      <c r="D684" s="4" t="s">
        <v>14</v>
      </c>
      <c r="E684" s="806" t="s">
        <v>107</v>
      </c>
      <c r="F684" s="806" t="s">
        <v>7152</v>
      </c>
      <c r="G684" s="16" t="s">
        <v>7153</v>
      </c>
      <c r="H684" s="817" t="s">
        <v>7154</v>
      </c>
      <c r="I684" s="806"/>
      <c r="J684" s="806" t="s">
        <v>7155</v>
      </c>
      <c r="K684" s="125" t="s">
        <v>7156</v>
      </c>
      <c r="L684" s="16" t="s">
        <v>7157</v>
      </c>
      <c r="M684" s="8">
        <v>4</v>
      </c>
      <c r="N684" s="816" t="s">
        <v>7180</v>
      </c>
      <c r="O684" s="438" t="s">
        <v>7162</v>
      </c>
      <c r="P684" s="806"/>
    </row>
    <row r="685" spans="1:16" s="17" customFormat="1" ht="33" customHeight="1">
      <c r="A685" s="804"/>
      <c r="B685" s="399">
        <v>46283</v>
      </c>
      <c r="C685" s="4" t="s">
        <v>6707</v>
      </c>
      <c r="D685" s="4" t="s">
        <v>25</v>
      </c>
      <c r="E685" s="806" t="s">
        <v>6709</v>
      </c>
      <c r="F685" s="806">
        <v>7065</v>
      </c>
      <c r="G685" s="16" t="s">
        <v>145</v>
      </c>
      <c r="H685" s="817" t="s">
        <v>6706</v>
      </c>
      <c r="I685" s="806" t="s">
        <v>6312</v>
      </c>
      <c r="J685" s="806"/>
      <c r="K685" s="277" t="s">
        <v>209</v>
      </c>
      <c r="L685" s="16">
        <v>9080</v>
      </c>
      <c r="M685" s="8">
        <v>1</v>
      </c>
      <c r="N685" s="816"/>
      <c r="O685" s="438"/>
      <c r="P685" s="806"/>
    </row>
    <row r="686" spans="1:16" s="17" customFormat="1" ht="33" customHeight="1">
      <c r="A686" s="820"/>
      <c r="B686" s="399">
        <v>46283</v>
      </c>
      <c r="C686" s="4" t="s">
        <v>7201</v>
      </c>
      <c r="D686" s="4" t="s">
        <v>7202</v>
      </c>
      <c r="E686" s="828" t="s">
        <v>7203</v>
      </c>
      <c r="F686" s="824">
        <v>3306</v>
      </c>
      <c r="G686" s="16" t="s">
        <v>7204</v>
      </c>
      <c r="H686" s="828" t="s">
        <v>7205</v>
      </c>
      <c r="I686" s="828" t="s">
        <v>7206</v>
      </c>
      <c r="J686" s="828" t="s">
        <v>7207</v>
      </c>
      <c r="K686" s="125" t="s">
        <v>66</v>
      </c>
      <c r="L686" s="16" t="s">
        <v>7208</v>
      </c>
      <c r="M686" s="8">
        <v>4</v>
      </c>
      <c r="N686" s="827"/>
      <c r="O686" s="438"/>
      <c r="P686" s="824"/>
    </row>
    <row r="687" spans="1:16" s="17" customFormat="1" ht="33" customHeight="1">
      <c r="A687" s="821"/>
      <c r="B687" s="399">
        <v>46284</v>
      </c>
      <c r="C687" s="4" t="s">
        <v>7201</v>
      </c>
      <c r="D687" s="4" t="s">
        <v>7202</v>
      </c>
      <c r="E687" s="828" t="s">
        <v>7203</v>
      </c>
      <c r="F687" s="824">
        <v>3306</v>
      </c>
      <c r="G687" s="16" t="s">
        <v>7204</v>
      </c>
      <c r="H687" s="828" t="s">
        <v>7205</v>
      </c>
      <c r="I687" s="828" t="s">
        <v>7206</v>
      </c>
      <c r="J687" s="828" t="s">
        <v>7207</v>
      </c>
      <c r="K687" s="125" t="s">
        <v>66</v>
      </c>
      <c r="L687" s="16" t="s">
        <v>7208</v>
      </c>
      <c r="M687" s="8">
        <v>4</v>
      </c>
      <c r="N687" s="824"/>
      <c r="O687" s="432"/>
      <c r="P687" s="824"/>
    </row>
    <row r="688" spans="1:16" s="17" customFormat="1" ht="33" customHeight="1">
      <c r="A688" s="596"/>
      <c r="B688" s="399">
        <v>46285</v>
      </c>
      <c r="C688" s="4" t="s">
        <v>7201</v>
      </c>
      <c r="D688" s="4" t="s">
        <v>7202</v>
      </c>
      <c r="E688" s="828" t="s">
        <v>7203</v>
      </c>
      <c r="F688" s="824">
        <v>3306</v>
      </c>
      <c r="G688" s="16" t="s">
        <v>7204</v>
      </c>
      <c r="H688" s="828" t="s">
        <v>7205</v>
      </c>
      <c r="I688" s="828" t="s">
        <v>7206</v>
      </c>
      <c r="J688" s="828" t="s">
        <v>7207</v>
      </c>
      <c r="K688" s="125" t="s">
        <v>66</v>
      </c>
      <c r="L688" s="16" t="s">
        <v>7208</v>
      </c>
      <c r="M688" s="8">
        <v>4</v>
      </c>
      <c r="N688" s="31"/>
      <c r="O688" s="432"/>
      <c r="P688" s="31"/>
    </row>
    <row r="689" spans="1:16" s="17" customFormat="1" ht="33" customHeight="1">
      <c r="A689" s="322" t="s">
        <v>0</v>
      </c>
      <c r="B689" s="323" t="s">
        <v>1</v>
      </c>
      <c r="C689" s="322" t="s">
        <v>2</v>
      </c>
      <c r="D689" s="322" t="s">
        <v>3</v>
      </c>
      <c r="E689" s="322" t="s">
        <v>4</v>
      </c>
      <c r="F689" s="322" t="s">
        <v>5</v>
      </c>
      <c r="G689" s="322" t="s">
        <v>6</v>
      </c>
      <c r="H689" s="324" t="s">
        <v>7</v>
      </c>
      <c r="I689" s="322" t="s">
        <v>8</v>
      </c>
      <c r="J689" s="322" t="s">
        <v>9</v>
      </c>
      <c r="K689" s="325" t="s">
        <v>10</v>
      </c>
      <c r="L689" s="326" t="s">
        <v>11</v>
      </c>
      <c r="M689" s="322" t="s">
        <v>12</v>
      </c>
      <c r="N689" s="327" t="s">
        <v>13</v>
      </c>
      <c r="O689" s="427" t="s">
        <v>63</v>
      </c>
      <c r="P689" s="322" t="s">
        <v>123</v>
      </c>
    </row>
    <row r="690" spans="1:16" s="17" customFormat="1" ht="33" customHeight="1">
      <c r="A690" s="594" t="s">
        <v>6765</v>
      </c>
      <c r="B690" s="399">
        <v>46286</v>
      </c>
      <c r="C690" s="4" t="s">
        <v>6962</v>
      </c>
      <c r="D690" s="4" t="s">
        <v>6963</v>
      </c>
      <c r="E690" s="31" t="s">
        <v>5254</v>
      </c>
      <c r="F690" s="31" t="s">
        <v>6965</v>
      </c>
      <c r="G690" s="16" t="s">
        <v>6966</v>
      </c>
      <c r="H690" s="193" t="s">
        <v>7191</v>
      </c>
      <c r="I690" s="824" t="s">
        <v>7210</v>
      </c>
      <c r="J690" s="31"/>
      <c r="K690" s="125" t="s">
        <v>6967</v>
      </c>
      <c r="L690" s="16" t="s">
        <v>7192</v>
      </c>
      <c r="M690" s="18" t="s">
        <v>7196</v>
      </c>
      <c r="N690" s="31"/>
      <c r="O690" s="430"/>
      <c r="P690" s="31"/>
    </row>
    <row r="691" spans="1:16" s="17" customFormat="1" ht="33" customHeight="1">
      <c r="A691" s="820"/>
      <c r="B691" s="399">
        <v>46286</v>
      </c>
      <c r="C691" s="4" t="s">
        <v>3650</v>
      </c>
      <c r="D691" s="4" t="s">
        <v>17</v>
      </c>
      <c r="E691" s="828" t="s">
        <v>7057</v>
      </c>
      <c r="F691" s="824" t="s">
        <v>7058</v>
      </c>
      <c r="G691" s="16" t="s">
        <v>23</v>
      </c>
      <c r="H691" s="828" t="s">
        <v>7060</v>
      </c>
      <c r="I691" s="824"/>
      <c r="J691" s="828" t="s">
        <v>487</v>
      </c>
      <c r="K691" s="125" t="s">
        <v>42</v>
      </c>
      <c r="L691" s="16" t="s">
        <v>7209</v>
      </c>
      <c r="M691" s="8">
        <v>2</v>
      </c>
      <c r="N691" s="824"/>
      <c r="O691" s="437" t="s">
        <v>7215</v>
      </c>
      <c r="P691" s="824"/>
    </row>
    <row r="692" spans="1:16" s="17" customFormat="1" ht="33" customHeight="1">
      <c r="A692" s="820"/>
      <c r="B692" s="399">
        <v>46286</v>
      </c>
      <c r="C692" s="4" t="s">
        <v>6707</v>
      </c>
      <c r="D692" s="4" t="s">
        <v>25</v>
      </c>
      <c r="E692" s="824" t="s">
        <v>6709</v>
      </c>
      <c r="F692" s="824">
        <v>7065</v>
      </c>
      <c r="G692" s="16" t="s">
        <v>145</v>
      </c>
      <c r="H692" s="828" t="s">
        <v>6706</v>
      </c>
      <c r="I692" s="824" t="s">
        <v>7210</v>
      </c>
      <c r="J692" s="828"/>
      <c r="K692" s="277" t="s">
        <v>7198</v>
      </c>
      <c r="L692" s="16">
        <v>9080</v>
      </c>
      <c r="M692" s="8">
        <v>2</v>
      </c>
      <c r="N692" s="824"/>
      <c r="O692" s="430"/>
      <c r="P692" s="824"/>
    </row>
    <row r="693" spans="1:16" s="17" customFormat="1" ht="33" customHeight="1">
      <c r="A693" s="820"/>
      <c r="B693" s="399">
        <v>46286</v>
      </c>
      <c r="C693" s="4" t="s">
        <v>7201</v>
      </c>
      <c r="D693" s="4" t="s">
        <v>7202</v>
      </c>
      <c r="E693" s="828" t="s">
        <v>7203</v>
      </c>
      <c r="F693" s="824">
        <v>3306</v>
      </c>
      <c r="G693" s="16" t="s">
        <v>7204</v>
      </c>
      <c r="H693" s="828" t="s">
        <v>7205</v>
      </c>
      <c r="I693" s="828" t="s">
        <v>7206</v>
      </c>
      <c r="J693" s="828" t="s">
        <v>7207</v>
      </c>
      <c r="K693" s="125" t="s">
        <v>66</v>
      </c>
      <c r="L693" s="16" t="s">
        <v>7208</v>
      </c>
      <c r="M693" s="8">
        <v>4</v>
      </c>
      <c r="N693" s="824"/>
      <c r="O693" s="430"/>
      <c r="P693" s="824"/>
    </row>
    <row r="694" spans="1:16" s="17" customFormat="1" ht="33" customHeight="1">
      <c r="A694" s="793"/>
      <c r="B694" s="399">
        <v>46286</v>
      </c>
      <c r="C694" s="4" t="s">
        <v>64</v>
      </c>
      <c r="D694" s="4" t="s">
        <v>14</v>
      </c>
      <c r="E694" s="824" t="s">
        <v>107</v>
      </c>
      <c r="F694" s="824" t="s">
        <v>2959</v>
      </c>
      <c r="G694" s="16" t="s">
        <v>67</v>
      </c>
      <c r="H694" s="799" t="s">
        <v>7213</v>
      </c>
      <c r="I694" s="796"/>
      <c r="J694" s="828" t="s">
        <v>7212</v>
      </c>
      <c r="K694" s="125" t="s">
        <v>66</v>
      </c>
      <c r="L694" s="16" t="s">
        <v>7193</v>
      </c>
      <c r="M694" s="8">
        <v>3</v>
      </c>
      <c r="N694" s="796"/>
      <c r="O694" s="431" t="s">
        <v>7217</v>
      </c>
      <c r="P694" s="796"/>
    </row>
    <row r="695" spans="1:16" s="17" customFormat="1" ht="33" customHeight="1">
      <c r="A695" s="820"/>
      <c r="B695" s="399">
        <v>46287</v>
      </c>
      <c r="C695" s="4" t="s">
        <v>64</v>
      </c>
      <c r="D695" s="4" t="s">
        <v>14</v>
      </c>
      <c r="E695" s="824" t="s">
        <v>107</v>
      </c>
      <c r="F695" s="824" t="s">
        <v>2959</v>
      </c>
      <c r="G695" s="16" t="s">
        <v>67</v>
      </c>
      <c r="H695" s="828" t="s">
        <v>7214</v>
      </c>
      <c r="I695" s="824"/>
      <c r="J695" s="828" t="s">
        <v>7212</v>
      </c>
      <c r="K695" s="125" t="s">
        <v>66</v>
      </c>
      <c r="L695" s="16" t="s">
        <v>7193</v>
      </c>
      <c r="M695" s="8">
        <v>3</v>
      </c>
      <c r="N695" s="824"/>
      <c r="O695" s="431" t="s">
        <v>7217</v>
      </c>
      <c r="P695" s="824"/>
    </row>
    <row r="696" spans="1:16" s="17" customFormat="1" ht="33" customHeight="1">
      <c r="A696" s="820"/>
      <c r="B696" s="399">
        <v>46287</v>
      </c>
      <c r="C696" s="4" t="s">
        <v>6707</v>
      </c>
      <c r="D696" s="4" t="s">
        <v>25</v>
      </c>
      <c r="E696" s="824" t="s">
        <v>6709</v>
      </c>
      <c r="F696" s="824">
        <v>7065</v>
      </c>
      <c r="G696" s="16" t="s">
        <v>145</v>
      </c>
      <c r="H696" s="828" t="s">
        <v>6706</v>
      </c>
      <c r="I696" s="824" t="s">
        <v>7197</v>
      </c>
      <c r="J696" s="828"/>
      <c r="K696" s="277" t="s">
        <v>7198</v>
      </c>
      <c r="L696" s="16">
        <v>9080</v>
      </c>
      <c r="M696" s="18" t="s">
        <v>7211</v>
      </c>
      <c r="N696" s="824"/>
      <c r="O696" s="431"/>
      <c r="P696" s="824"/>
    </row>
    <row r="697" spans="1:16" s="17" customFormat="1" ht="33" customHeight="1">
      <c r="A697" s="820"/>
      <c r="B697" s="399">
        <v>46287</v>
      </c>
      <c r="C697" s="4" t="s">
        <v>7201</v>
      </c>
      <c r="D697" s="4" t="s">
        <v>7202</v>
      </c>
      <c r="E697" s="828" t="s">
        <v>7203</v>
      </c>
      <c r="F697" s="824">
        <v>3306</v>
      </c>
      <c r="G697" s="16" t="s">
        <v>7204</v>
      </c>
      <c r="H697" s="828" t="s">
        <v>7205</v>
      </c>
      <c r="I697" s="828" t="s">
        <v>7206</v>
      </c>
      <c r="J697" s="828" t="s">
        <v>7207</v>
      </c>
      <c r="K697" s="125" t="s">
        <v>66</v>
      </c>
      <c r="L697" s="16" t="s">
        <v>7208</v>
      </c>
      <c r="M697" s="8">
        <v>4</v>
      </c>
      <c r="N697" s="824"/>
      <c r="O697" s="431"/>
      <c r="P697" s="824"/>
    </row>
    <row r="698" spans="1:16" s="17" customFormat="1" ht="33" customHeight="1">
      <c r="A698" s="804"/>
      <c r="B698" s="399">
        <v>46287</v>
      </c>
      <c r="C698" s="4" t="s">
        <v>21</v>
      </c>
      <c r="D698" s="4" t="s">
        <v>14</v>
      </c>
      <c r="E698" s="806" t="s">
        <v>7175</v>
      </c>
      <c r="F698" s="806" t="s">
        <v>7176</v>
      </c>
      <c r="G698" s="16" t="s">
        <v>7177</v>
      </c>
      <c r="H698" s="817" t="s">
        <v>7181</v>
      </c>
      <c r="I698" s="806" t="s">
        <v>7178</v>
      </c>
      <c r="J698" s="817" t="s">
        <v>7233</v>
      </c>
      <c r="K698" s="125" t="s">
        <v>7179</v>
      </c>
      <c r="L698" s="16">
        <v>9080</v>
      </c>
      <c r="M698" s="8">
        <v>3</v>
      </c>
      <c r="N698" s="806"/>
      <c r="O698" s="431" t="s">
        <v>7234</v>
      </c>
      <c r="P698" s="806"/>
    </row>
    <row r="699" spans="1:16" s="17" customFormat="1" ht="33" customHeight="1">
      <c r="A699" s="820"/>
      <c r="B699" s="399">
        <v>46287</v>
      </c>
      <c r="C699" s="3" t="s">
        <v>21</v>
      </c>
      <c r="D699" s="3" t="s">
        <v>14</v>
      </c>
      <c r="E699" s="454" t="s">
        <v>211</v>
      </c>
      <c r="F699" s="454" t="s">
        <v>2916</v>
      </c>
      <c r="G699" s="459" t="s">
        <v>2917</v>
      </c>
      <c r="H699" s="828" t="s">
        <v>7186</v>
      </c>
      <c r="I699" s="824" t="s">
        <v>7187</v>
      </c>
      <c r="J699" s="828" t="s">
        <v>7188</v>
      </c>
      <c r="K699" s="125" t="s">
        <v>7189</v>
      </c>
      <c r="L699" s="16" t="s">
        <v>7190</v>
      </c>
      <c r="M699" s="8">
        <v>3</v>
      </c>
      <c r="N699" s="824"/>
      <c r="O699" s="431" t="s">
        <v>7216</v>
      </c>
      <c r="P699" s="824"/>
    </row>
    <row r="700" spans="1:16" s="17" customFormat="1" ht="33" customHeight="1">
      <c r="A700" s="595"/>
      <c r="B700" s="399">
        <v>46288</v>
      </c>
      <c r="C700" s="4" t="s">
        <v>6707</v>
      </c>
      <c r="D700" s="4" t="s">
        <v>25</v>
      </c>
      <c r="E700" s="824" t="s">
        <v>6709</v>
      </c>
      <c r="F700" s="824">
        <v>7065</v>
      </c>
      <c r="G700" s="16" t="s">
        <v>145</v>
      </c>
      <c r="H700" s="828" t="s">
        <v>6706</v>
      </c>
      <c r="I700" s="824" t="s">
        <v>7199</v>
      </c>
      <c r="J700" s="828"/>
      <c r="K700" s="277" t="s">
        <v>7198</v>
      </c>
      <c r="L700" s="16">
        <v>9080</v>
      </c>
      <c r="M700" s="8">
        <v>2</v>
      </c>
      <c r="N700" s="422"/>
      <c r="O700" s="430"/>
      <c r="P700" s="31"/>
    </row>
    <row r="701" spans="1:16" s="17" customFormat="1" ht="33" customHeight="1">
      <c r="A701" s="595"/>
      <c r="B701" s="399">
        <v>46289</v>
      </c>
      <c r="C701" s="4"/>
      <c r="D701" s="4"/>
      <c r="E701" s="31"/>
      <c r="F701" s="31"/>
      <c r="G701" s="16"/>
      <c r="H701" s="828" t="s">
        <v>7142</v>
      </c>
      <c r="I701" s="31"/>
      <c r="J701" s="193"/>
      <c r="K701" s="125"/>
      <c r="L701" s="16"/>
      <c r="M701" s="8"/>
      <c r="N701" s="422"/>
      <c r="O701" s="430"/>
      <c r="P701" s="31"/>
    </row>
    <row r="702" spans="1:16" s="17" customFormat="1" ht="33" customHeight="1">
      <c r="A702" s="595"/>
      <c r="B702" s="399">
        <v>46290</v>
      </c>
      <c r="C702" s="4"/>
      <c r="D702" s="4"/>
      <c r="E702" s="31"/>
      <c r="F702" s="31"/>
      <c r="G702" s="16"/>
      <c r="H702" s="193" t="s">
        <v>7142</v>
      </c>
      <c r="I702" s="31"/>
      <c r="J702" s="193"/>
      <c r="K702" s="125"/>
      <c r="L702" s="16"/>
      <c r="M702" s="8"/>
      <c r="N702" s="422"/>
      <c r="O702" s="430"/>
      <c r="P702" s="31"/>
    </row>
    <row r="703" spans="1:16" s="17" customFormat="1" ht="33" customHeight="1">
      <c r="A703" s="596"/>
      <c r="B703" s="399">
        <v>46291</v>
      </c>
      <c r="C703" s="4"/>
      <c r="D703" s="4"/>
      <c r="E703" s="291"/>
      <c r="F703" s="31"/>
      <c r="G703" s="16"/>
      <c r="H703" s="193" t="s">
        <v>7143</v>
      </c>
      <c r="I703" s="31"/>
      <c r="J703" s="31"/>
      <c r="K703" s="125"/>
      <c r="L703" s="16"/>
      <c r="M703" s="8"/>
      <c r="N703" s="31"/>
      <c r="O703" s="432"/>
      <c r="P703" s="31"/>
    </row>
    <row r="704" spans="1:16" s="17" customFormat="1" ht="33" customHeight="1">
      <c r="A704" s="322" t="s">
        <v>0</v>
      </c>
      <c r="B704" s="323" t="s">
        <v>1</v>
      </c>
      <c r="C704" s="322" t="s">
        <v>2</v>
      </c>
      <c r="D704" s="322" t="s">
        <v>3</v>
      </c>
      <c r="E704" s="322" t="s">
        <v>4</v>
      </c>
      <c r="F704" s="322" t="s">
        <v>5</v>
      </c>
      <c r="G704" s="322" t="s">
        <v>6</v>
      </c>
      <c r="H704" s="324" t="s">
        <v>7</v>
      </c>
      <c r="I704" s="322" t="s">
        <v>8</v>
      </c>
      <c r="J704" s="322" t="s">
        <v>9</v>
      </c>
      <c r="K704" s="325" t="s">
        <v>10</v>
      </c>
      <c r="L704" s="326" t="s">
        <v>11</v>
      </c>
      <c r="M704" s="322" t="s">
        <v>12</v>
      </c>
      <c r="N704" s="327" t="s">
        <v>13</v>
      </c>
      <c r="O704" s="427" t="s">
        <v>63</v>
      </c>
      <c r="P704" s="322" t="s">
        <v>123</v>
      </c>
    </row>
    <row r="705" spans="1:16" s="17" customFormat="1" ht="33" customHeight="1">
      <c r="A705" s="594" t="s">
        <v>7263</v>
      </c>
      <c r="B705" s="399">
        <v>46293</v>
      </c>
      <c r="C705" s="4" t="s">
        <v>6707</v>
      </c>
      <c r="D705" s="4" t="s">
        <v>25</v>
      </c>
      <c r="E705" s="824" t="s">
        <v>6709</v>
      </c>
      <c r="F705" s="824">
        <v>7065</v>
      </c>
      <c r="G705" s="16" t="s">
        <v>145</v>
      </c>
      <c r="H705" s="828" t="s">
        <v>6706</v>
      </c>
      <c r="I705" s="824" t="s">
        <v>7197</v>
      </c>
      <c r="J705" s="828"/>
      <c r="K705" s="277" t="s">
        <v>7198</v>
      </c>
      <c r="L705" s="16">
        <v>9080</v>
      </c>
      <c r="M705" s="18" t="s">
        <v>7211</v>
      </c>
      <c r="N705" s="31"/>
      <c r="O705" s="429" t="s">
        <v>7026</v>
      </c>
      <c r="P705" s="31"/>
    </row>
    <row r="706" spans="1:16" s="17" customFormat="1" ht="33" customHeight="1">
      <c r="A706" s="820"/>
      <c r="B706" s="399">
        <v>46293</v>
      </c>
      <c r="C706" s="4" t="s">
        <v>64</v>
      </c>
      <c r="D706" s="4" t="s">
        <v>25</v>
      </c>
      <c r="E706" s="824" t="s">
        <v>7240</v>
      </c>
      <c r="F706" s="824" t="s">
        <v>7241</v>
      </c>
      <c r="G706" s="16" t="s">
        <v>7242</v>
      </c>
      <c r="H706" s="828" t="s">
        <v>7243</v>
      </c>
      <c r="I706" s="824" t="s">
        <v>7244</v>
      </c>
      <c r="J706" s="828"/>
      <c r="K706" s="277" t="s">
        <v>7245</v>
      </c>
      <c r="L706" s="16" t="s">
        <v>7246</v>
      </c>
      <c r="M706" s="18"/>
      <c r="N706" s="824"/>
      <c r="O706" s="430"/>
      <c r="P706" s="824"/>
    </row>
    <row r="707" spans="1:16" s="17" customFormat="1" ht="33" customHeight="1">
      <c r="A707" s="820"/>
      <c r="B707" s="399">
        <v>46294</v>
      </c>
      <c r="C707" s="4" t="s">
        <v>6707</v>
      </c>
      <c r="D707" s="4" t="s">
        <v>25</v>
      </c>
      <c r="E707" s="824" t="s">
        <v>6709</v>
      </c>
      <c r="F707" s="824">
        <v>7065</v>
      </c>
      <c r="G707" s="16" t="s">
        <v>145</v>
      </c>
      <c r="H707" s="828" t="s">
        <v>6706</v>
      </c>
      <c r="I707" s="824" t="s">
        <v>7197</v>
      </c>
      <c r="J707" s="828"/>
      <c r="K707" s="277" t="s">
        <v>7198</v>
      </c>
      <c r="L707" s="16">
        <v>9080</v>
      </c>
      <c r="M707" s="18" t="s">
        <v>7211</v>
      </c>
      <c r="N707" s="824"/>
      <c r="O707" s="431"/>
      <c r="P707" s="824"/>
    </row>
    <row r="708" spans="1:16" s="17" customFormat="1" ht="33" customHeight="1">
      <c r="A708" s="820"/>
      <c r="B708" s="399">
        <v>46294</v>
      </c>
      <c r="C708" s="3" t="s">
        <v>21</v>
      </c>
      <c r="D708" s="3" t="s">
        <v>14</v>
      </c>
      <c r="E708" s="454" t="s">
        <v>211</v>
      </c>
      <c r="F708" s="454" t="s">
        <v>2916</v>
      </c>
      <c r="G708" s="459" t="s">
        <v>2917</v>
      </c>
      <c r="H708" s="828" t="s">
        <v>7273</v>
      </c>
      <c r="I708" s="824" t="s">
        <v>7194</v>
      </c>
      <c r="J708" s="824"/>
      <c r="K708" s="125" t="s">
        <v>7189</v>
      </c>
      <c r="L708" s="16" t="s">
        <v>7195</v>
      </c>
      <c r="M708" s="8">
        <v>2</v>
      </c>
      <c r="N708" s="824"/>
      <c r="O708" s="431"/>
      <c r="P708" s="824"/>
    </row>
    <row r="709" spans="1:16" s="17" customFormat="1" ht="33" customHeight="1">
      <c r="A709" s="820"/>
      <c r="B709" s="399">
        <v>46295</v>
      </c>
      <c r="C709" s="3" t="s">
        <v>21</v>
      </c>
      <c r="D709" s="3" t="s">
        <v>14</v>
      </c>
      <c r="E709" s="454" t="s">
        <v>211</v>
      </c>
      <c r="F709" s="454" t="s">
        <v>2916</v>
      </c>
      <c r="G709" s="459" t="s">
        <v>2917</v>
      </c>
      <c r="H709" s="828" t="s">
        <v>7238</v>
      </c>
      <c r="I709" s="824" t="s">
        <v>7194</v>
      </c>
      <c r="J709" s="824" t="s">
        <v>7237</v>
      </c>
      <c r="K709" s="125" t="s">
        <v>7189</v>
      </c>
      <c r="L709" s="16" t="s">
        <v>7195</v>
      </c>
      <c r="M709" s="8">
        <v>4</v>
      </c>
      <c r="N709" s="824"/>
      <c r="O709" s="431" t="s">
        <v>7239</v>
      </c>
      <c r="P709" s="824"/>
    </row>
    <row r="710" spans="1:16" s="17" customFormat="1" ht="33" customHeight="1">
      <c r="A710" s="820"/>
      <c r="B710" s="399">
        <v>46295</v>
      </c>
      <c r="C710" s="4" t="s">
        <v>6707</v>
      </c>
      <c r="D710" s="4" t="s">
        <v>25</v>
      </c>
      <c r="E710" s="824" t="s">
        <v>6709</v>
      </c>
      <c r="F710" s="824">
        <v>7065</v>
      </c>
      <c r="G710" s="16" t="s">
        <v>145</v>
      </c>
      <c r="H710" s="828" t="s">
        <v>6706</v>
      </c>
      <c r="I710" s="824" t="s">
        <v>7197</v>
      </c>
      <c r="J710" s="828"/>
      <c r="K710" s="277" t="s">
        <v>7198</v>
      </c>
      <c r="L710" s="16">
        <v>9080</v>
      </c>
      <c r="M710" s="18" t="s">
        <v>7211</v>
      </c>
      <c r="N710" s="827"/>
      <c r="O710" s="430"/>
      <c r="P710" s="824"/>
    </row>
    <row r="711" spans="1:16" s="17" customFormat="1" ht="33" customHeight="1">
      <c r="A711" s="595"/>
      <c r="B711" s="399">
        <v>46296</v>
      </c>
      <c r="C711" s="3" t="s">
        <v>21</v>
      </c>
      <c r="D711" s="3" t="s">
        <v>14</v>
      </c>
      <c r="E711" s="454" t="s">
        <v>211</v>
      </c>
      <c r="F711" s="454" t="s">
        <v>2916</v>
      </c>
      <c r="G711" s="459" t="s">
        <v>2917</v>
      </c>
      <c r="H711" s="193" t="s">
        <v>7236</v>
      </c>
      <c r="I711" s="824" t="s">
        <v>7194</v>
      </c>
      <c r="J711" s="824"/>
      <c r="K711" s="125" t="s">
        <v>7189</v>
      </c>
      <c r="L711" s="16" t="s">
        <v>7195</v>
      </c>
      <c r="M711" s="8">
        <v>2</v>
      </c>
      <c r="N711" s="422"/>
      <c r="O711" s="430"/>
      <c r="P711" s="31"/>
    </row>
    <row r="712" spans="1:16" s="17" customFormat="1" ht="33" customHeight="1">
      <c r="A712" s="820"/>
      <c r="B712" s="399">
        <v>46296</v>
      </c>
      <c r="C712" s="4" t="s">
        <v>6707</v>
      </c>
      <c r="D712" s="4" t="s">
        <v>25</v>
      </c>
      <c r="E712" s="824" t="s">
        <v>6709</v>
      </c>
      <c r="F712" s="824">
        <v>7065</v>
      </c>
      <c r="G712" s="16" t="s">
        <v>145</v>
      </c>
      <c r="H712" s="828" t="s">
        <v>6706</v>
      </c>
      <c r="I712" s="824" t="s">
        <v>7197</v>
      </c>
      <c r="J712" s="828"/>
      <c r="K712" s="277" t="s">
        <v>7198</v>
      </c>
      <c r="L712" s="16">
        <v>9080</v>
      </c>
      <c r="M712" s="18" t="s">
        <v>7211</v>
      </c>
      <c r="N712" s="827"/>
      <c r="O712" s="430"/>
      <c r="P712" s="824"/>
    </row>
    <row r="713" spans="1:16" s="17" customFormat="1" ht="33" customHeight="1">
      <c r="A713" s="837"/>
      <c r="B713" s="399">
        <v>46296</v>
      </c>
      <c r="C713" s="4" t="s">
        <v>7247</v>
      </c>
      <c r="D713" s="4" t="s">
        <v>7248</v>
      </c>
      <c r="E713" s="838" t="s">
        <v>7249</v>
      </c>
      <c r="F713" s="838">
        <v>7062</v>
      </c>
      <c r="G713" s="16" t="s">
        <v>7250</v>
      </c>
      <c r="H713" s="840" t="s">
        <v>7262</v>
      </c>
      <c r="I713" s="838" t="s">
        <v>7260</v>
      </c>
      <c r="J713" s="840" t="s">
        <v>7252</v>
      </c>
      <c r="K713" s="277"/>
      <c r="L713" s="16" t="s">
        <v>7255</v>
      </c>
      <c r="M713" s="18">
        <v>3</v>
      </c>
      <c r="N713" s="839"/>
      <c r="O713" s="430"/>
      <c r="P713" s="838"/>
    </row>
    <row r="714" spans="1:16" s="17" customFormat="1" ht="33" customHeight="1">
      <c r="A714" s="837"/>
      <c r="B714" s="399">
        <v>46297</v>
      </c>
      <c r="C714" s="4" t="s">
        <v>7247</v>
      </c>
      <c r="D714" s="4" t="s">
        <v>7248</v>
      </c>
      <c r="E714" s="838" t="s">
        <v>7249</v>
      </c>
      <c r="F714" s="838">
        <v>7062</v>
      </c>
      <c r="G714" s="16" t="s">
        <v>7250</v>
      </c>
      <c r="H714" s="840" t="s">
        <v>7251</v>
      </c>
      <c r="I714" s="838" t="s">
        <v>7261</v>
      </c>
      <c r="J714" s="840" t="s">
        <v>7253</v>
      </c>
      <c r="K714" s="277"/>
      <c r="L714" s="16" t="s">
        <v>7256</v>
      </c>
      <c r="M714" s="18">
        <v>3</v>
      </c>
      <c r="N714" s="839"/>
      <c r="O714" s="430"/>
      <c r="P714" s="838"/>
    </row>
    <row r="715" spans="1:16" s="17" customFormat="1" ht="33" customHeight="1">
      <c r="A715" s="595"/>
      <c r="B715" s="399">
        <v>46297</v>
      </c>
      <c r="C715" s="3" t="s">
        <v>21</v>
      </c>
      <c r="D715" s="3" t="s">
        <v>14</v>
      </c>
      <c r="E715" s="454" t="s">
        <v>211</v>
      </c>
      <c r="F715" s="454" t="s">
        <v>2916</v>
      </c>
      <c r="G715" s="459" t="s">
        <v>2917</v>
      </c>
      <c r="H715" s="828" t="s">
        <v>7236</v>
      </c>
      <c r="I715" s="824" t="s">
        <v>1948</v>
      </c>
      <c r="J715" s="824" t="s">
        <v>7282</v>
      </c>
      <c r="K715" s="125" t="s">
        <v>7189</v>
      </c>
      <c r="L715" s="16" t="s">
        <v>7195</v>
      </c>
      <c r="M715" s="8">
        <v>3</v>
      </c>
      <c r="N715" s="422"/>
      <c r="O715" s="430"/>
      <c r="P715" s="31"/>
    </row>
    <row r="716" spans="1:16" s="17" customFormat="1" ht="33" customHeight="1">
      <c r="A716" s="820"/>
      <c r="B716" s="399">
        <v>46297</v>
      </c>
      <c r="C716" s="4" t="s">
        <v>6707</v>
      </c>
      <c r="D716" s="4" t="s">
        <v>25</v>
      </c>
      <c r="E716" s="824" t="s">
        <v>6709</v>
      </c>
      <c r="F716" s="824">
        <v>7065</v>
      </c>
      <c r="G716" s="16" t="s">
        <v>145</v>
      </c>
      <c r="H716" s="828" t="s">
        <v>6706</v>
      </c>
      <c r="I716" s="824" t="s">
        <v>7197</v>
      </c>
      <c r="J716" s="828"/>
      <c r="K716" s="277" t="s">
        <v>7198</v>
      </c>
      <c r="L716" s="16">
        <v>9080</v>
      </c>
      <c r="M716" s="18" t="s">
        <v>7211</v>
      </c>
      <c r="N716" s="827"/>
      <c r="O716" s="430"/>
      <c r="P716" s="824"/>
    </row>
    <row r="717" spans="1:16" s="17" customFormat="1" ht="33" customHeight="1">
      <c r="A717" s="596"/>
      <c r="B717" s="399">
        <v>46298</v>
      </c>
      <c r="C717" s="4"/>
      <c r="D717" s="4"/>
      <c r="E717" s="291"/>
      <c r="F717" s="31"/>
      <c r="G717" s="16"/>
      <c r="H717" s="193"/>
      <c r="I717" s="31"/>
      <c r="J717" s="31"/>
      <c r="K717" s="125"/>
      <c r="L717" s="16"/>
      <c r="M717" s="8"/>
      <c r="N717" s="31"/>
      <c r="O717" s="432"/>
      <c r="P717" s="31"/>
    </row>
    <row r="718" spans="1:16" s="17" customFormat="1" ht="33" customHeight="1">
      <c r="A718" s="322" t="s">
        <v>0</v>
      </c>
      <c r="B718" s="323" t="s">
        <v>1</v>
      </c>
      <c r="C718" s="322" t="s">
        <v>2</v>
      </c>
      <c r="D718" s="322" t="s">
        <v>3</v>
      </c>
      <c r="E718" s="322" t="s">
        <v>4</v>
      </c>
      <c r="F718" s="322" t="s">
        <v>5</v>
      </c>
      <c r="G718" s="322" t="s">
        <v>6</v>
      </c>
      <c r="H718" s="324" t="s">
        <v>7</v>
      </c>
      <c r="I718" s="322" t="s">
        <v>8</v>
      </c>
      <c r="J718" s="322" t="s">
        <v>9</v>
      </c>
      <c r="K718" s="325" t="s">
        <v>10</v>
      </c>
      <c r="L718" s="326" t="s">
        <v>11</v>
      </c>
      <c r="M718" s="322" t="s">
        <v>12</v>
      </c>
      <c r="N718" s="327" t="s">
        <v>13</v>
      </c>
      <c r="O718" s="427" t="s">
        <v>63</v>
      </c>
      <c r="P718" s="322" t="s">
        <v>123</v>
      </c>
    </row>
    <row r="719" spans="1:16" s="17" customFormat="1" ht="33" customHeight="1">
      <c r="A719" s="594" t="s">
        <v>7264</v>
      </c>
      <c r="B719" s="399">
        <v>46300</v>
      </c>
      <c r="C719" s="4"/>
      <c r="D719" s="4"/>
      <c r="E719" s="824"/>
      <c r="F719" s="824"/>
      <c r="G719" s="16"/>
      <c r="H719" s="828" t="s">
        <v>7257</v>
      </c>
      <c r="I719" s="824"/>
      <c r="J719" s="824"/>
      <c r="K719" s="125"/>
      <c r="L719" s="16"/>
      <c r="M719" s="8"/>
      <c r="N719" s="827"/>
      <c r="O719" s="430"/>
      <c r="P719" s="31"/>
    </row>
    <row r="720" spans="1:16" s="17" customFormat="1" ht="33" customHeight="1">
      <c r="A720" s="846"/>
      <c r="B720" s="399">
        <v>46300</v>
      </c>
      <c r="C720" s="4" t="s">
        <v>21</v>
      </c>
      <c r="D720" s="4" t="s">
        <v>14</v>
      </c>
      <c r="E720" s="848" t="s">
        <v>7305</v>
      </c>
      <c r="F720" s="848" t="s">
        <v>7306</v>
      </c>
      <c r="G720" s="16" t="s">
        <v>7307</v>
      </c>
      <c r="H720" s="853" t="s">
        <v>7316</v>
      </c>
      <c r="I720" s="848"/>
      <c r="J720" s="848" t="s">
        <v>7309</v>
      </c>
      <c r="K720" s="125" t="s">
        <v>7310</v>
      </c>
      <c r="L720" s="16" t="s">
        <v>7311</v>
      </c>
      <c r="M720" s="8">
        <v>2</v>
      </c>
      <c r="N720" s="852"/>
      <c r="O720" s="430"/>
      <c r="P720" s="848"/>
    </row>
    <row r="721" spans="1:16" s="17" customFormat="1" ht="33" customHeight="1">
      <c r="A721" s="846"/>
      <c r="B721" s="399">
        <v>46301</v>
      </c>
      <c r="C721" s="3" t="s">
        <v>21</v>
      </c>
      <c r="D721" s="3" t="s">
        <v>14</v>
      </c>
      <c r="E721" s="454" t="s">
        <v>211</v>
      </c>
      <c r="F721" s="454" t="s">
        <v>2916</v>
      </c>
      <c r="G721" s="459" t="s">
        <v>2917</v>
      </c>
      <c r="H721" s="853" t="s">
        <v>7303</v>
      </c>
      <c r="I721" s="848" t="s">
        <v>7304</v>
      </c>
      <c r="J721" s="848"/>
      <c r="K721" s="125" t="s">
        <v>7283</v>
      </c>
      <c r="L721" s="16" t="s">
        <v>7284</v>
      </c>
      <c r="M721" s="8">
        <v>2</v>
      </c>
      <c r="N721" s="848"/>
      <c r="O721" s="431"/>
      <c r="P721" s="848"/>
    </row>
    <row r="722" spans="1:16" s="17" customFormat="1" ht="33" customHeight="1">
      <c r="A722" s="846"/>
      <c r="B722" s="399">
        <v>46301</v>
      </c>
      <c r="C722" s="4" t="s">
        <v>21</v>
      </c>
      <c r="D722" s="4" t="s">
        <v>14</v>
      </c>
      <c r="E722" s="848" t="s">
        <v>7305</v>
      </c>
      <c r="F722" s="848" t="s">
        <v>7306</v>
      </c>
      <c r="G722" s="16" t="s">
        <v>7307</v>
      </c>
      <c r="H722" s="853" t="s">
        <v>7308</v>
      </c>
      <c r="I722" s="848"/>
      <c r="J722" s="848" t="s">
        <v>7309</v>
      </c>
      <c r="K722" s="125" t="s">
        <v>7310</v>
      </c>
      <c r="L722" s="16" t="s">
        <v>7311</v>
      </c>
      <c r="M722" s="8">
        <v>2</v>
      </c>
      <c r="N722" s="848"/>
      <c r="O722" s="431"/>
      <c r="P722" s="848"/>
    </row>
    <row r="723" spans="1:16" s="17" customFormat="1" ht="33" customHeight="1">
      <c r="A723" s="860"/>
      <c r="B723" s="399">
        <v>46301</v>
      </c>
      <c r="C723" s="4" t="s">
        <v>21</v>
      </c>
      <c r="D723" s="4" t="s">
        <v>7364</v>
      </c>
      <c r="E723" s="865" t="s">
        <v>7365</v>
      </c>
      <c r="F723" s="865" t="s">
        <v>7366</v>
      </c>
      <c r="G723" s="16" t="s">
        <v>115</v>
      </c>
      <c r="H723" s="886" t="s">
        <v>7367</v>
      </c>
      <c r="I723" s="865"/>
      <c r="J723" s="865" t="s">
        <v>7368</v>
      </c>
      <c r="K723" s="125" t="s">
        <v>7369</v>
      </c>
      <c r="L723" s="16">
        <v>9080</v>
      </c>
      <c r="M723" s="8">
        <v>1</v>
      </c>
      <c r="N723" s="865"/>
      <c r="O723" s="431"/>
      <c r="P723" s="865"/>
    </row>
    <row r="724" spans="1:16" s="17" customFormat="1" ht="33" customHeight="1">
      <c r="A724" s="860"/>
      <c r="B724" s="399">
        <v>46301</v>
      </c>
      <c r="C724" s="4" t="s">
        <v>6707</v>
      </c>
      <c r="D724" s="4" t="s">
        <v>25</v>
      </c>
      <c r="E724" s="865" t="s">
        <v>6709</v>
      </c>
      <c r="F724" s="865">
        <v>7065</v>
      </c>
      <c r="G724" s="16" t="s">
        <v>145</v>
      </c>
      <c r="H724" s="869" t="s">
        <v>6706</v>
      </c>
      <c r="I724" s="865" t="s">
        <v>6842</v>
      </c>
      <c r="J724" s="869"/>
      <c r="K724" s="277" t="s">
        <v>209</v>
      </c>
      <c r="L724" s="16">
        <v>9080</v>
      </c>
      <c r="M724" s="18" t="s">
        <v>209</v>
      </c>
      <c r="N724" s="865"/>
      <c r="O724" s="431"/>
      <c r="P724" s="865"/>
    </row>
    <row r="725" spans="1:16" s="17" customFormat="1" ht="33" customHeight="1">
      <c r="A725" s="595"/>
      <c r="B725" s="399">
        <v>46302</v>
      </c>
      <c r="C725" s="4" t="s">
        <v>21</v>
      </c>
      <c r="D725" s="4" t="s">
        <v>7364</v>
      </c>
      <c r="E725" s="865" t="s">
        <v>7365</v>
      </c>
      <c r="F725" s="865" t="s">
        <v>7366</v>
      </c>
      <c r="G725" s="16" t="s">
        <v>115</v>
      </c>
      <c r="H725" s="886" t="s">
        <v>7367</v>
      </c>
      <c r="I725" s="865"/>
      <c r="J725" s="865" t="s">
        <v>7368</v>
      </c>
      <c r="K725" s="125" t="s">
        <v>7369</v>
      </c>
      <c r="L725" s="16">
        <v>9080</v>
      </c>
      <c r="M725" s="8">
        <v>1</v>
      </c>
      <c r="N725" s="422"/>
      <c r="O725" s="430" t="s">
        <v>7370</v>
      </c>
      <c r="P725" s="31"/>
    </row>
    <row r="726" spans="1:16" s="17" customFormat="1" ht="33" customHeight="1">
      <c r="A726" s="846"/>
      <c r="B726" s="399">
        <v>46302</v>
      </c>
      <c r="C726" s="4" t="s">
        <v>21</v>
      </c>
      <c r="D726" s="4" t="s">
        <v>14</v>
      </c>
      <c r="E726" s="848" t="s">
        <v>7305</v>
      </c>
      <c r="F726" s="848" t="s">
        <v>7313</v>
      </c>
      <c r="G726" s="16" t="s">
        <v>7307</v>
      </c>
      <c r="H726" s="853" t="s">
        <v>7312</v>
      </c>
      <c r="I726" s="848"/>
      <c r="J726" s="848" t="s">
        <v>7309</v>
      </c>
      <c r="K726" s="125" t="s">
        <v>7310</v>
      </c>
      <c r="L726" s="16" t="s">
        <v>7311</v>
      </c>
      <c r="M726" s="8">
        <v>2</v>
      </c>
      <c r="N726" s="852"/>
      <c r="O726" s="430"/>
      <c r="P726" s="848"/>
    </row>
    <row r="727" spans="1:16" s="17" customFormat="1" ht="33" customHeight="1">
      <c r="A727" s="860"/>
      <c r="B727" s="399">
        <v>46302</v>
      </c>
      <c r="C727" s="4" t="s">
        <v>6707</v>
      </c>
      <c r="D727" s="4" t="s">
        <v>25</v>
      </c>
      <c r="E727" s="865" t="s">
        <v>6709</v>
      </c>
      <c r="F727" s="865">
        <v>7065</v>
      </c>
      <c r="G727" s="16" t="s">
        <v>145</v>
      </c>
      <c r="H727" s="869" t="s">
        <v>6706</v>
      </c>
      <c r="I727" s="865" t="s">
        <v>6842</v>
      </c>
      <c r="J727" s="869"/>
      <c r="K727" s="277" t="s">
        <v>209</v>
      </c>
      <c r="L727" s="16">
        <v>9080</v>
      </c>
      <c r="M727" s="18" t="s">
        <v>209</v>
      </c>
      <c r="N727" s="868"/>
      <c r="O727" s="430"/>
      <c r="P727" s="865"/>
    </row>
    <row r="728" spans="1:16" s="17" customFormat="1" ht="33" customHeight="1">
      <c r="A728" s="860"/>
      <c r="B728" s="399">
        <v>46303</v>
      </c>
      <c r="C728" s="4" t="s">
        <v>7357</v>
      </c>
      <c r="D728" s="4" t="s">
        <v>17</v>
      </c>
      <c r="E728" s="865" t="s">
        <v>7358</v>
      </c>
      <c r="F728" s="865" t="s">
        <v>7359</v>
      </c>
      <c r="G728" s="16" t="s">
        <v>6966</v>
      </c>
      <c r="H728" s="869" t="s">
        <v>7360</v>
      </c>
      <c r="I728" s="865" t="s">
        <v>7361</v>
      </c>
      <c r="J728" s="865" t="s">
        <v>7362</v>
      </c>
      <c r="K728" s="125" t="s">
        <v>7363</v>
      </c>
      <c r="L728" s="16" t="s">
        <v>7355</v>
      </c>
      <c r="M728" s="8">
        <v>2</v>
      </c>
      <c r="N728" s="868"/>
      <c r="O728" s="430"/>
      <c r="P728" s="865"/>
    </row>
    <row r="729" spans="1:16" s="17" customFormat="1" ht="33" customHeight="1">
      <c r="A729" s="595"/>
      <c r="B729" s="399">
        <v>46303</v>
      </c>
      <c r="C729" s="4" t="s">
        <v>21</v>
      </c>
      <c r="D729" s="4" t="s">
        <v>7274</v>
      </c>
      <c r="E729" s="840" t="s">
        <v>7279</v>
      </c>
      <c r="F729" s="31" t="s">
        <v>7275</v>
      </c>
      <c r="G729" s="16" t="s">
        <v>7276</v>
      </c>
      <c r="H729" s="193" t="s">
        <v>7285</v>
      </c>
      <c r="I729" s="31"/>
      <c r="J729" s="838" t="s">
        <v>686</v>
      </c>
      <c r="K729" s="125" t="s">
        <v>7277</v>
      </c>
      <c r="L729" s="16" t="s">
        <v>7278</v>
      </c>
      <c r="M729" s="8">
        <v>1</v>
      </c>
      <c r="N729" s="422" t="s">
        <v>7356</v>
      </c>
      <c r="O729" s="430" t="s">
        <v>4602</v>
      </c>
      <c r="P729" s="31"/>
    </row>
    <row r="730" spans="1:16" s="17" customFormat="1" ht="33" customHeight="1">
      <c r="A730" s="846"/>
      <c r="B730" s="399">
        <v>46303</v>
      </c>
      <c r="C730" s="4" t="s">
        <v>21</v>
      </c>
      <c r="D730" s="4" t="s">
        <v>14</v>
      </c>
      <c r="E730" s="848" t="s">
        <v>7305</v>
      </c>
      <c r="F730" s="848" t="s">
        <v>7313</v>
      </c>
      <c r="G730" s="16" t="s">
        <v>7307</v>
      </c>
      <c r="H730" s="853" t="s">
        <v>7312</v>
      </c>
      <c r="I730" s="848"/>
      <c r="J730" s="848" t="s">
        <v>7309</v>
      </c>
      <c r="K730" s="125" t="s">
        <v>7310</v>
      </c>
      <c r="L730" s="16" t="s">
        <v>7311</v>
      </c>
      <c r="M730" s="8">
        <v>2</v>
      </c>
      <c r="N730" s="852"/>
      <c r="O730" s="430"/>
      <c r="P730" s="848"/>
    </row>
    <row r="731" spans="1:16" s="17" customFormat="1" ht="33" customHeight="1">
      <c r="A731" s="860"/>
      <c r="B731" s="399">
        <v>46303</v>
      </c>
      <c r="C731" s="4" t="s">
        <v>6707</v>
      </c>
      <c r="D731" s="4" t="s">
        <v>25</v>
      </c>
      <c r="E731" s="865" t="s">
        <v>6709</v>
      </c>
      <c r="F731" s="865">
        <v>7065</v>
      </c>
      <c r="G731" s="16" t="s">
        <v>145</v>
      </c>
      <c r="H731" s="869" t="s">
        <v>6706</v>
      </c>
      <c r="I731" s="865" t="s">
        <v>7424</v>
      </c>
      <c r="J731" s="869"/>
      <c r="K731" s="277" t="s">
        <v>209</v>
      </c>
      <c r="L731" s="16">
        <v>9080</v>
      </c>
      <c r="M731" s="18" t="s">
        <v>209</v>
      </c>
      <c r="N731" s="868"/>
      <c r="O731" s="430"/>
      <c r="P731" s="865"/>
    </row>
    <row r="732" spans="1:16" s="17" customFormat="1" ht="33" customHeight="1">
      <c r="A732" s="846"/>
      <c r="B732" s="399">
        <v>46304</v>
      </c>
      <c r="C732" s="4" t="s">
        <v>21</v>
      </c>
      <c r="D732" s="4" t="s">
        <v>14</v>
      </c>
      <c r="E732" s="848" t="s">
        <v>7305</v>
      </c>
      <c r="F732" s="848" t="s">
        <v>7313</v>
      </c>
      <c r="G732" s="16" t="s">
        <v>7307</v>
      </c>
      <c r="H732" s="853" t="s">
        <v>7312</v>
      </c>
      <c r="I732" s="848"/>
      <c r="J732" s="848" t="s">
        <v>7309</v>
      </c>
      <c r="K732" s="125" t="s">
        <v>7310</v>
      </c>
      <c r="L732" s="16" t="s">
        <v>7311</v>
      </c>
      <c r="M732" s="8">
        <v>2</v>
      </c>
      <c r="N732" s="852"/>
      <c r="O732" s="430"/>
      <c r="P732" s="848"/>
    </row>
    <row r="733" spans="1:16" s="17" customFormat="1" ht="33" customHeight="1">
      <c r="A733" s="860"/>
      <c r="B733" s="399">
        <v>46304</v>
      </c>
      <c r="C733" s="4" t="s">
        <v>138</v>
      </c>
      <c r="D733" s="4" t="s">
        <v>14</v>
      </c>
      <c r="E733" s="865" t="s">
        <v>1787</v>
      </c>
      <c r="F733" s="865" t="s">
        <v>2978</v>
      </c>
      <c r="G733" s="16" t="s">
        <v>23</v>
      </c>
      <c r="H733" s="869" t="s">
        <v>7340</v>
      </c>
      <c r="I733" s="865"/>
      <c r="J733" s="865" t="s">
        <v>641</v>
      </c>
      <c r="K733" s="125" t="s">
        <v>84</v>
      </c>
      <c r="L733" s="16" t="s">
        <v>6287</v>
      </c>
      <c r="M733" s="8">
        <v>2</v>
      </c>
      <c r="N733" s="868"/>
      <c r="O733" s="430"/>
      <c r="P733" s="865"/>
    </row>
    <row r="734" spans="1:16" s="17" customFormat="1" ht="33" customHeight="1">
      <c r="A734" s="595"/>
      <c r="B734" s="399">
        <v>46304</v>
      </c>
      <c r="C734" s="4"/>
      <c r="D734" s="4"/>
      <c r="E734" s="806"/>
      <c r="F734" s="806"/>
      <c r="G734" s="16"/>
      <c r="H734" s="817" t="s">
        <v>7258</v>
      </c>
      <c r="I734" s="31"/>
      <c r="J734" s="193"/>
      <c r="K734" s="125"/>
      <c r="L734" s="16"/>
      <c r="M734" s="8"/>
      <c r="N734" s="422"/>
      <c r="O734" s="430"/>
      <c r="P734" s="31"/>
    </row>
    <row r="735" spans="1:16" s="17" customFormat="1" ht="33" customHeight="1">
      <c r="A735" s="846"/>
      <c r="B735" s="873">
        <v>46305</v>
      </c>
      <c r="C735" s="4" t="s">
        <v>21</v>
      </c>
      <c r="D735" s="4" t="s">
        <v>14</v>
      </c>
      <c r="E735" s="848" t="s">
        <v>7305</v>
      </c>
      <c r="F735" s="848" t="s">
        <v>7306</v>
      </c>
      <c r="G735" s="16" t="s">
        <v>7307</v>
      </c>
      <c r="H735" s="853" t="s">
        <v>7314</v>
      </c>
      <c r="I735" s="848"/>
      <c r="J735" s="848" t="s">
        <v>7309</v>
      </c>
      <c r="K735" s="125" t="s">
        <v>7310</v>
      </c>
      <c r="L735" s="16" t="s">
        <v>7311</v>
      </c>
      <c r="M735" s="8">
        <v>2</v>
      </c>
      <c r="N735" s="852"/>
      <c r="O735" s="430"/>
      <c r="P735" s="848"/>
    </row>
    <row r="736" spans="1:16" s="17" customFormat="1" ht="33" customHeight="1">
      <c r="A736" s="860"/>
      <c r="B736" s="873">
        <v>46305</v>
      </c>
      <c r="C736" s="4" t="s">
        <v>6707</v>
      </c>
      <c r="D736" s="4" t="s">
        <v>25</v>
      </c>
      <c r="E736" s="865" t="s">
        <v>6709</v>
      </c>
      <c r="F736" s="865">
        <v>7065</v>
      </c>
      <c r="G736" s="16" t="s">
        <v>145</v>
      </c>
      <c r="H736" s="869" t="s">
        <v>6706</v>
      </c>
      <c r="I736" s="865" t="s">
        <v>7424</v>
      </c>
      <c r="J736" s="869"/>
      <c r="K736" s="277" t="s">
        <v>209</v>
      </c>
      <c r="L736" s="16">
        <v>9080</v>
      </c>
      <c r="M736" s="18" t="s">
        <v>209</v>
      </c>
      <c r="N736" s="887"/>
      <c r="O736" s="430"/>
      <c r="P736" s="865"/>
    </row>
    <row r="737" spans="1:16" s="17" customFormat="1" ht="33" customHeight="1">
      <c r="A737" s="847"/>
      <c r="B737" s="873">
        <v>46306</v>
      </c>
      <c r="C737" s="4" t="s">
        <v>21</v>
      </c>
      <c r="D737" s="4" t="s">
        <v>14</v>
      </c>
      <c r="E737" s="848" t="s">
        <v>7305</v>
      </c>
      <c r="F737" s="848" t="s">
        <v>7306</v>
      </c>
      <c r="G737" s="16" t="s">
        <v>7307</v>
      </c>
      <c r="H737" s="853" t="s">
        <v>7314</v>
      </c>
      <c r="I737" s="848"/>
      <c r="J737" s="848" t="s">
        <v>7309</v>
      </c>
      <c r="K737" s="125" t="s">
        <v>7310</v>
      </c>
      <c r="L737" s="16" t="s">
        <v>7311</v>
      </c>
      <c r="M737" s="8">
        <v>2</v>
      </c>
      <c r="N737" s="755"/>
      <c r="O737" s="430"/>
      <c r="P737" s="848"/>
    </row>
    <row r="738" spans="1:16" s="17" customFormat="1" ht="33" customHeight="1">
      <c r="A738" s="322" t="s">
        <v>0</v>
      </c>
      <c r="B738" s="323" t="s">
        <v>1</v>
      </c>
      <c r="C738" s="322" t="s">
        <v>2</v>
      </c>
      <c r="D738" s="322" t="s">
        <v>3</v>
      </c>
      <c r="E738" s="322" t="s">
        <v>4</v>
      </c>
      <c r="F738" s="322" t="s">
        <v>5</v>
      </c>
      <c r="G738" s="322" t="s">
        <v>6</v>
      </c>
      <c r="H738" s="324" t="s">
        <v>7</v>
      </c>
      <c r="I738" s="322" t="s">
        <v>8</v>
      </c>
      <c r="J738" s="322" t="s">
        <v>9</v>
      </c>
      <c r="K738" s="325" t="s">
        <v>10</v>
      </c>
      <c r="L738" s="326" t="s">
        <v>11</v>
      </c>
      <c r="M738" s="322" t="s">
        <v>12</v>
      </c>
      <c r="N738" s="327" t="s">
        <v>13</v>
      </c>
      <c r="O738" s="427" t="s">
        <v>63</v>
      </c>
      <c r="P738" s="322" t="s">
        <v>123</v>
      </c>
    </row>
    <row r="739" spans="1:16" s="17" customFormat="1" ht="33" customHeight="1">
      <c r="A739" s="594" t="s">
        <v>7265</v>
      </c>
      <c r="B739" s="399">
        <v>46307</v>
      </c>
      <c r="C739" s="4" t="s">
        <v>7290</v>
      </c>
      <c r="D739" s="4" t="s">
        <v>7291</v>
      </c>
      <c r="E739" s="31" t="s">
        <v>7292</v>
      </c>
      <c r="F739" s="31" t="s">
        <v>7293</v>
      </c>
      <c r="G739" s="16" t="s">
        <v>7294</v>
      </c>
      <c r="H739" s="193" t="s">
        <v>7344</v>
      </c>
      <c r="I739" s="31"/>
      <c r="J739" s="853" t="s">
        <v>7298</v>
      </c>
      <c r="K739" s="125" t="s">
        <v>7295</v>
      </c>
      <c r="L739" s="16" t="s">
        <v>7296</v>
      </c>
      <c r="M739" s="8">
        <v>2</v>
      </c>
      <c r="N739" s="31"/>
      <c r="O739" s="430" t="s">
        <v>6766</v>
      </c>
      <c r="P739" s="31"/>
    </row>
    <row r="740" spans="1:16" s="17" customFormat="1" ht="54">
      <c r="A740" s="846"/>
      <c r="B740" s="399">
        <v>46307</v>
      </c>
      <c r="C740" s="4" t="s">
        <v>7290</v>
      </c>
      <c r="D740" s="4" t="s">
        <v>7291</v>
      </c>
      <c r="E740" s="848" t="s">
        <v>7292</v>
      </c>
      <c r="F740" s="848" t="s">
        <v>7293</v>
      </c>
      <c r="G740" s="16" t="s">
        <v>7341</v>
      </c>
      <c r="H740" s="853" t="s">
        <v>7343</v>
      </c>
      <c r="I740" s="848"/>
      <c r="J740" s="853" t="s">
        <v>7342</v>
      </c>
      <c r="K740" s="125" t="s">
        <v>15</v>
      </c>
      <c r="L740" s="16" t="s">
        <v>7318</v>
      </c>
      <c r="M740" s="8">
        <v>1</v>
      </c>
      <c r="N740" s="848"/>
      <c r="O740" s="429"/>
      <c r="P740" s="848"/>
    </row>
    <row r="741" spans="1:16" s="17" customFormat="1" ht="33" customHeight="1">
      <c r="A741" s="846"/>
      <c r="B741" s="399">
        <v>46307</v>
      </c>
      <c r="C741" s="4" t="s">
        <v>21</v>
      </c>
      <c r="D741" s="4" t="s">
        <v>14</v>
      </c>
      <c r="E741" s="848" t="s">
        <v>7305</v>
      </c>
      <c r="F741" s="848" t="s">
        <v>7306</v>
      </c>
      <c r="G741" s="16" t="s">
        <v>7307</v>
      </c>
      <c r="H741" s="853" t="s">
        <v>7314</v>
      </c>
      <c r="I741" s="848"/>
      <c r="J741" s="848" t="s">
        <v>7309</v>
      </c>
      <c r="K741" s="125" t="s">
        <v>7310</v>
      </c>
      <c r="L741" s="16" t="s">
        <v>7311</v>
      </c>
      <c r="M741" s="8">
        <v>2</v>
      </c>
      <c r="N741" s="848"/>
      <c r="O741" s="429"/>
      <c r="P741" s="848"/>
    </row>
    <row r="742" spans="1:16" s="17" customFormat="1" ht="33" customHeight="1">
      <c r="A742" s="860"/>
      <c r="B742" s="399">
        <v>46307</v>
      </c>
      <c r="C742" s="3" t="s">
        <v>21</v>
      </c>
      <c r="D742" s="3" t="s">
        <v>14</v>
      </c>
      <c r="E742" s="454" t="s">
        <v>211</v>
      </c>
      <c r="F742" s="454" t="s">
        <v>2916</v>
      </c>
      <c r="G742" s="459" t="s">
        <v>2917</v>
      </c>
      <c r="H742" s="869" t="s">
        <v>7353</v>
      </c>
      <c r="I742" s="865" t="s">
        <v>7397</v>
      </c>
      <c r="J742" s="865" t="s">
        <v>7354</v>
      </c>
      <c r="K742" s="125" t="s">
        <v>84</v>
      </c>
      <c r="L742" s="16" t="s">
        <v>7355</v>
      </c>
      <c r="M742" s="8">
        <v>3</v>
      </c>
      <c r="N742" s="865"/>
      <c r="O742" s="429"/>
      <c r="P742" s="865"/>
    </row>
    <row r="743" spans="1:16" s="17" customFormat="1" ht="33" customHeight="1">
      <c r="A743" s="860"/>
      <c r="B743" s="399">
        <v>46307</v>
      </c>
      <c r="C743" s="3" t="s">
        <v>7414</v>
      </c>
      <c r="D743" s="3" t="s">
        <v>17</v>
      </c>
      <c r="E743" s="454" t="s">
        <v>7415</v>
      </c>
      <c r="F743" s="454" t="s">
        <v>5243</v>
      </c>
      <c r="G743" s="459" t="s">
        <v>7416</v>
      </c>
      <c r="H743" s="869" t="s">
        <v>7417</v>
      </c>
      <c r="I743" s="865" t="s">
        <v>7418</v>
      </c>
      <c r="J743" s="865" t="s">
        <v>7419</v>
      </c>
      <c r="K743" s="125" t="s">
        <v>7420</v>
      </c>
      <c r="L743" s="16" t="s">
        <v>7410</v>
      </c>
      <c r="M743" s="8">
        <v>6</v>
      </c>
      <c r="N743" s="865"/>
      <c r="O743" s="429"/>
      <c r="P743" s="865"/>
    </row>
    <row r="744" spans="1:16" s="17" customFormat="1" ht="33" customHeight="1">
      <c r="A744" s="860"/>
      <c r="B744" s="399">
        <v>46307</v>
      </c>
      <c r="C744" s="4" t="s">
        <v>6707</v>
      </c>
      <c r="D744" s="4" t="s">
        <v>25</v>
      </c>
      <c r="E744" s="865" t="s">
        <v>6709</v>
      </c>
      <c r="F744" s="865">
        <v>7065</v>
      </c>
      <c r="G744" s="16" t="s">
        <v>145</v>
      </c>
      <c r="H744" s="869" t="s">
        <v>6706</v>
      </c>
      <c r="I744" s="865" t="s">
        <v>7421</v>
      </c>
      <c r="J744" s="869"/>
      <c r="K744" s="277" t="s">
        <v>209</v>
      </c>
      <c r="L744" s="16">
        <v>9080</v>
      </c>
      <c r="M744" s="18" t="s">
        <v>209</v>
      </c>
      <c r="N744" s="865"/>
      <c r="O744" s="429"/>
      <c r="P744" s="865"/>
    </row>
    <row r="745" spans="1:16" s="17" customFormat="1" ht="33" customHeight="1">
      <c r="A745" s="595"/>
      <c r="B745" s="399">
        <v>46308</v>
      </c>
      <c r="C745" s="3" t="s">
        <v>7414</v>
      </c>
      <c r="D745" s="3" t="s">
        <v>17</v>
      </c>
      <c r="E745" s="454" t="s">
        <v>7415</v>
      </c>
      <c r="F745" s="454" t="s">
        <v>5243</v>
      </c>
      <c r="G745" s="459" t="s">
        <v>7416</v>
      </c>
      <c r="H745" s="869" t="s">
        <v>7417</v>
      </c>
      <c r="I745" s="865" t="s">
        <v>7418</v>
      </c>
      <c r="J745" s="865" t="s">
        <v>7419</v>
      </c>
      <c r="K745" s="125" t="s">
        <v>7420</v>
      </c>
      <c r="L745" s="16" t="s">
        <v>7422</v>
      </c>
      <c r="M745" s="8">
        <v>6</v>
      </c>
      <c r="N745" s="31"/>
      <c r="O745" s="429"/>
      <c r="P745" s="31"/>
    </row>
    <row r="746" spans="1:16" s="17" customFormat="1" ht="33" customHeight="1">
      <c r="A746" s="846"/>
      <c r="B746" s="399">
        <v>46308</v>
      </c>
      <c r="C746" s="4" t="s">
        <v>21</v>
      </c>
      <c r="D746" s="4" t="s">
        <v>14</v>
      </c>
      <c r="E746" s="848" t="s">
        <v>7305</v>
      </c>
      <c r="F746" s="848" t="s">
        <v>7306</v>
      </c>
      <c r="G746" s="16" t="s">
        <v>7307</v>
      </c>
      <c r="H746" s="853" t="s">
        <v>7314</v>
      </c>
      <c r="I746" s="848"/>
      <c r="J746" s="848" t="s">
        <v>7309</v>
      </c>
      <c r="K746" s="125" t="s">
        <v>7310</v>
      </c>
      <c r="L746" s="16" t="s">
        <v>7311</v>
      </c>
      <c r="M746" s="8">
        <v>2</v>
      </c>
      <c r="N746" s="848"/>
      <c r="O746" s="429"/>
      <c r="P746" s="848"/>
    </row>
    <row r="747" spans="1:16" s="17" customFormat="1" ht="33" customHeight="1">
      <c r="A747" s="860"/>
      <c r="B747" s="399">
        <v>46308</v>
      </c>
      <c r="C747" s="4" t="s">
        <v>6707</v>
      </c>
      <c r="D747" s="4" t="s">
        <v>25</v>
      </c>
      <c r="E747" s="865" t="s">
        <v>6709</v>
      </c>
      <c r="F747" s="865">
        <v>7065</v>
      </c>
      <c r="G747" s="16" t="s">
        <v>145</v>
      </c>
      <c r="H747" s="869" t="s">
        <v>6706</v>
      </c>
      <c r="I747" s="865" t="s">
        <v>7421</v>
      </c>
      <c r="J747" s="869"/>
      <c r="K747" s="277" t="s">
        <v>209</v>
      </c>
      <c r="L747" s="16">
        <v>9080</v>
      </c>
      <c r="M747" s="18" t="s">
        <v>209</v>
      </c>
      <c r="N747" s="865"/>
      <c r="O747" s="429"/>
      <c r="P747" s="865"/>
    </row>
    <row r="748" spans="1:16" s="17" customFormat="1" ht="33" customHeight="1">
      <c r="A748" s="595"/>
      <c r="B748" s="399">
        <v>46309</v>
      </c>
      <c r="C748" s="4" t="s">
        <v>21</v>
      </c>
      <c r="D748" s="4" t="s">
        <v>17</v>
      </c>
      <c r="E748" s="869" t="s">
        <v>7279</v>
      </c>
      <c r="F748" s="454" t="s">
        <v>270</v>
      </c>
      <c r="G748" s="16" t="s">
        <v>6284</v>
      </c>
      <c r="H748" s="869" t="s">
        <v>7285</v>
      </c>
      <c r="I748" s="865"/>
      <c r="J748" s="865" t="s">
        <v>7396</v>
      </c>
      <c r="K748" s="125" t="s">
        <v>7387</v>
      </c>
      <c r="L748" s="16" t="s">
        <v>7388</v>
      </c>
      <c r="M748" s="8">
        <v>2</v>
      </c>
      <c r="N748" s="422"/>
      <c r="O748" s="430"/>
      <c r="P748" s="31"/>
    </row>
    <row r="749" spans="1:16" s="17" customFormat="1" ht="33" customHeight="1">
      <c r="A749" s="846"/>
      <c r="B749" s="399">
        <v>46309</v>
      </c>
      <c r="C749" s="4" t="s">
        <v>21</v>
      </c>
      <c r="D749" s="4" t="s">
        <v>14</v>
      </c>
      <c r="E749" s="848" t="s">
        <v>7305</v>
      </c>
      <c r="F749" s="848" t="s">
        <v>7306</v>
      </c>
      <c r="G749" s="16" t="s">
        <v>7307</v>
      </c>
      <c r="H749" s="853" t="s">
        <v>7315</v>
      </c>
      <c r="I749" s="848"/>
      <c r="J749" s="848" t="s">
        <v>7309</v>
      </c>
      <c r="K749" s="125" t="s">
        <v>7310</v>
      </c>
      <c r="L749" s="16" t="s">
        <v>7311</v>
      </c>
      <c r="M749" s="8">
        <v>2</v>
      </c>
      <c r="N749" s="852"/>
      <c r="O749" s="430"/>
      <c r="P749" s="848"/>
    </row>
    <row r="750" spans="1:16" s="17" customFormat="1" ht="33" customHeight="1">
      <c r="A750" s="860"/>
      <c r="B750" s="399">
        <v>46309</v>
      </c>
      <c r="C750" s="3" t="s">
        <v>7414</v>
      </c>
      <c r="D750" s="3" t="s">
        <v>17</v>
      </c>
      <c r="E750" s="454" t="s">
        <v>7415</v>
      </c>
      <c r="F750" s="454" t="s">
        <v>5243</v>
      </c>
      <c r="G750" s="459" t="s">
        <v>7416</v>
      </c>
      <c r="H750" s="869" t="s">
        <v>7417</v>
      </c>
      <c r="I750" s="865" t="s">
        <v>7418</v>
      </c>
      <c r="J750" s="865" t="s">
        <v>7419</v>
      </c>
      <c r="K750" s="125" t="s">
        <v>7420</v>
      </c>
      <c r="L750" s="16" t="s">
        <v>7422</v>
      </c>
      <c r="M750" s="8">
        <v>6</v>
      </c>
      <c r="N750" s="868"/>
      <c r="O750" s="430"/>
      <c r="P750" s="865"/>
    </row>
    <row r="751" spans="1:16" s="17" customFormat="1" ht="33" customHeight="1">
      <c r="A751" s="860"/>
      <c r="B751" s="399">
        <v>46309</v>
      </c>
      <c r="C751" s="4" t="s">
        <v>6707</v>
      </c>
      <c r="D751" s="4" t="s">
        <v>25</v>
      </c>
      <c r="E751" s="865" t="s">
        <v>6709</v>
      </c>
      <c r="F751" s="865">
        <v>7065</v>
      </c>
      <c r="G751" s="16" t="s">
        <v>145</v>
      </c>
      <c r="H751" s="869" t="s">
        <v>6706</v>
      </c>
      <c r="I751" s="865" t="s">
        <v>7421</v>
      </c>
      <c r="J751" s="869"/>
      <c r="K751" s="277" t="s">
        <v>209</v>
      </c>
      <c r="L751" s="16">
        <v>9080</v>
      </c>
      <c r="M751" s="18" t="s">
        <v>209</v>
      </c>
      <c r="N751" s="868"/>
      <c r="O751" s="430"/>
      <c r="P751" s="865"/>
    </row>
    <row r="752" spans="1:16" s="17" customFormat="1" ht="33" customHeight="1">
      <c r="A752" s="860"/>
      <c r="B752" s="399">
        <v>46310</v>
      </c>
      <c r="C752" s="4" t="s">
        <v>7377</v>
      </c>
      <c r="D752" s="4" t="s">
        <v>7378</v>
      </c>
      <c r="E752" s="865" t="s">
        <v>7379</v>
      </c>
      <c r="F752" s="454">
        <v>3307</v>
      </c>
      <c r="G752" s="16" t="s">
        <v>7380</v>
      </c>
      <c r="H752" s="869" t="s">
        <v>6975</v>
      </c>
      <c r="I752" s="865" t="s">
        <v>7381</v>
      </c>
      <c r="J752" s="865" t="s">
        <v>7382</v>
      </c>
      <c r="K752" s="125" t="s">
        <v>7383</v>
      </c>
      <c r="L752" s="16" t="s">
        <v>209</v>
      </c>
      <c r="M752" s="8">
        <v>4</v>
      </c>
      <c r="N752" s="868"/>
      <c r="O752" s="430"/>
      <c r="P752" s="865"/>
    </row>
    <row r="753" spans="1:16" s="17" customFormat="1" ht="33" customHeight="1">
      <c r="A753" s="595"/>
      <c r="B753" s="399">
        <v>46310</v>
      </c>
      <c r="C753" s="3" t="s">
        <v>21</v>
      </c>
      <c r="D753" s="3" t="s">
        <v>14</v>
      </c>
      <c r="E753" s="454" t="s">
        <v>211</v>
      </c>
      <c r="F753" s="454" t="s">
        <v>2916</v>
      </c>
      <c r="G753" s="459" t="s">
        <v>2917</v>
      </c>
      <c r="H753" s="869" t="s">
        <v>7400</v>
      </c>
      <c r="I753" s="865" t="s">
        <v>7397</v>
      </c>
      <c r="J753" s="865" t="s">
        <v>7399</v>
      </c>
      <c r="K753" s="125" t="s">
        <v>84</v>
      </c>
      <c r="L753" s="16" t="s">
        <v>7401</v>
      </c>
      <c r="M753" s="8">
        <v>2</v>
      </c>
      <c r="N753" s="422"/>
      <c r="O753" s="430" t="s">
        <v>7411</v>
      </c>
      <c r="P753" s="31"/>
    </row>
    <row r="754" spans="1:16" s="17" customFormat="1" ht="33" customHeight="1">
      <c r="A754" s="860"/>
      <c r="B754" s="399">
        <v>46310</v>
      </c>
      <c r="C754" s="4" t="s">
        <v>21</v>
      </c>
      <c r="D754" s="4" t="s">
        <v>14</v>
      </c>
      <c r="E754" s="865" t="s">
        <v>7371</v>
      </c>
      <c r="F754" s="453" t="s">
        <v>4902</v>
      </c>
      <c r="G754" s="16" t="s">
        <v>7376</v>
      </c>
      <c r="H754" s="870" t="s">
        <v>7372</v>
      </c>
      <c r="I754" s="865"/>
      <c r="J754" s="865" t="s">
        <v>7373</v>
      </c>
      <c r="K754" s="125" t="s">
        <v>7374</v>
      </c>
      <c r="L754" s="16" t="s">
        <v>4550</v>
      </c>
      <c r="M754" s="8">
        <v>1</v>
      </c>
      <c r="N754" s="868"/>
      <c r="O754" s="430" t="s">
        <v>7375</v>
      </c>
      <c r="P754" s="865"/>
    </row>
    <row r="755" spans="1:16" s="17" customFormat="1" ht="33" customHeight="1">
      <c r="A755" s="846"/>
      <c r="B755" s="399">
        <v>46310</v>
      </c>
      <c r="C755" s="4" t="s">
        <v>21</v>
      </c>
      <c r="D755" s="4" t="s">
        <v>14</v>
      </c>
      <c r="E755" s="848" t="s">
        <v>7305</v>
      </c>
      <c r="F755" s="454" t="s">
        <v>7306</v>
      </c>
      <c r="G755" s="16" t="s">
        <v>7307</v>
      </c>
      <c r="H755" s="853" t="s">
        <v>7402</v>
      </c>
      <c r="I755" s="848"/>
      <c r="J755" s="848" t="s">
        <v>7309</v>
      </c>
      <c r="K755" s="125" t="s">
        <v>7310</v>
      </c>
      <c r="L755" s="16" t="s">
        <v>7311</v>
      </c>
      <c r="M755" s="8">
        <v>2</v>
      </c>
      <c r="N755" s="852"/>
      <c r="O755" s="430"/>
      <c r="P755" s="848"/>
    </row>
    <row r="756" spans="1:16" s="17" customFormat="1" ht="33" customHeight="1">
      <c r="A756" s="837"/>
      <c r="B756" s="399">
        <v>46310</v>
      </c>
      <c r="C756" s="4" t="s">
        <v>64</v>
      </c>
      <c r="D756" s="4" t="s">
        <v>30</v>
      </c>
      <c r="E756" s="865" t="s">
        <v>1895</v>
      </c>
      <c r="F756" s="454">
        <v>7062</v>
      </c>
      <c r="G756" s="16" t="s">
        <v>205</v>
      </c>
      <c r="H756" s="869" t="s">
        <v>7297</v>
      </c>
      <c r="I756" s="865"/>
      <c r="J756" s="869" t="s">
        <v>7298</v>
      </c>
      <c r="K756" s="125" t="s">
        <v>84</v>
      </c>
      <c r="L756" s="16" t="s">
        <v>4550</v>
      </c>
      <c r="M756" s="8">
        <v>2</v>
      </c>
      <c r="N756" s="839"/>
      <c r="O756" s="430" t="s">
        <v>7412</v>
      </c>
      <c r="P756" s="838"/>
    </row>
    <row r="757" spans="1:16" s="17" customFormat="1" ht="33" customHeight="1">
      <c r="A757" s="860"/>
      <c r="B757" s="399">
        <v>46310</v>
      </c>
      <c r="C757" s="3" t="s">
        <v>7414</v>
      </c>
      <c r="D757" s="3" t="s">
        <v>17</v>
      </c>
      <c r="E757" s="454" t="s">
        <v>7415</v>
      </c>
      <c r="F757" s="454" t="s">
        <v>5243</v>
      </c>
      <c r="G757" s="459" t="s">
        <v>7416</v>
      </c>
      <c r="H757" s="869" t="s">
        <v>7417</v>
      </c>
      <c r="I757" s="865" t="s">
        <v>7418</v>
      </c>
      <c r="J757" s="865" t="s">
        <v>7419</v>
      </c>
      <c r="K757" s="125" t="s">
        <v>7420</v>
      </c>
      <c r="L757" s="16" t="s">
        <v>7422</v>
      </c>
      <c r="M757" s="8">
        <v>6</v>
      </c>
      <c r="N757" s="868"/>
      <c r="O757" s="430"/>
      <c r="P757" s="865"/>
    </row>
    <row r="758" spans="1:16" s="17" customFormat="1" ht="33" customHeight="1">
      <c r="A758" s="860"/>
      <c r="B758" s="399">
        <v>46310</v>
      </c>
      <c r="C758" s="4" t="s">
        <v>6707</v>
      </c>
      <c r="D758" s="4" t="s">
        <v>25</v>
      </c>
      <c r="E758" s="865" t="s">
        <v>6709</v>
      </c>
      <c r="F758" s="865">
        <v>7065</v>
      </c>
      <c r="G758" s="16" t="s">
        <v>145</v>
      </c>
      <c r="H758" s="869" t="s">
        <v>6706</v>
      </c>
      <c r="I758" s="865" t="s">
        <v>7421</v>
      </c>
      <c r="J758" s="869"/>
      <c r="K758" s="277" t="s">
        <v>209</v>
      </c>
      <c r="L758" s="16">
        <v>9080</v>
      </c>
      <c r="M758" s="18" t="s">
        <v>209</v>
      </c>
      <c r="N758" s="868"/>
      <c r="O758" s="430"/>
      <c r="P758" s="865"/>
    </row>
    <row r="759" spans="1:16" s="17" customFormat="1" ht="33" customHeight="1">
      <c r="A759" s="860"/>
      <c r="B759" s="399">
        <v>46311</v>
      </c>
      <c r="C759" s="4" t="s">
        <v>64</v>
      </c>
      <c r="D759" s="4" t="s">
        <v>30</v>
      </c>
      <c r="E759" s="865" t="s">
        <v>1895</v>
      </c>
      <c r="F759" s="454">
        <v>7062</v>
      </c>
      <c r="G759" s="16" t="s">
        <v>205</v>
      </c>
      <c r="H759" s="869" t="s">
        <v>7254</v>
      </c>
      <c r="I759" s="865"/>
      <c r="J759" s="869" t="s">
        <v>7298</v>
      </c>
      <c r="K759" s="125" t="s">
        <v>84</v>
      </c>
      <c r="L759" s="16" t="s">
        <v>4550</v>
      </c>
      <c r="M759" s="8">
        <v>2</v>
      </c>
      <c r="N759" s="868"/>
      <c r="O759" s="430" t="s">
        <v>7413</v>
      </c>
      <c r="P759" s="865"/>
    </row>
    <row r="760" spans="1:16" s="17" customFormat="1" ht="33" customHeight="1">
      <c r="A760" s="860"/>
      <c r="B760" s="399">
        <v>46311</v>
      </c>
      <c r="C760" s="4" t="s">
        <v>138</v>
      </c>
      <c r="D760" s="4" t="s">
        <v>177</v>
      </c>
      <c r="E760" s="875" t="s">
        <v>5890</v>
      </c>
      <c r="F760" s="875">
        <v>3307</v>
      </c>
      <c r="G760" s="16" t="s">
        <v>1328</v>
      </c>
      <c r="H760" s="881" t="s">
        <v>6970</v>
      </c>
      <c r="I760" s="875" t="s">
        <v>3730</v>
      </c>
      <c r="J760" s="875" t="s">
        <v>7466</v>
      </c>
      <c r="K760" s="125" t="s">
        <v>181</v>
      </c>
      <c r="L760" s="16" t="s">
        <v>209</v>
      </c>
      <c r="M760" s="8">
        <v>4</v>
      </c>
      <c r="N760" s="868"/>
      <c r="O760" s="430"/>
      <c r="P760" s="865"/>
    </row>
    <row r="761" spans="1:16" s="17" customFormat="1" ht="33" customHeight="1">
      <c r="A761" s="595"/>
      <c r="B761" s="399">
        <v>46311</v>
      </c>
      <c r="C761" s="4" t="s">
        <v>21</v>
      </c>
      <c r="D761" s="4" t="s">
        <v>14</v>
      </c>
      <c r="E761" s="848" t="s">
        <v>7305</v>
      </c>
      <c r="F761" s="848" t="s">
        <v>7306</v>
      </c>
      <c r="G761" s="16" t="s">
        <v>7307</v>
      </c>
      <c r="H761" s="853" t="s">
        <v>7403</v>
      </c>
      <c r="I761" s="848"/>
      <c r="J761" s="848" t="s">
        <v>7309</v>
      </c>
      <c r="K761" s="125" t="s">
        <v>7310</v>
      </c>
      <c r="L761" s="16" t="s">
        <v>7311</v>
      </c>
      <c r="M761" s="8">
        <v>2</v>
      </c>
      <c r="N761" s="422"/>
      <c r="O761" s="430"/>
      <c r="P761" s="31"/>
    </row>
    <row r="762" spans="1:16" s="17" customFormat="1" ht="33" customHeight="1">
      <c r="A762" s="846"/>
      <c r="B762" s="399">
        <v>46311</v>
      </c>
      <c r="C762" s="4" t="s">
        <v>7405</v>
      </c>
      <c r="D762" s="4" t="s">
        <v>17</v>
      </c>
      <c r="E762" s="848" t="s">
        <v>100</v>
      </c>
      <c r="F762" s="453" t="s">
        <v>7406</v>
      </c>
      <c r="G762" s="16" t="s">
        <v>37</v>
      </c>
      <c r="H762" s="853" t="s">
        <v>7407</v>
      </c>
      <c r="I762" s="848" t="s">
        <v>7408</v>
      </c>
      <c r="J762" s="848" t="s">
        <v>7409</v>
      </c>
      <c r="K762" s="125" t="s">
        <v>84</v>
      </c>
      <c r="L762" s="16" t="s">
        <v>7410</v>
      </c>
      <c r="M762" s="8">
        <v>2</v>
      </c>
      <c r="N762" s="852"/>
      <c r="O762" s="430" t="s">
        <v>5645</v>
      </c>
      <c r="P762" s="848"/>
    </row>
    <row r="763" spans="1:16" s="17" customFormat="1" ht="33" customHeight="1">
      <c r="A763" s="860"/>
      <c r="B763" s="399">
        <v>46311</v>
      </c>
      <c r="C763" s="4" t="s">
        <v>6707</v>
      </c>
      <c r="D763" s="4" t="s">
        <v>25</v>
      </c>
      <c r="E763" s="865" t="s">
        <v>6709</v>
      </c>
      <c r="F763" s="865">
        <v>7065</v>
      </c>
      <c r="G763" s="16" t="s">
        <v>145</v>
      </c>
      <c r="H763" s="869" t="s">
        <v>6706</v>
      </c>
      <c r="I763" s="865" t="s">
        <v>7423</v>
      </c>
      <c r="J763" s="869"/>
      <c r="K763" s="277" t="s">
        <v>209</v>
      </c>
      <c r="L763" s="16">
        <v>9080</v>
      </c>
      <c r="M763" s="18" t="s">
        <v>209</v>
      </c>
      <c r="N763" s="868"/>
      <c r="O763" s="430"/>
      <c r="P763" s="865"/>
    </row>
    <row r="764" spans="1:16" s="17" customFormat="1" ht="33" customHeight="1">
      <c r="A764" s="860"/>
      <c r="B764" s="369">
        <v>46312</v>
      </c>
      <c r="C764" s="4" t="s">
        <v>21</v>
      </c>
      <c r="D764" s="4" t="s">
        <v>30</v>
      </c>
      <c r="E764" s="865" t="s">
        <v>3421</v>
      </c>
      <c r="F764" s="865">
        <v>7062</v>
      </c>
      <c r="G764" s="16" t="s">
        <v>205</v>
      </c>
      <c r="H764" s="869" t="s">
        <v>7259</v>
      </c>
      <c r="I764" s="865"/>
      <c r="J764" s="869" t="s">
        <v>7395</v>
      </c>
      <c r="K764" s="125" t="s">
        <v>84</v>
      </c>
      <c r="L764" s="16" t="s">
        <v>4550</v>
      </c>
      <c r="M764" s="8">
        <v>2</v>
      </c>
      <c r="N764" s="868"/>
      <c r="O764" s="430"/>
      <c r="P764" s="865"/>
    </row>
    <row r="765" spans="1:16" s="17" customFormat="1" ht="33" customHeight="1">
      <c r="A765" s="860"/>
      <c r="B765" s="369">
        <v>46312</v>
      </c>
      <c r="C765" s="4" t="s">
        <v>138</v>
      </c>
      <c r="D765" s="4" t="s">
        <v>177</v>
      </c>
      <c r="E765" s="875" t="s">
        <v>5890</v>
      </c>
      <c r="F765" s="875">
        <v>3307</v>
      </c>
      <c r="G765" s="16" t="s">
        <v>1328</v>
      </c>
      <c r="H765" s="881" t="s">
        <v>6970</v>
      </c>
      <c r="I765" s="875" t="s">
        <v>3730</v>
      </c>
      <c r="J765" s="875" t="s">
        <v>7466</v>
      </c>
      <c r="K765" s="125" t="s">
        <v>181</v>
      </c>
      <c r="L765" s="16" t="s">
        <v>209</v>
      </c>
      <c r="M765" s="8">
        <v>4</v>
      </c>
      <c r="N765" s="868"/>
      <c r="O765" s="430"/>
      <c r="P765" s="865"/>
    </row>
    <row r="766" spans="1:16" s="17" customFormat="1" ht="33" customHeight="1">
      <c r="A766" s="860"/>
      <c r="B766" s="369">
        <v>46312</v>
      </c>
      <c r="C766" s="4" t="s">
        <v>21</v>
      </c>
      <c r="D766" s="4" t="s">
        <v>14</v>
      </c>
      <c r="E766" s="865" t="s">
        <v>7305</v>
      </c>
      <c r="F766" s="865" t="s">
        <v>7306</v>
      </c>
      <c r="G766" s="16" t="s">
        <v>207</v>
      </c>
      <c r="H766" s="869" t="s">
        <v>7404</v>
      </c>
      <c r="I766" s="865"/>
      <c r="J766" s="865" t="s">
        <v>7309</v>
      </c>
      <c r="K766" s="125" t="s">
        <v>3645</v>
      </c>
      <c r="L766" s="16" t="s">
        <v>209</v>
      </c>
      <c r="M766" s="8">
        <v>2</v>
      </c>
      <c r="N766" s="868"/>
      <c r="O766" s="430"/>
      <c r="P766" s="865"/>
    </row>
    <row r="767" spans="1:16" s="17" customFormat="1" ht="33" customHeight="1">
      <c r="A767" s="860"/>
      <c r="B767" s="369">
        <v>46313</v>
      </c>
      <c r="C767" s="4" t="s">
        <v>138</v>
      </c>
      <c r="D767" s="4" t="s">
        <v>177</v>
      </c>
      <c r="E767" s="875" t="s">
        <v>5890</v>
      </c>
      <c r="F767" s="875">
        <v>3307</v>
      </c>
      <c r="G767" s="16" t="s">
        <v>1328</v>
      </c>
      <c r="H767" s="881" t="s">
        <v>6970</v>
      </c>
      <c r="I767" s="875" t="s">
        <v>3730</v>
      </c>
      <c r="J767" s="875" t="s">
        <v>7466</v>
      </c>
      <c r="K767" s="125" t="s">
        <v>181</v>
      </c>
      <c r="L767" s="16" t="s">
        <v>209</v>
      </c>
      <c r="M767" s="8">
        <v>4</v>
      </c>
      <c r="N767" s="868"/>
      <c r="O767" s="430"/>
      <c r="P767" s="865"/>
    </row>
    <row r="768" spans="1:16" s="17" customFormat="1" ht="33" customHeight="1">
      <c r="A768" s="596"/>
      <c r="B768" s="369">
        <v>46313</v>
      </c>
      <c r="C768" s="4" t="s">
        <v>21</v>
      </c>
      <c r="D768" s="4" t="s">
        <v>14</v>
      </c>
      <c r="E768" s="848" t="s">
        <v>7305</v>
      </c>
      <c r="F768" s="848" t="s">
        <v>7306</v>
      </c>
      <c r="G768" s="16" t="s">
        <v>7307</v>
      </c>
      <c r="H768" s="869" t="s">
        <v>7404</v>
      </c>
      <c r="I768" s="848"/>
      <c r="J768" s="848" t="s">
        <v>7309</v>
      </c>
      <c r="K768" s="125" t="s">
        <v>7310</v>
      </c>
      <c r="L768" s="16" t="s">
        <v>7311</v>
      </c>
      <c r="M768" s="8">
        <v>2</v>
      </c>
      <c r="N768" s="31"/>
      <c r="O768" s="432"/>
      <c r="P768" s="31"/>
    </row>
    <row r="769" spans="1:16" s="17" customFormat="1" ht="33" customHeight="1">
      <c r="A769" s="322" t="s">
        <v>0</v>
      </c>
      <c r="B769" s="323" t="s">
        <v>1</v>
      </c>
      <c r="C769" s="322" t="s">
        <v>2</v>
      </c>
      <c r="D769" s="322" t="s">
        <v>3</v>
      </c>
      <c r="E769" s="322" t="s">
        <v>4</v>
      </c>
      <c r="F769" s="322" t="s">
        <v>5</v>
      </c>
      <c r="G769" s="322" t="s">
        <v>6</v>
      </c>
      <c r="H769" s="324" t="s">
        <v>7</v>
      </c>
      <c r="I769" s="322" t="s">
        <v>8</v>
      </c>
      <c r="J769" s="322" t="s">
        <v>9</v>
      </c>
      <c r="K769" s="325" t="s">
        <v>10</v>
      </c>
      <c r="L769" s="326" t="s">
        <v>11</v>
      </c>
      <c r="M769" s="322" t="s">
        <v>12</v>
      </c>
      <c r="N769" s="327" t="s">
        <v>13</v>
      </c>
      <c r="O769" s="427" t="s">
        <v>63</v>
      </c>
      <c r="P769" s="322" t="s">
        <v>123</v>
      </c>
    </row>
    <row r="770" spans="1:16" s="17" customFormat="1" ht="33" customHeight="1">
      <c r="A770" s="792" t="s">
        <v>7266</v>
      </c>
      <c r="B770" s="399">
        <v>46314</v>
      </c>
      <c r="C770" s="4" t="s">
        <v>138</v>
      </c>
      <c r="D770" s="4" t="s">
        <v>7299</v>
      </c>
      <c r="E770" s="796" t="s">
        <v>7300</v>
      </c>
      <c r="F770" s="796" t="s">
        <v>7301</v>
      </c>
      <c r="G770" s="16" t="s">
        <v>7294</v>
      </c>
      <c r="H770" s="799" t="s">
        <v>7302</v>
      </c>
      <c r="I770" s="796" t="s">
        <v>7440</v>
      </c>
      <c r="J770" s="796" t="s">
        <v>7439</v>
      </c>
      <c r="K770" s="125" t="s">
        <v>7295</v>
      </c>
      <c r="L770" s="16">
        <v>9080</v>
      </c>
      <c r="M770" s="8">
        <v>7</v>
      </c>
      <c r="N770" s="796"/>
      <c r="O770" s="431"/>
      <c r="P770" s="796"/>
    </row>
    <row r="771" spans="1:16" s="17" customFormat="1" ht="33" customHeight="1">
      <c r="A771" s="874"/>
      <c r="B771" s="399">
        <v>46314</v>
      </c>
      <c r="C771" s="4" t="s">
        <v>138</v>
      </c>
      <c r="D771" s="4" t="s">
        <v>177</v>
      </c>
      <c r="E771" s="875" t="s">
        <v>5890</v>
      </c>
      <c r="F771" s="875">
        <v>3307</v>
      </c>
      <c r="G771" s="16" t="s">
        <v>1328</v>
      </c>
      <c r="H771" s="881" t="s">
        <v>6970</v>
      </c>
      <c r="I771" s="875" t="s">
        <v>3730</v>
      </c>
      <c r="J771" s="875" t="s">
        <v>7466</v>
      </c>
      <c r="K771" s="125" t="s">
        <v>181</v>
      </c>
      <c r="L771" s="16" t="s">
        <v>209</v>
      </c>
      <c r="M771" s="8">
        <v>4</v>
      </c>
      <c r="N771" s="875"/>
      <c r="O771" s="431"/>
      <c r="P771" s="875"/>
    </row>
    <row r="772" spans="1:16" s="17" customFormat="1" ht="33" customHeight="1">
      <c r="A772" s="860"/>
      <c r="B772" s="399">
        <v>46314</v>
      </c>
      <c r="C772" s="4" t="s">
        <v>6707</v>
      </c>
      <c r="D772" s="4" t="s">
        <v>25</v>
      </c>
      <c r="E772" s="865" t="s">
        <v>6709</v>
      </c>
      <c r="F772" s="865">
        <v>7065</v>
      </c>
      <c r="G772" s="16" t="s">
        <v>145</v>
      </c>
      <c r="H772" s="869" t="s">
        <v>7447</v>
      </c>
      <c r="I772" s="865" t="s">
        <v>7448</v>
      </c>
      <c r="J772" s="869"/>
      <c r="K772" s="277" t="s">
        <v>209</v>
      </c>
      <c r="L772" s="16" t="s">
        <v>4550</v>
      </c>
      <c r="M772" s="18" t="s">
        <v>209</v>
      </c>
      <c r="N772" s="865"/>
      <c r="O772" s="431"/>
      <c r="P772" s="865"/>
    </row>
    <row r="773" spans="1:16" s="17" customFormat="1" ht="40.5">
      <c r="A773" s="860"/>
      <c r="B773" s="399">
        <v>46314</v>
      </c>
      <c r="C773" s="4" t="s">
        <v>21</v>
      </c>
      <c r="D773" s="4" t="s">
        <v>7384</v>
      </c>
      <c r="E773" s="865" t="s">
        <v>7385</v>
      </c>
      <c r="F773" s="865" t="s">
        <v>7386</v>
      </c>
      <c r="G773" s="16" t="s">
        <v>7464</v>
      </c>
      <c r="H773" s="881" t="s">
        <v>7465</v>
      </c>
      <c r="I773" s="865" t="s">
        <v>7408</v>
      </c>
      <c r="J773" s="865"/>
      <c r="K773" s="125" t="s">
        <v>7374</v>
      </c>
      <c r="L773" s="16" t="s">
        <v>7410</v>
      </c>
      <c r="M773" s="8">
        <v>1</v>
      </c>
      <c r="N773" s="865"/>
      <c r="O773" s="431"/>
      <c r="P773" s="865"/>
    </row>
    <row r="774" spans="1:16" s="17" customFormat="1" ht="33" customHeight="1">
      <c r="A774" s="860"/>
      <c r="B774" s="399">
        <v>46315</v>
      </c>
      <c r="C774" s="4" t="s">
        <v>6707</v>
      </c>
      <c r="D774" s="4" t="s">
        <v>25</v>
      </c>
      <c r="E774" s="865" t="s">
        <v>6709</v>
      </c>
      <c r="F774" s="865">
        <v>7065</v>
      </c>
      <c r="G774" s="16" t="s">
        <v>145</v>
      </c>
      <c r="H774" s="869" t="s">
        <v>7447</v>
      </c>
      <c r="I774" s="865" t="s">
        <v>7448</v>
      </c>
      <c r="J774" s="869"/>
      <c r="K774" s="277" t="s">
        <v>209</v>
      </c>
      <c r="L774" s="16" t="s">
        <v>4550</v>
      </c>
      <c r="M774" s="18" t="s">
        <v>209</v>
      </c>
      <c r="N774" s="865"/>
      <c r="O774" s="431"/>
      <c r="P774" s="865"/>
    </row>
    <row r="775" spans="1:16" s="17" customFormat="1" ht="33" customHeight="1">
      <c r="A775" s="874"/>
      <c r="B775" s="399">
        <v>46315</v>
      </c>
      <c r="C775" s="4" t="s">
        <v>138</v>
      </c>
      <c r="D775" s="4" t="s">
        <v>7457</v>
      </c>
      <c r="E775" s="875" t="s">
        <v>7458</v>
      </c>
      <c r="F775" s="875" t="s">
        <v>7459</v>
      </c>
      <c r="G775" s="16" t="s">
        <v>7460</v>
      </c>
      <c r="H775" s="881" t="s">
        <v>7461</v>
      </c>
      <c r="I775" s="875"/>
      <c r="J775" s="881" t="s">
        <v>7462</v>
      </c>
      <c r="K775" s="277" t="s">
        <v>181</v>
      </c>
      <c r="L775" s="16" t="s">
        <v>7463</v>
      </c>
      <c r="M775" s="18">
        <v>1</v>
      </c>
      <c r="N775" s="875"/>
      <c r="O775" s="431"/>
      <c r="P775" s="875"/>
    </row>
    <row r="776" spans="1:16" s="17" customFormat="1" ht="33" customHeight="1">
      <c r="A776" s="860"/>
      <c r="B776" s="399">
        <v>46315</v>
      </c>
      <c r="C776" s="4" t="s">
        <v>21</v>
      </c>
      <c r="D776" s="4" t="s">
        <v>14</v>
      </c>
      <c r="E776" s="291" t="s">
        <v>107</v>
      </c>
      <c r="F776" s="865" t="s">
        <v>3420</v>
      </c>
      <c r="G776" s="16" t="s">
        <v>143</v>
      </c>
      <c r="H776" s="869" t="s">
        <v>7442</v>
      </c>
      <c r="I776" s="865" t="s">
        <v>120</v>
      </c>
      <c r="J776" s="865" t="s">
        <v>7441</v>
      </c>
      <c r="K776" s="125" t="s">
        <v>66</v>
      </c>
      <c r="L776" s="16" t="s">
        <v>4379</v>
      </c>
      <c r="M776" s="8">
        <v>2</v>
      </c>
      <c r="N776" s="865"/>
      <c r="O776" s="431"/>
      <c r="P776" s="865"/>
    </row>
    <row r="777" spans="1:16" s="17" customFormat="1" ht="33" customHeight="1">
      <c r="A777" s="793"/>
      <c r="B777" s="399">
        <v>46315</v>
      </c>
      <c r="C777" s="4" t="s">
        <v>138</v>
      </c>
      <c r="D777" s="4" t="s">
        <v>7299</v>
      </c>
      <c r="E777" s="848" t="s">
        <v>7300</v>
      </c>
      <c r="F777" s="848" t="s">
        <v>7301</v>
      </c>
      <c r="G777" s="16" t="s">
        <v>7294</v>
      </c>
      <c r="H777" s="853" t="s">
        <v>7302</v>
      </c>
      <c r="I777" s="865" t="s">
        <v>7440</v>
      </c>
      <c r="J777" s="865" t="s">
        <v>7439</v>
      </c>
      <c r="K777" s="125" t="s">
        <v>84</v>
      </c>
      <c r="L777" s="16">
        <v>9080</v>
      </c>
      <c r="M777" s="8">
        <v>7</v>
      </c>
      <c r="N777" s="796"/>
      <c r="O777" s="431"/>
      <c r="P777" s="796"/>
    </row>
    <row r="778" spans="1:16" s="17" customFormat="1" ht="33" customHeight="1">
      <c r="A778" s="874"/>
      <c r="B778" s="399">
        <v>46315</v>
      </c>
      <c r="C778" s="4" t="s">
        <v>138</v>
      </c>
      <c r="D778" s="4" t="s">
        <v>177</v>
      </c>
      <c r="E778" s="875" t="s">
        <v>5890</v>
      </c>
      <c r="F778" s="875">
        <v>3307</v>
      </c>
      <c r="G778" s="16" t="s">
        <v>1328</v>
      </c>
      <c r="H778" s="881" t="s">
        <v>6970</v>
      </c>
      <c r="I778" s="875" t="s">
        <v>3730</v>
      </c>
      <c r="J778" s="875" t="s">
        <v>7466</v>
      </c>
      <c r="K778" s="125" t="s">
        <v>181</v>
      </c>
      <c r="L778" s="16" t="s">
        <v>209</v>
      </c>
      <c r="M778" s="8">
        <v>4</v>
      </c>
      <c r="N778" s="875"/>
      <c r="O778" s="431"/>
      <c r="P778" s="875"/>
    </row>
    <row r="779" spans="1:16" s="17" customFormat="1" ht="33" customHeight="1">
      <c r="A779" s="874"/>
      <c r="B779" s="399">
        <v>46316</v>
      </c>
      <c r="C779" s="4" t="s">
        <v>138</v>
      </c>
      <c r="D779" s="4" t="s">
        <v>7457</v>
      </c>
      <c r="E779" s="875" t="s">
        <v>7458</v>
      </c>
      <c r="F779" s="875" t="s">
        <v>7459</v>
      </c>
      <c r="G779" s="16" t="s">
        <v>7460</v>
      </c>
      <c r="H779" s="881" t="s">
        <v>7461</v>
      </c>
      <c r="I779" s="875"/>
      <c r="J779" s="881" t="s">
        <v>7462</v>
      </c>
      <c r="K779" s="277" t="s">
        <v>181</v>
      </c>
      <c r="L779" s="16" t="s">
        <v>7463</v>
      </c>
      <c r="M779" s="18">
        <v>1</v>
      </c>
      <c r="N779" s="875"/>
      <c r="O779" s="431"/>
      <c r="P779" s="875"/>
    </row>
    <row r="780" spans="1:16" s="17" customFormat="1" ht="33" customHeight="1">
      <c r="A780" s="793"/>
      <c r="B780" s="399">
        <v>46316</v>
      </c>
      <c r="C780" s="4" t="s">
        <v>138</v>
      </c>
      <c r="D780" s="4" t="s">
        <v>7299</v>
      </c>
      <c r="E780" s="848" t="s">
        <v>7300</v>
      </c>
      <c r="F780" s="848" t="s">
        <v>7301</v>
      </c>
      <c r="G780" s="16" t="s">
        <v>7294</v>
      </c>
      <c r="H780" s="853" t="s">
        <v>7302</v>
      </c>
      <c r="I780" s="865" t="s">
        <v>7440</v>
      </c>
      <c r="J780" s="865" t="s">
        <v>7439</v>
      </c>
      <c r="K780" s="125" t="s">
        <v>84</v>
      </c>
      <c r="L780" s="16">
        <v>9080</v>
      </c>
      <c r="M780" s="8">
        <v>7</v>
      </c>
      <c r="N780" s="798"/>
      <c r="O780" s="430"/>
      <c r="P780" s="796"/>
    </row>
    <row r="781" spans="1:16" s="17" customFormat="1" ht="33" customHeight="1">
      <c r="A781" s="860"/>
      <c r="B781" s="399">
        <v>46316</v>
      </c>
      <c r="C781" s="4" t="s">
        <v>6707</v>
      </c>
      <c r="D781" s="4" t="s">
        <v>25</v>
      </c>
      <c r="E781" s="865" t="s">
        <v>6709</v>
      </c>
      <c r="F781" s="865">
        <v>7065</v>
      </c>
      <c r="G781" s="16" t="s">
        <v>145</v>
      </c>
      <c r="H781" s="869" t="s">
        <v>7447</v>
      </c>
      <c r="I781" s="869" t="s">
        <v>7450</v>
      </c>
      <c r="J781" s="869"/>
      <c r="K781" s="277" t="s">
        <v>209</v>
      </c>
      <c r="L781" s="16" t="s">
        <v>4550</v>
      </c>
      <c r="M781" s="18" t="s">
        <v>209</v>
      </c>
      <c r="N781" s="868"/>
      <c r="O781" s="430"/>
      <c r="P781" s="865"/>
    </row>
    <row r="782" spans="1:16" s="17" customFormat="1" ht="33" customHeight="1">
      <c r="A782" s="874"/>
      <c r="B782" s="399">
        <v>46316</v>
      </c>
      <c r="C782" s="4" t="s">
        <v>138</v>
      </c>
      <c r="D782" s="4" t="s">
        <v>177</v>
      </c>
      <c r="E782" s="875" t="s">
        <v>5890</v>
      </c>
      <c r="F782" s="875">
        <v>3307</v>
      </c>
      <c r="G782" s="16" t="s">
        <v>1328</v>
      </c>
      <c r="H782" s="881" t="s">
        <v>6970</v>
      </c>
      <c r="I782" s="875" t="s">
        <v>3730</v>
      </c>
      <c r="J782" s="875" t="s">
        <v>7466</v>
      </c>
      <c r="K782" s="125" t="s">
        <v>181</v>
      </c>
      <c r="L782" s="16" t="s">
        <v>209</v>
      </c>
      <c r="M782" s="8">
        <v>4</v>
      </c>
      <c r="N782" s="879"/>
      <c r="O782" s="430"/>
      <c r="P782" s="875"/>
    </row>
    <row r="783" spans="1:16" s="17" customFormat="1" ht="33" customHeight="1">
      <c r="A783" s="793"/>
      <c r="B783" s="399">
        <v>46317</v>
      </c>
      <c r="C783" s="4" t="s">
        <v>138</v>
      </c>
      <c r="D783" s="4" t="s">
        <v>7299</v>
      </c>
      <c r="E783" s="848" t="s">
        <v>7300</v>
      </c>
      <c r="F783" s="848" t="s">
        <v>7301</v>
      </c>
      <c r="G783" s="16" t="s">
        <v>7294</v>
      </c>
      <c r="H783" s="853" t="s">
        <v>7302</v>
      </c>
      <c r="I783" s="865" t="s">
        <v>7440</v>
      </c>
      <c r="J783" s="865" t="s">
        <v>7439</v>
      </c>
      <c r="K783" s="125" t="s">
        <v>84</v>
      </c>
      <c r="L783" s="16">
        <v>9080</v>
      </c>
      <c r="M783" s="8">
        <v>7</v>
      </c>
      <c r="N783" s="798"/>
      <c r="O783" s="430"/>
      <c r="P783" s="796"/>
    </row>
    <row r="784" spans="1:16" s="17" customFormat="1" ht="33" customHeight="1">
      <c r="A784" s="874"/>
      <c r="B784" s="399">
        <v>46317</v>
      </c>
      <c r="C784" s="4" t="s">
        <v>138</v>
      </c>
      <c r="D784" s="4" t="s">
        <v>7457</v>
      </c>
      <c r="E784" s="875" t="s">
        <v>7458</v>
      </c>
      <c r="F784" s="875" t="s">
        <v>7459</v>
      </c>
      <c r="G784" s="16" t="s">
        <v>7460</v>
      </c>
      <c r="H784" s="881" t="s">
        <v>7461</v>
      </c>
      <c r="I784" s="875"/>
      <c r="J784" s="881" t="s">
        <v>7462</v>
      </c>
      <c r="K784" s="277" t="s">
        <v>181</v>
      </c>
      <c r="L784" s="16" t="s">
        <v>7463</v>
      </c>
      <c r="M784" s="18">
        <v>1</v>
      </c>
      <c r="N784" s="879"/>
      <c r="O784" s="430"/>
      <c r="P784" s="875"/>
    </row>
    <row r="785" spans="1:16" s="17" customFormat="1" ht="33" customHeight="1">
      <c r="A785" s="860"/>
      <c r="B785" s="399">
        <v>46317</v>
      </c>
      <c r="C785" s="4" t="s">
        <v>6707</v>
      </c>
      <c r="D785" s="4" t="s">
        <v>25</v>
      </c>
      <c r="E785" s="865" t="s">
        <v>6709</v>
      </c>
      <c r="F785" s="865">
        <v>7065</v>
      </c>
      <c r="G785" s="16" t="s">
        <v>145</v>
      </c>
      <c r="H785" s="869" t="s">
        <v>7447</v>
      </c>
      <c r="I785" s="865" t="s">
        <v>7448</v>
      </c>
      <c r="J785" s="869"/>
      <c r="K785" s="277" t="s">
        <v>209</v>
      </c>
      <c r="L785" s="16" t="s">
        <v>7517</v>
      </c>
      <c r="M785" s="18" t="s">
        <v>209</v>
      </c>
      <c r="N785" s="868"/>
      <c r="O785" s="430"/>
      <c r="P785" s="865"/>
    </row>
    <row r="786" spans="1:16" s="17" customFormat="1" ht="33" customHeight="1">
      <c r="A786" s="860"/>
      <c r="B786" s="399">
        <v>46317</v>
      </c>
      <c r="C786" s="4" t="s">
        <v>7405</v>
      </c>
      <c r="D786" s="4" t="s">
        <v>30</v>
      </c>
      <c r="E786" s="865" t="s">
        <v>7429</v>
      </c>
      <c r="F786" s="865" t="s">
        <v>7430</v>
      </c>
      <c r="G786" s="16" t="s">
        <v>7431</v>
      </c>
      <c r="H786" s="869" t="s">
        <v>7504</v>
      </c>
      <c r="I786" s="865" t="s">
        <v>7433</v>
      </c>
      <c r="J786" s="865" t="s">
        <v>7432</v>
      </c>
      <c r="K786" s="125" t="s">
        <v>84</v>
      </c>
      <c r="L786" s="16" t="s">
        <v>6287</v>
      </c>
      <c r="M786" s="8">
        <v>2</v>
      </c>
      <c r="N786" s="868"/>
      <c r="O786" s="430" t="s">
        <v>7505</v>
      </c>
      <c r="P786" s="865"/>
    </row>
    <row r="787" spans="1:16" s="17" customFormat="1" ht="33" customHeight="1">
      <c r="A787" s="874"/>
      <c r="B787" s="399">
        <v>46317</v>
      </c>
      <c r="C787" s="4" t="s">
        <v>138</v>
      </c>
      <c r="D787" s="4" t="s">
        <v>177</v>
      </c>
      <c r="E787" s="875" t="s">
        <v>5890</v>
      </c>
      <c r="F787" s="875">
        <v>3307</v>
      </c>
      <c r="G787" s="16" t="s">
        <v>1328</v>
      </c>
      <c r="H787" s="881" t="s">
        <v>7506</v>
      </c>
      <c r="I787" s="875" t="s">
        <v>3730</v>
      </c>
      <c r="J787" s="875" t="s">
        <v>7466</v>
      </c>
      <c r="K787" s="125" t="s">
        <v>181</v>
      </c>
      <c r="L787" s="16" t="s">
        <v>209</v>
      </c>
      <c r="M787" s="8">
        <v>4</v>
      </c>
      <c r="N787" s="879"/>
      <c r="O787" s="430"/>
      <c r="P787" s="875"/>
    </row>
    <row r="788" spans="1:16" s="17" customFormat="1" ht="33" customHeight="1">
      <c r="A788" s="888"/>
      <c r="B788" s="399">
        <v>46318</v>
      </c>
      <c r="C788" s="4" t="s">
        <v>7405</v>
      </c>
      <c r="D788" s="4" t="s">
        <v>14</v>
      </c>
      <c r="E788" s="889" t="s">
        <v>7429</v>
      </c>
      <c r="F788" s="889" t="s">
        <v>2959</v>
      </c>
      <c r="G788" s="16" t="s">
        <v>143</v>
      </c>
      <c r="H788" s="891" t="s">
        <v>7518</v>
      </c>
      <c r="I788" s="889"/>
      <c r="J788" s="889" t="s">
        <v>7524</v>
      </c>
      <c r="K788" s="125" t="s">
        <v>7519</v>
      </c>
      <c r="L788" s="16" t="s">
        <v>6287</v>
      </c>
      <c r="M788" s="8">
        <v>2</v>
      </c>
      <c r="N788" s="890"/>
      <c r="O788" s="430" t="s">
        <v>7525</v>
      </c>
      <c r="P788" s="889"/>
    </row>
    <row r="789" spans="1:16" s="17" customFormat="1" ht="40.5">
      <c r="A789" s="860"/>
      <c r="B789" s="399">
        <v>46318</v>
      </c>
      <c r="C789" s="4" t="s">
        <v>7434</v>
      </c>
      <c r="D789" s="4" t="s">
        <v>7435</v>
      </c>
      <c r="E789" s="865" t="s">
        <v>7436</v>
      </c>
      <c r="F789" s="865" t="s">
        <v>7437</v>
      </c>
      <c r="G789" s="16" t="s">
        <v>7438</v>
      </c>
      <c r="H789" s="869" t="s">
        <v>7516</v>
      </c>
      <c r="I789" s="865" t="s">
        <v>120</v>
      </c>
      <c r="J789" s="865"/>
      <c r="K789" s="125" t="s">
        <v>7374</v>
      </c>
      <c r="L789" s="16" t="s">
        <v>7410</v>
      </c>
      <c r="M789" s="8">
        <v>1</v>
      </c>
      <c r="N789" s="868"/>
      <c r="O789" s="430"/>
      <c r="P789" s="865"/>
    </row>
    <row r="790" spans="1:16" s="17" customFormat="1" ht="33" customHeight="1">
      <c r="A790" s="793"/>
      <c r="B790" s="399">
        <v>46318</v>
      </c>
      <c r="C790" s="4" t="s">
        <v>6707</v>
      </c>
      <c r="D790" s="4" t="s">
        <v>25</v>
      </c>
      <c r="E790" s="865" t="s">
        <v>6709</v>
      </c>
      <c r="F790" s="865">
        <v>7065</v>
      </c>
      <c r="G790" s="16" t="s">
        <v>145</v>
      </c>
      <c r="H790" s="869" t="s">
        <v>7447</v>
      </c>
      <c r="I790" s="865" t="s">
        <v>7448</v>
      </c>
      <c r="J790" s="869"/>
      <c r="K790" s="277" t="s">
        <v>209</v>
      </c>
      <c r="L790" s="16" t="s">
        <v>4550</v>
      </c>
      <c r="M790" s="18" t="s">
        <v>209</v>
      </c>
      <c r="N790" s="798"/>
      <c r="O790" s="430"/>
      <c r="P790" s="796"/>
    </row>
    <row r="791" spans="1:16" s="17" customFormat="1" ht="33" customHeight="1">
      <c r="A791" s="874"/>
      <c r="B791" s="399">
        <v>46318</v>
      </c>
      <c r="C791" s="4"/>
      <c r="D791" s="4"/>
      <c r="E791" s="875"/>
      <c r="F791" s="875"/>
      <c r="G791" s="16"/>
      <c r="H791" s="881"/>
      <c r="I791" s="875"/>
      <c r="J791" s="875"/>
      <c r="K791" s="125"/>
      <c r="L791" s="16"/>
      <c r="M791" s="8"/>
      <c r="N791" s="879"/>
      <c r="O791" s="430"/>
      <c r="P791" s="875"/>
    </row>
    <row r="792" spans="1:16" s="17" customFormat="1" ht="33" customHeight="1">
      <c r="A792" s="322" t="s">
        <v>0</v>
      </c>
      <c r="B792" s="323" t="s">
        <v>1</v>
      </c>
      <c r="C792" s="322" t="s">
        <v>2</v>
      </c>
      <c r="D792" s="322" t="s">
        <v>3</v>
      </c>
      <c r="E792" s="322" t="s">
        <v>4</v>
      </c>
      <c r="F792" s="322" t="s">
        <v>5</v>
      </c>
      <c r="G792" s="322" t="s">
        <v>6</v>
      </c>
      <c r="H792" s="324" t="s">
        <v>7</v>
      </c>
      <c r="I792" s="322" t="s">
        <v>8</v>
      </c>
      <c r="J792" s="322" t="s">
        <v>9</v>
      </c>
      <c r="K792" s="325" t="s">
        <v>10</v>
      </c>
      <c r="L792" s="326" t="s">
        <v>11</v>
      </c>
      <c r="M792" s="322" t="s">
        <v>12</v>
      </c>
      <c r="N792" s="327" t="s">
        <v>13</v>
      </c>
      <c r="O792" s="427" t="s">
        <v>63</v>
      </c>
      <c r="P792" s="322" t="s">
        <v>123</v>
      </c>
    </row>
    <row r="793" spans="1:16" s="17" customFormat="1" ht="33" customHeight="1">
      <c r="A793" s="845" t="s">
        <v>7319</v>
      </c>
      <c r="B793" s="399">
        <v>46321</v>
      </c>
      <c r="C793" s="4" t="s">
        <v>6707</v>
      </c>
      <c r="D793" s="4" t="s">
        <v>25</v>
      </c>
      <c r="E793" s="918" t="s">
        <v>6709</v>
      </c>
      <c r="F793" s="918">
        <v>7065</v>
      </c>
      <c r="G793" s="16" t="s">
        <v>145</v>
      </c>
      <c r="H793" s="921" t="s">
        <v>7534</v>
      </c>
      <c r="I793" s="918" t="s">
        <v>7617</v>
      </c>
      <c r="J793" s="918"/>
      <c r="K793" s="277" t="s">
        <v>209</v>
      </c>
      <c r="L793" s="16">
        <v>9080</v>
      </c>
      <c r="M793" s="18" t="s">
        <v>209</v>
      </c>
      <c r="N793" s="848" t="s">
        <v>7639</v>
      </c>
      <c r="O793" s="431"/>
      <c r="P793" s="848"/>
    </row>
    <row r="794" spans="1:16" s="17" customFormat="1" ht="33" customHeight="1">
      <c r="A794" s="917"/>
      <c r="B794" s="399">
        <v>46321</v>
      </c>
      <c r="C794" s="4" t="s">
        <v>6707</v>
      </c>
      <c r="D794" s="4" t="s">
        <v>25</v>
      </c>
      <c r="E794" s="918" t="s">
        <v>7614</v>
      </c>
      <c r="F794" s="918" t="s">
        <v>7618</v>
      </c>
      <c r="G794" s="16" t="s">
        <v>7619</v>
      </c>
      <c r="H794" s="921" t="s">
        <v>7620</v>
      </c>
      <c r="I794" s="918" t="s">
        <v>7621</v>
      </c>
      <c r="J794" s="918"/>
      <c r="K794" s="277" t="s">
        <v>7622</v>
      </c>
      <c r="L794" s="16" t="s">
        <v>7623</v>
      </c>
      <c r="M794" s="18" t="s">
        <v>7623</v>
      </c>
      <c r="N794" s="918"/>
      <c r="O794" s="431"/>
      <c r="P794" s="918"/>
    </row>
    <row r="795" spans="1:16" s="17" customFormat="1" ht="33" customHeight="1">
      <c r="A795" s="860"/>
      <c r="B795" s="399">
        <v>46321</v>
      </c>
      <c r="C795" s="4" t="s">
        <v>7443</v>
      </c>
      <c r="D795" s="4" t="s">
        <v>7444</v>
      </c>
      <c r="E795" s="869" t="s">
        <v>6551</v>
      </c>
      <c r="F795" s="865">
        <v>8262</v>
      </c>
      <c r="G795" s="16" t="s">
        <v>7445</v>
      </c>
      <c r="H795" s="869" t="s">
        <v>7610</v>
      </c>
      <c r="I795" s="865"/>
      <c r="J795" s="865" t="s">
        <v>7446</v>
      </c>
      <c r="K795" s="125" t="s">
        <v>84</v>
      </c>
      <c r="L795" s="16" t="s">
        <v>7388</v>
      </c>
      <c r="M795" s="8">
        <v>1</v>
      </c>
      <c r="N795" s="865"/>
      <c r="O795" s="431"/>
      <c r="P795" s="865"/>
    </row>
    <row r="796" spans="1:16" s="17" customFormat="1" ht="33" customHeight="1">
      <c r="A796" s="904"/>
      <c r="B796" s="399">
        <v>46321</v>
      </c>
      <c r="C796" s="4" t="s">
        <v>24</v>
      </c>
      <c r="D796" s="4" t="s">
        <v>14</v>
      </c>
      <c r="E796" s="905" t="s">
        <v>107</v>
      </c>
      <c r="F796" s="905" t="s">
        <v>7430</v>
      </c>
      <c r="G796" s="16" t="s">
        <v>143</v>
      </c>
      <c r="H796" s="907" t="s">
        <v>7527</v>
      </c>
      <c r="I796" s="905"/>
      <c r="J796" s="905" t="s">
        <v>7526</v>
      </c>
      <c r="K796" s="125" t="s">
        <v>15</v>
      </c>
      <c r="L796" s="16" t="s">
        <v>6287</v>
      </c>
      <c r="M796" s="8">
        <v>2</v>
      </c>
      <c r="N796" s="905"/>
      <c r="O796" s="431"/>
      <c r="P796" s="905"/>
    </row>
    <row r="797" spans="1:16" s="17" customFormat="1" ht="33" customHeight="1">
      <c r="A797" s="917"/>
      <c r="B797" s="399">
        <v>46322</v>
      </c>
      <c r="C797" s="4" t="s">
        <v>21</v>
      </c>
      <c r="D797" s="4" t="s">
        <v>7613</v>
      </c>
      <c r="E797" s="918" t="s">
        <v>7614</v>
      </c>
      <c r="F797" s="918">
        <v>3306</v>
      </c>
      <c r="G797" s="16" t="s">
        <v>7612</v>
      </c>
      <c r="H797" s="921" t="s">
        <v>7611</v>
      </c>
      <c r="I797" s="918"/>
      <c r="J797" s="918" t="s">
        <v>7615</v>
      </c>
      <c r="K797" s="277" t="s">
        <v>7616</v>
      </c>
      <c r="L797" s="277" t="s">
        <v>7616</v>
      </c>
      <c r="M797" s="277" t="s">
        <v>7616</v>
      </c>
      <c r="N797" s="918"/>
      <c r="O797" s="431"/>
      <c r="P797" s="918"/>
    </row>
    <row r="798" spans="1:16" s="17" customFormat="1" ht="33" customHeight="1">
      <c r="A798" s="909"/>
      <c r="B798" s="399">
        <v>46322</v>
      </c>
      <c r="C798" s="4" t="s">
        <v>21</v>
      </c>
      <c r="D798" s="4" t="s">
        <v>14</v>
      </c>
      <c r="E798" s="916" t="s">
        <v>7510</v>
      </c>
      <c r="F798" s="913" t="s">
        <v>2916</v>
      </c>
      <c r="G798" s="16" t="s">
        <v>2965</v>
      </c>
      <c r="H798" s="916" t="s">
        <v>7511</v>
      </c>
      <c r="I798" s="916" t="s">
        <v>7512</v>
      </c>
      <c r="J798" s="916" t="s">
        <v>7513</v>
      </c>
      <c r="K798" s="125" t="s">
        <v>15</v>
      </c>
      <c r="L798" s="16" t="s">
        <v>4639</v>
      </c>
      <c r="M798" s="8">
        <v>6</v>
      </c>
      <c r="N798" s="913"/>
      <c r="O798" s="431"/>
      <c r="P798" s="913"/>
    </row>
    <row r="799" spans="1:16" s="17" customFormat="1" ht="33" customHeight="1">
      <c r="A799" s="904"/>
      <c r="B799" s="399">
        <v>46322</v>
      </c>
      <c r="C799" s="4" t="s">
        <v>21</v>
      </c>
      <c r="D799" s="4" t="s">
        <v>14</v>
      </c>
      <c r="E799" s="921" t="s">
        <v>1787</v>
      </c>
      <c r="F799" s="918" t="s">
        <v>2817</v>
      </c>
      <c r="G799" s="16" t="s">
        <v>6284</v>
      </c>
      <c r="H799" s="921" t="s">
        <v>7427</v>
      </c>
      <c r="I799" s="918"/>
      <c r="J799" s="918" t="s">
        <v>7317</v>
      </c>
      <c r="K799" s="125" t="s">
        <v>15</v>
      </c>
      <c r="L799" s="16" t="s">
        <v>4550</v>
      </c>
      <c r="M799" s="8">
        <v>1</v>
      </c>
      <c r="N799" s="905"/>
      <c r="O799" s="431"/>
      <c r="P799" s="905"/>
    </row>
    <row r="800" spans="1:16" s="17" customFormat="1" ht="33" customHeight="1">
      <c r="A800" s="860"/>
      <c r="B800" s="399">
        <v>46322</v>
      </c>
      <c r="C800" s="4" t="s">
        <v>7443</v>
      </c>
      <c r="D800" s="4" t="s">
        <v>7444</v>
      </c>
      <c r="E800" s="869" t="s">
        <v>6551</v>
      </c>
      <c r="F800" s="865">
        <v>8263</v>
      </c>
      <c r="G800" s="16" t="s">
        <v>7445</v>
      </c>
      <c r="H800" s="921" t="s">
        <v>7610</v>
      </c>
      <c r="I800" s="865"/>
      <c r="J800" s="865" t="s">
        <v>7446</v>
      </c>
      <c r="K800" s="125" t="s">
        <v>84</v>
      </c>
      <c r="L800" s="16" t="s">
        <v>7388</v>
      </c>
      <c r="M800" s="8">
        <v>1</v>
      </c>
      <c r="N800" s="865"/>
      <c r="O800" s="431"/>
      <c r="P800" s="865"/>
    </row>
    <row r="801" spans="1:17" s="17" customFormat="1" ht="33" customHeight="1">
      <c r="A801" s="846"/>
      <c r="B801" s="399">
        <v>46322</v>
      </c>
      <c r="C801" s="4" t="s">
        <v>6707</v>
      </c>
      <c r="D801" s="4" t="s">
        <v>25</v>
      </c>
      <c r="E801" s="918" t="s">
        <v>6709</v>
      </c>
      <c r="F801" s="918">
        <v>7065</v>
      </c>
      <c r="G801" s="16" t="s">
        <v>145</v>
      </c>
      <c r="H801" s="921" t="s">
        <v>7534</v>
      </c>
      <c r="I801" s="918" t="s">
        <v>7033</v>
      </c>
      <c r="J801" s="918"/>
      <c r="K801" s="277" t="s">
        <v>209</v>
      </c>
      <c r="L801" s="16">
        <v>9080</v>
      </c>
      <c r="M801" s="18" t="s">
        <v>209</v>
      </c>
      <c r="N801" s="848"/>
      <c r="O801" s="431"/>
      <c r="P801" s="848"/>
    </row>
    <row r="802" spans="1:17" s="17" customFormat="1" ht="33" customHeight="1">
      <c r="A802" s="904"/>
      <c r="B802" s="399">
        <v>46323</v>
      </c>
      <c r="C802" s="4" t="s">
        <v>6707</v>
      </c>
      <c r="D802" s="4" t="s">
        <v>25</v>
      </c>
      <c r="E802" s="905" t="s">
        <v>6709</v>
      </c>
      <c r="F802" s="905">
        <v>7065</v>
      </c>
      <c r="G802" s="16" t="s">
        <v>145</v>
      </c>
      <c r="H802" s="907" t="s">
        <v>7534</v>
      </c>
      <c r="I802" s="905" t="s">
        <v>7536</v>
      </c>
      <c r="J802" s="905"/>
      <c r="K802" s="277" t="s">
        <v>209</v>
      </c>
      <c r="L802" s="16">
        <v>9080</v>
      </c>
      <c r="M802" s="18" t="s">
        <v>209</v>
      </c>
      <c r="N802" s="905"/>
      <c r="O802" s="431"/>
      <c r="P802" s="905"/>
    </row>
    <row r="803" spans="1:17" s="17" customFormat="1" ht="33" customHeight="1">
      <c r="A803" s="909"/>
      <c r="B803" s="399">
        <v>46324</v>
      </c>
      <c r="C803" s="4" t="s">
        <v>21</v>
      </c>
      <c r="D803" s="4" t="s">
        <v>14</v>
      </c>
      <c r="E803" s="921" t="s">
        <v>211</v>
      </c>
      <c r="F803" s="918" t="s">
        <v>2916</v>
      </c>
      <c r="G803" s="16" t="s">
        <v>2917</v>
      </c>
      <c r="H803" s="921" t="s">
        <v>7640</v>
      </c>
      <c r="I803" s="921" t="s">
        <v>7641</v>
      </c>
      <c r="J803" s="921" t="s">
        <v>7642</v>
      </c>
      <c r="K803" s="125" t="s">
        <v>15</v>
      </c>
      <c r="L803" s="16" t="s">
        <v>33</v>
      </c>
      <c r="M803" s="8">
        <v>2</v>
      </c>
      <c r="N803" s="913"/>
      <c r="O803" s="430" t="s">
        <v>7647</v>
      </c>
      <c r="P803" s="913"/>
    </row>
    <row r="804" spans="1:17" s="17" customFormat="1" ht="33" customHeight="1">
      <c r="A804" s="846"/>
      <c r="B804" s="399">
        <v>46324</v>
      </c>
      <c r="C804" s="4" t="s">
        <v>6707</v>
      </c>
      <c r="D804" s="4" t="s">
        <v>25</v>
      </c>
      <c r="E804" s="905" t="s">
        <v>6709</v>
      </c>
      <c r="F804" s="905">
        <v>7065</v>
      </c>
      <c r="G804" s="16" t="s">
        <v>145</v>
      </c>
      <c r="H804" s="907" t="s">
        <v>7534</v>
      </c>
      <c r="I804" s="905" t="s">
        <v>6312</v>
      </c>
      <c r="J804" s="905"/>
      <c r="K804" s="277" t="s">
        <v>209</v>
      </c>
      <c r="L804" s="16">
        <v>9080</v>
      </c>
      <c r="M804" s="18" t="s">
        <v>209</v>
      </c>
      <c r="N804" s="852"/>
      <c r="O804" s="430"/>
      <c r="P804" s="848"/>
    </row>
    <row r="805" spans="1:17" s="17" customFormat="1" ht="33" customHeight="1">
      <c r="A805" s="888"/>
      <c r="B805" s="399">
        <v>46324</v>
      </c>
      <c r="C805" s="4" t="s">
        <v>7624</v>
      </c>
      <c r="D805" s="4" t="s">
        <v>7625</v>
      </c>
      <c r="E805" s="891" t="s">
        <v>7632</v>
      </c>
      <c r="F805" s="889" t="s">
        <v>7633</v>
      </c>
      <c r="G805" s="16" t="s">
        <v>7634</v>
      </c>
      <c r="H805" s="891" t="s">
        <v>7635</v>
      </c>
      <c r="I805" s="889"/>
      <c r="J805" s="889" t="s">
        <v>7637</v>
      </c>
      <c r="K805" s="125" t="s">
        <v>7636</v>
      </c>
      <c r="L805" s="16" t="s">
        <v>7630</v>
      </c>
      <c r="M805" s="8"/>
      <c r="N805" s="890" t="s">
        <v>7638</v>
      </c>
      <c r="O805" s="430" t="s">
        <v>7645</v>
      </c>
      <c r="P805" s="889"/>
    </row>
    <row r="806" spans="1:17" s="17" customFormat="1" ht="33" customHeight="1">
      <c r="A806" s="846"/>
      <c r="B806" s="399">
        <v>46324</v>
      </c>
      <c r="C806" s="4" t="s">
        <v>6707</v>
      </c>
      <c r="D806" s="4" t="s">
        <v>25</v>
      </c>
      <c r="E806" s="905" t="s">
        <v>6709</v>
      </c>
      <c r="F806" s="905">
        <v>7065</v>
      </c>
      <c r="G806" s="16" t="s">
        <v>145</v>
      </c>
      <c r="H806" s="907" t="s">
        <v>7534</v>
      </c>
      <c r="I806" s="905" t="s">
        <v>7643</v>
      </c>
      <c r="J806" s="905"/>
      <c r="K806" s="277" t="s">
        <v>209</v>
      </c>
      <c r="L806" s="16">
        <v>9080</v>
      </c>
      <c r="M806" s="18" t="s">
        <v>209</v>
      </c>
      <c r="N806" s="852" t="s">
        <v>90</v>
      </c>
      <c r="O806" s="430"/>
      <c r="P806" s="848"/>
    </row>
    <row r="807" spans="1:17" s="17" customFormat="1" ht="33" customHeight="1">
      <c r="A807" s="917"/>
      <c r="B807" s="399">
        <v>46325</v>
      </c>
      <c r="C807" s="4" t="s">
        <v>21</v>
      </c>
      <c r="D807" s="4" t="s">
        <v>14</v>
      </c>
      <c r="E807" s="921" t="s">
        <v>211</v>
      </c>
      <c r="F807" s="918" t="s">
        <v>2916</v>
      </c>
      <c r="G807" s="16" t="s">
        <v>2917</v>
      </c>
      <c r="H807" s="921" t="s">
        <v>7640</v>
      </c>
      <c r="I807" s="921" t="s">
        <v>7641</v>
      </c>
      <c r="J807" s="921" t="s">
        <v>7644</v>
      </c>
      <c r="K807" s="125" t="s">
        <v>15</v>
      </c>
      <c r="L807" s="16" t="s">
        <v>33</v>
      </c>
      <c r="M807" s="8">
        <v>3</v>
      </c>
      <c r="N807" s="920"/>
      <c r="O807" s="430" t="s">
        <v>7646</v>
      </c>
      <c r="P807" s="918"/>
    </row>
    <row r="808" spans="1:17" s="17" customFormat="1" ht="33" customHeight="1">
      <c r="A808" s="846"/>
      <c r="B808" s="399">
        <v>46325</v>
      </c>
      <c r="C808" s="4" t="s">
        <v>6707</v>
      </c>
      <c r="D808" s="4" t="s">
        <v>25</v>
      </c>
      <c r="E808" s="905" t="s">
        <v>6709</v>
      </c>
      <c r="F808" s="905">
        <v>7065</v>
      </c>
      <c r="G808" s="16" t="s">
        <v>145</v>
      </c>
      <c r="H808" s="907" t="s">
        <v>7534</v>
      </c>
      <c r="I808" s="905" t="s">
        <v>6312</v>
      </c>
      <c r="J808" s="905"/>
      <c r="K808" s="277" t="s">
        <v>209</v>
      </c>
      <c r="L808" s="16">
        <v>9080</v>
      </c>
      <c r="M808" s="18" t="s">
        <v>209</v>
      </c>
      <c r="N808" s="890" t="s">
        <v>90</v>
      </c>
      <c r="O808" s="430"/>
      <c r="P808" s="848"/>
      <c r="Q808" s="17" t="s">
        <v>7449</v>
      </c>
    </row>
    <row r="809" spans="1:17" s="17" customFormat="1" ht="33" customHeight="1">
      <c r="A809" s="888"/>
      <c r="B809" s="369" t="s">
        <v>6575</v>
      </c>
      <c r="C809" s="4" t="s">
        <v>21</v>
      </c>
      <c r="D809" s="4" t="s">
        <v>7455</v>
      </c>
      <c r="E809" s="891" t="s">
        <v>7392</v>
      </c>
      <c r="F809" s="889" t="s">
        <v>3498</v>
      </c>
      <c r="G809" s="16" t="s">
        <v>23</v>
      </c>
      <c r="H809" s="891" t="s">
        <v>7456</v>
      </c>
      <c r="I809" s="889"/>
      <c r="J809" s="889"/>
      <c r="K809" s="125" t="s">
        <v>3584</v>
      </c>
      <c r="L809" s="16"/>
      <c r="M809" s="8"/>
      <c r="N809" s="887"/>
      <c r="O809" s="430" t="s">
        <v>7514</v>
      </c>
      <c r="P809" s="889"/>
    </row>
    <row r="810" spans="1:17" s="17" customFormat="1" ht="33" customHeight="1">
      <c r="A810" s="861"/>
      <c r="B810" s="369" t="s">
        <v>6575</v>
      </c>
      <c r="C810" s="4" t="s">
        <v>21</v>
      </c>
      <c r="D810" s="4" t="s">
        <v>17</v>
      </c>
      <c r="E810" s="291" t="s">
        <v>7392</v>
      </c>
      <c r="F810" s="865" t="s">
        <v>7398</v>
      </c>
      <c r="G810" s="16" t="s">
        <v>7393</v>
      </c>
      <c r="H810" s="869" t="s">
        <v>7394</v>
      </c>
      <c r="I810" s="865"/>
      <c r="J810" s="865"/>
      <c r="K810" s="125"/>
      <c r="L810" s="16"/>
      <c r="M810" s="8"/>
      <c r="N810" s="755"/>
      <c r="O810" s="428" t="s">
        <v>7515</v>
      </c>
      <c r="P810" s="865"/>
    </row>
    <row r="811" spans="1:17" s="17" customFormat="1" ht="33" customHeight="1">
      <c r="A811" s="322" t="s">
        <v>0</v>
      </c>
      <c r="B811" s="323" t="s">
        <v>1</v>
      </c>
      <c r="C811" s="322" t="s">
        <v>2</v>
      </c>
      <c r="D811" s="322" t="s">
        <v>3</v>
      </c>
      <c r="E811" s="322" t="s">
        <v>4</v>
      </c>
      <c r="F811" s="322" t="s">
        <v>5</v>
      </c>
      <c r="G811" s="322" t="s">
        <v>6</v>
      </c>
      <c r="H811" s="324" t="s">
        <v>7</v>
      </c>
      <c r="I811" s="322" t="s">
        <v>8</v>
      </c>
      <c r="J811" s="322" t="s">
        <v>9</v>
      </c>
      <c r="K811" s="325" t="s">
        <v>10</v>
      </c>
      <c r="L811" s="326" t="s">
        <v>11</v>
      </c>
      <c r="M811" s="322" t="s">
        <v>12</v>
      </c>
      <c r="N811" s="327" t="s">
        <v>13</v>
      </c>
      <c r="O811" s="427" t="s">
        <v>63</v>
      </c>
      <c r="P811" s="322" t="s">
        <v>123</v>
      </c>
    </row>
    <row r="812" spans="1:17" s="17" customFormat="1" ht="33" customHeight="1">
      <c r="A812" s="845" t="s">
        <v>7320</v>
      </c>
      <c r="B812" s="369">
        <v>46328</v>
      </c>
      <c r="C812" s="4" t="s">
        <v>7452</v>
      </c>
      <c r="D812" s="4" t="s">
        <v>7453</v>
      </c>
      <c r="E812" s="916" t="s">
        <v>7279</v>
      </c>
      <c r="F812" s="913" t="s">
        <v>7451</v>
      </c>
      <c r="G812" s="16" t="s">
        <v>7393</v>
      </c>
      <c r="H812" s="916" t="s">
        <v>7454</v>
      </c>
      <c r="I812" s="913" t="s">
        <v>7408</v>
      </c>
      <c r="J812" s="913"/>
      <c r="K812" s="125" t="s">
        <v>15</v>
      </c>
      <c r="L812" s="16" t="s">
        <v>4379</v>
      </c>
      <c r="M812" s="8">
        <v>1</v>
      </c>
      <c r="N812" s="848"/>
      <c r="O812" s="431"/>
      <c r="P812" s="848"/>
    </row>
    <row r="813" spans="1:17" s="17" customFormat="1" ht="33" customHeight="1">
      <c r="A813" s="846"/>
      <c r="B813" s="369">
        <v>46329</v>
      </c>
      <c r="C813" s="4" t="s">
        <v>21</v>
      </c>
      <c r="D813" s="4" t="s">
        <v>14</v>
      </c>
      <c r="E813" s="875" t="s">
        <v>107</v>
      </c>
      <c r="F813" s="453" t="s">
        <v>6745</v>
      </c>
      <c r="G813" s="16" t="s">
        <v>376</v>
      </c>
      <c r="H813" s="880" t="s">
        <v>7280</v>
      </c>
      <c r="I813" s="875" t="s">
        <v>120</v>
      </c>
      <c r="J813" s="875"/>
      <c r="K813" s="125" t="s">
        <v>15</v>
      </c>
      <c r="L813" s="16" t="s">
        <v>4379</v>
      </c>
      <c r="M813" s="8">
        <v>1</v>
      </c>
      <c r="N813" s="879"/>
      <c r="O813" s="430" t="s">
        <v>7281</v>
      </c>
      <c r="P813" s="848"/>
    </row>
    <row r="814" spans="1:17" s="17" customFormat="1" ht="33" customHeight="1">
      <c r="A814" s="846"/>
      <c r="B814" s="369">
        <v>46330</v>
      </c>
      <c r="C814" s="4"/>
      <c r="D814" s="4"/>
      <c r="E814" s="916"/>
      <c r="F814" s="913"/>
      <c r="G814" s="16"/>
      <c r="H814" s="916"/>
      <c r="I814" s="913"/>
      <c r="J814" s="913"/>
      <c r="K814" s="125"/>
      <c r="L814" s="16"/>
      <c r="M814" s="8"/>
      <c r="N814" s="852"/>
      <c r="O814" s="430"/>
      <c r="P814" s="848"/>
    </row>
    <row r="815" spans="1:17" s="17" customFormat="1" ht="33" customHeight="1">
      <c r="A815" s="846"/>
      <c r="B815" s="369">
        <v>46331</v>
      </c>
      <c r="C815" s="4" t="s">
        <v>21</v>
      </c>
      <c r="D815" s="4" t="s">
        <v>14</v>
      </c>
      <c r="E815" s="889" t="s">
        <v>7522</v>
      </c>
      <c r="F815" s="848" t="s">
        <v>6816</v>
      </c>
      <c r="G815" s="16" t="s">
        <v>7520</v>
      </c>
      <c r="H815" s="853" t="s">
        <v>7521</v>
      </c>
      <c r="I815" s="848"/>
      <c r="J815" s="848" t="s">
        <v>7523</v>
      </c>
      <c r="K815" s="125" t="s">
        <v>15</v>
      </c>
      <c r="L815" s="16" t="s">
        <v>33</v>
      </c>
      <c r="M815" s="8"/>
      <c r="N815" s="852"/>
      <c r="O815" s="430" t="s">
        <v>7606</v>
      </c>
      <c r="P815" s="848"/>
    </row>
    <row r="816" spans="1:17" s="17" customFormat="1" ht="33" customHeight="1">
      <c r="A816" s="846"/>
      <c r="B816" s="369">
        <v>46332</v>
      </c>
      <c r="C816" s="4"/>
      <c r="D816" s="4"/>
      <c r="E816" s="848"/>
      <c r="F816" s="848"/>
      <c r="G816" s="16"/>
      <c r="H816" s="853"/>
      <c r="I816" s="848"/>
      <c r="J816" s="853"/>
      <c r="K816" s="125"/>
      <c r="L816" s="16"/>
      <c r="M816" s="8"/>
      <c r="N816" s="852"/>
      <c r="O816" s="430"/>
      <c r="P816" s="848"/>
    </row>
    <row r="817" spans="1:16" s="17" customFormat="1" ht="33" customHeight="1">
      <c r="A817" s="847"/>
      <c r="B817" s="369">
        <v>46333</v>
      </c>
      <c r="C817" s="4"/>
      <c r="D817" s="4"/>
      <c r="E817" s="291"/>
      <c r="F817" s="848"/>
      <c r="G817" s="16"/>
      <c r="H817" s="853"/>
      <c r="I817" s="848"/>
      <c r="J817" s="848"/>
      <c r="K817" s="125"/>
      <c r="L817" s="16"/>
      <c r="M817" s="8"/>
      <c r="N817" s="848"/>
      <c r="O817" s="432"/>
      <c r="P817" s="848"/>
    </row>
    <row r="818" spans="1:16" s="17" customFormat="1" ht="33" customHeight="1">
      <c r="A818" s="322" t="s">
        <v>0</v>
      </c>
      <c r="B818" s="323" t="s">
        <v>1</v>
      </c>
      <c r="C818" s="322" t="s">
        <v>2</v>
      </c>
      <c r="D818" s="322" t="s">
        <v>3</v>
      </c>
      <c r="E818" s="322" t="s">
        <v>4</v>
      </c>
      <c r="F818" s="322" t="s">
        <v>5</v>
      </c>
      <c r="G818" s="322" t="s">
        <v>6</v>
      </c>
      <c r="H818" s="324" t="s">
        <v>7</v>
      </c>
      <c r="I818" s="322" t="s">
        <v>8</v>
      </c>
      <c r="J818" s="322" t="s">
        <v>9</v>
      </c>
      <c r="K818" s="325" t="s">
        <v>10</v>
      </c>
      <c r="L818" s="326" t="s">
        <v>11</v>
      </c>
      <c r="M818" s="322" t="s">
        <v>12</v>
      </c>
      <c r="N818" s="327" t="s">
        <v>13</v>
      </c>
      <c r="O818" s="427" t="s">
        <v>63</v>
      </c>
      <c r="P818" s="322" t="s">
        <v>123</v>
      </c>
    </row>
    <row r="819" spans="1:16" s="17" customFormat="1" ht="33" customHeight="1">
      <c r="A819" s="845" t="s">
        <v>7321</v>
      </c>
      <c r="B819" s="369">
        <v>46335</v>
      </c>
      <c r="C819" s="4" t="s">
        <v>7624</v>
      </c>
      <c r="D819" s="4" t="s">
        <v>7625</v>
      </c>
      <c r="E819" s="848" t="s">
        <v>7626</v>
      </c>
      <c r="F819" s="848" t="s">
        <v>7627</v>
      </c>
      <c r="G819" s="16" t="s">
        <v>7628</v>
      </c>
      <c r="H819" s="853" t="s">
        <v>7629</v>
      </c>
      <c r="I819" s="848" t="s">
        <v>7631</v>
      </c>
      <c r="J819" s="848"/>
      <c r="K819" s="125" t="s">
        <v>15</v>
      </c>
      <c r="L819" s="16" t="s">
        <v>7630</v>
      </c>
      <c r="M819" s="8">
        <v>1</v>
      </c>
      <c r="N819" s="848"/>
      <c r="O819" s="431"/>
      <c r="P819" s="848"/>
    </row>
    <row r="820" spans="1:16" s="17" customFormat="1" ht="40.5">
      <c r="A820" s="846"/>
      <c r="B820" s="369">
        <v>46336</v>
      </c>
      <c r="C820" s="4" t="s">
        <v>7538</v>
      </c>
      <c r="D820" s="4" t="s">
        <v>7539</v>
      </c>
      <c r="E820" s="905" t="s">
        <v>7540</v>
      </c>
      <c r="F820" s="905" t="s">
        <v>7541</v>
      </c>
      <c r="G820" s="16" t="s">
        <v>7542</v>
      </c>
      <c r="H820" s="907" t="s">
        <v>7543</v>
      </c>
      <c r="I820" s="848" t="s">
        <v>7535</v>
      </c>
      <c r="J820" s="848"/>
      <c r="K820" s="125" t="s">
        <v>7544</v>
      </c>
      <c r="L820" s="16" t="s">
        <v>7545</v>
      </c>
      <c r="M820" s="8">
        <v>2</v>
      </c>
      <c r="N820" s="848"/>
      <c r="O820" s="431"/>
      <c r="P820" s="848"/>
    </row>
    <row r="821" spans="1:16" s="17" customFormat="1" ht="33" customHeight="1">
      <c r="A821" s="846"/>
      <c r="B821" s="369">
        <v>46337</v>
      </c>
      <c r="C821" s="4"/>
      <c r="D821" s="4"/>
      <c r="E821" s="848"/>
      <c r="F821" s="848"/>
      <c r="G821" s="16"/>
      <c r="H821" s="853"/>
      <c r="I821" s="848"/>
      <c r="J821" s="848"/>
      <c r="K821" s="125"/>
      <c r="L821" s="16"/>
      <c r="M821" s="8"/>
      <c r="N821" s="852"/>
      <c r="O821" s="430"/>
      <c r="P821" s="848"/>
    </row>
    <row r="822" spans="1:16" s="17" customFormat="1" ht="33" customHeight="1">
      <c r="A822" s="846"/>
      <c r="B822" s="369">
        <v>46338</v>
      </c>
      <c r="C822" s="4" t="s">
        <v>7496</v>
      </c>
      <c r="D822" s="4" t="s">
        <v>7497</v>
      </c>
      <c r="E822" s="848" t="s">
        <v>1787</v>
      </c>
      <c r="F822" s="848" t="s">
        <v>7498</v>
      </c>
      <c r="G822" s="16" t="s">
        <v>7499</v>
      </c>
      <c r="H822" s="853" t="s">
        <v>7500</v>
      </c>
      <c r="I822" s="848" t="s">
        <v>7501</v>
      </c>
      <c r="J822" s="848"/>
      <c r="K822" s="125" t="s">
        <v>7502</v>
      </c>
      <c r="L822" s="16" t="s">
        <v>7503</v>
      </c>
      <c r="M822" s="8">
        <v>1</v>
      </c>
      <c r="N822" s="852"/>
      <c r="O822" s="430"/>
      <c r="P822" s="848"/>
    </row>
    <row r="823" spans="1:16" s="17" customFormat="1" ht="33" customHeight="1">
      <c r="A823" s="904"/>
      <c r="B823" s="369">
        <v>46338</v>
      </c>
      <c r="C823" s="4" t="s">
        <v>24</v>
      </c>
      <c r="D823" s="4" t="s">
        <v>14</v>
      </c>
      <c r="E823" s="905" t="s">
        <v>107</v>
      </c>
      <c r="F823" s="905" t="s">
        <v>2959</v>
      </c>
      <c r="G823" s="16" t="s">
        <v>7528</v>
      </c>
      <c r="H823" s="907" t="s">
        <v>7531</v>
      </c>
      <c r="I823" s="905"/>
      <c r="J823" s="905" t="s">
        <v>255</v>
      </c>
      <c r="K823" s="125"/>
      <c r="L823" s="16"/>
      <c r="M823" s="8"/>
      <c r="N823" s="906"/>
      <c r="O823" s="430"/>
      <c r="P823" s="905"/>
    </row>
    <row r="824" spans="1:16" s="17" customFormat="1" ht="33" customHeight="1">
      <c r="A824" s="917"/>
      <c r="B824" s="369">
        <v>46339</v>
      </c>
      <c r="C824" s="4" t="s">
        <v>21</v>
      </c>
      <c r="D824" s="4" t="s">
        <v>14</v>
      </c>
      <c r="E824" s="918" t="s">
        <v>107</v>
      </c>
      <c r="F824" s="918" t="s">
        <v>2959</v>
      </c>
      <c r="G824" s="16" t="s">
        <v>143</v>
      </c>
      <c r="H824" s="921" t="s">
        <v>7648</v>
      </c>
      <c r="I824" s="918"/>
      <c r="J824" s="918"/>
      <c r="K824" s="125"/>
      <c r="L824" s="16"/>
      <c r="M824" s="8"/>
      <c r="N824" s="920"/>
      <c r="O824" s="430"/>
      <c r="P824" s="918"/>
    </row>
    <row r="825" spans="1:16" s="17" customFormat="1" ht="33" customHeight="1">
      <c r="A825" s="904"/>
      <c r="B825" s="369">
        <v>46339</v>
      </c>
      <c r="C825" s="4" t="s">
        <v>24</v>
      </c>
      <c r="D825" s="4" t="s">
        <v>14</v>
      </c>
      <c r="E825" s="905" t="s">
        <v>107</v>
      </c>
      <c r="F825" s="905" t="s">
        <v>2959</v>
      </c>
      <c r="G825" s="16" t="s">
        <v>7529</v>
      </c>
      <c r="H825" s="907" t="s">
        <v>7532</v>
      </c>
      <c r="I825" s="905"/>
      <c r="J825" s="905" t="s">
        <v>255</v>
      </c>
      <c r="K825" s="125"/>
      <c r="L825" s="16"/>
      <c r="M825" s="8"/>
      <c r="N825" s="906"/>
      <c r="O825" s="430"/>
      <c r="P825" s="905"/>
    </row>
    <row r="826" spans="1:16" s="17" customFormat="1" ht="33" customHeight="1">
      <c r="A826" s="846"/>
      <c r="B826" s="369">
        <v>46339</v>
      </c>
      <c r="C826" s="4" t="s">
        <v>24</v>
      </c>
      <c r="D826" s="4" t="s">
        <v>14</v>
      </c>
      <c r="E826" s="905" t="s">
        <v>107</v>
      </c>
      <c r="F826" s="905" t="s">
        <v>2959</v>
      </c>
      <c r="G826" s="16" t="s">
        <v>7530</v>
      </c>
      <c r="H826" s="853" t="s">
        <v>7533</v>
      </c>
      <c r="I826" s="848"/>
      <c r="J826" s="853"/>
      <c r="K826" s="125"/>
      <c r="L826" s="16"/>
      <c r="M826" s="8"/>
      <c r="N826" s="852"/>
      <c r="O826" s="430"/>
      <c r="P826" s="848"/>
    </row>
    <row r="827" spans="1:16" s="17" customFormat="1" ht="33" customHeight="1">
      <c r="A827" s="847"/>
      <c r="B827" s="369">
        <v>46340</v>
      </c>
      <c r="C827" s="4"/>
      <c r="D827" s="4"/>
      <c r="E827" s="291"/>
      <c r="F827" s="848"/>
      <c r="G827" s="16"/>
      <c r="H827" s="853"/>
      <c r="I827" s="848"/>
      <c r="J827" s="848"/>
      <c r="K827" s="125"/>
      <c r="L827" s="16"/>
      <c r="M827" s="8"/>
      <c r="N827" s="848"/>
      <c r="O827" s="432"/>
      <c r="P827" s="848"/>
    </row>
    <row r="828" spans="1:16" s="17" customFormat="1" ht="33" customHeight="1">
      <c r="A828" s="322" t="s">
        <v>0</v>
      </c>
      <c r="B828" s="323" t="s">
        <v>1</v>
      </c>
      <c r="C828" s="322" t="s">
        <v>2</v>
      </c>
      <c r="D828" s="322" t="s">
        <v>3</v>
      </c>
      <c r="E828" s="322" t="s">
        <v>4</v>
      </c>
      <c r="F828" s="322" t="s">
        <v>5</v>
      </c>
      <c r="G828" s="322" t="s">
        <v>6</v>
      </c>
      <c r="H828" s="324" t="s">
        <v>7</v>
      </c>
      <c r="I828" s="322" t="s">
        <v>8</v>
      </c>
      <c r="J828" s="322" t="s">
        <v>9</v>
      </c>
      <c r="K828" s="325" t="s">
        <v>10</v>
      </c>
      <c r="L828" s="326" t="s">
        <v>11</v>
      </c>
      <c r="M828" s="322" t="s">
        <v>12</v>
      </c>
      <c r="N828" s="327" t="s">
        <v>13</v>
      </c>
      <c r="O828" s="427" t="s">
        <v>63</v>
      </c>
      <c r="P828" s="322" t="s">
        <v>123</v>
      </c>
    </row>
    <row r="829" spans="1:16" s="17" customFormat="1" ht="33" customHeight="1">
      <c r="A829" s="845" t="s">
        <v>7322</v>
      </c>
      <c r="B829" s="369">
        <v>46342</v>
      </c>
      <c r="C829" s="4" t="s">
        <v>138</v>
      </c>
      <c r="D829" s="4" t="s">
        <v>30</v>
      </c>
      <c r="E829" s="865" t="s">
        <v>107</v>
      </c>
      <c r="F829" s="865" t="s">
        <v>3345</v>
      </c>
      <c r="G829" s="16" t="s">
        <v>67</v>
      </c>
      <c r="H829" s="869" t="s">
        <v>7329</v>
      </c>
      <c r="I829" s="865"/>
      <c r="J829" s="865" t="s">
        <v>7317</v>
      </c>
      <c r="K829" s="125" t="s">
        <v>84</v>
      </c>
      <c r="L829" s="16" t="s">
        <v>4550</v>
      </c>
      <c r="M829" s="8"/>
      <c r="N829" s="848"/>
      <c r="O829" s="431"/>
      <c r="P829" s="848"/>
    </row>
    <row r="830" spans="1:16" s="17" customFormat="1" ht="33" customHeight="1">
      <c r="A830" s="846"/>
      <c r="B830" s="369">
        <v>46343</v>
      </c>
      <c r="C830" s="4" t="s">
        <v>138</v>
      </c>
      <c r="D830" s="4" t="s">
        <v>30</v>
      </c>
      <c r="E830" s="865" t="s">
        <v>107</v>
      </c>
      <c r="F830" s="865" t="s">
        <v>3345</v>
      </c>
      <c r="G830" s="16" t="s">
        <v>67</v>
      </c>
      <c r="H830" s="869" t="s">
        <v>7329</v>
      </c>
      <c r="I830" s="865"/>
      <c r="J830" s="865" t="s">
        <v>7317</v>
      </c>
      <c r="K830" s="125" t="s">
        <v>84</v>
      </c>
      <c r="L830" s="16" t="s">
        <v>4550</v>
      </c>
      <c r="M830" s="8"/>
      <c r="N830" s="848"/>
      <c r="O830" s="431"/>
      <c r="P830" s="848"/>
    </row>
    <row r="831" spans="1:16" s="17" customFormat="1" ht="33" customHeight="1">
      <c r="A831" s="846"/>
      <c r="B831" s="369">
        <v>46344</v>
      </c>
      <c r="C831" s="4" t="s">
        <v>138</v>
      </c>
      <c r="D831" s="4" t="s">
        <v>30</v>
      </c>
      <c r="E831" s="865" t="s">
        <v>107</v>
      </c>
      <c r="F831" s="865" t="s">
        <v>3345</v>
      </c>
      <c r="G831" s="16" t="s">
        <v>67</v>
      </c>
      <c r="H831" s="869" t="s">
        <v>7329</v>
      </c>
      <c r="I831" s="865"/>
      <c r="J831" s="865" t="s">
        <v>7317</v>
      </c>
      <c r="K831" s="125" t="s">
        <v>84</v>
      </c>
      <c r="L831" s="16" t="s">
        <v>4550</v>
      </c>
      <c r="M831" s="8"/>
      <c r="N831" s="852"/>
      <c r="O831" s="430"/>
      <c r="P831" s="848"/>
    </row>
    <row r="832" spans="1:16" s="17" customFormat="1" ht="33" customHeight="1">
      <c r="A832" s="846"/>
      <c r="B832" s="369">
        <v>46345</v>
      </c>
      <c r="C832" s="4" t="s">
        <v>138</v>
      </c>
      <c r="D832" s="4" t="s">
        <v>30</v>
      </c>
      <c r="E832" s="865" t="s">
        <v>107</v>
      </c>
      <c r="F832" s="865" t="s">
        <v>3345</v>
      </c>
      <c r="G832" s="16" t="s">
        <v>67</v>
      </c>
      <c r="H832" s="869" t="s">
        <v>7329</v>
      </c>
      <c r="I832" s="865"/>
      <c r="J832" s="865" t="s">
        <v>7317</v>
      </c>
      <c r="K832" s="125" t="s">
        <v>84</v>
      </c>
      <c r="L832" s="16" t="s">
        <v>4550</v>
      </c>
      <c r="M832" s="8"/>
      <c r="N832" s="852"/>
      <c r="O832" s="430"/>
      <c r="P832" s="848"/>
    </row>
    <row r="833" spans="1:16" s="17" customFormat="1" ht="33" customHeight="1">
      <c r="A833" s="846"/>
      <c r="B833" s="369">
        <v>46346</v>
      </c>
      <c r="C833" s="4"/>
      <c r="D833" s="4"/>
      <c r="E833" s="848"/>
      <c r="F833" s="848"/>
      <c r="G833" s="16"/>
      <c r="H833" s="853"/>
      <c r="I833" s="848"/>
      <c r="J833" s="853"/>
      <c r="K833" s="125"/>
      <c r="L833" s="16"/>
      <c r="M833" s="8"/>
      <c r="N833" s="852"/>
      <c r="O833" s="430"/>
      <c r="P833" s="848"/>
    </row>
    <row r="834" spans="1:16" s="17" customFormat="1" ht="33" customHeight="1">
      <c r="A834" s="847"/>
      <c r="B834" s="369">
        <v>46347</v>
      </c>
      <c r="C834" s="4"/>
      <c r="D834" s="4"/>
      <c r="E834" s="291"/>
      <c r="F834" s="848"/>
      <c r="G834" s="16"/>
      <c r="H834" s="853"/>
      <c r="I834" s="848"/>
      <c r="J834" s="848"/>
      <c r="K834" s="125"/>
      <c r="L834" s="16"/>
      <c r="M834" s="8"/>
      <c r="N834" s="848"/>
      <c r="O834" s="432"/>
      <c r="P834" s="848"/>
    </row>
    <row r="835" spans="1:16" s="17" customFormat="1" ht="33" customHeight="1">
      <c r="A835" s="322" t="s">
        <v>0</v>
      </c>
      <c r="B835" s="323" t="s">
        <v>1</v>
      </c>
      <c r="C835" s="322" t="s">
        <v>2</v>
      </c>
      <c r="D835" s="322" t="s">
        <v>3</v>
      </c>
      <c r="E835" s="322" t="s">
        <v>4</v>
      </c>
      <c r="F835" s="322" t="s">
        <v>5</v>
      </c>
      <c r="G835" s="322" t="s">
        <v>6</v>
      </c>
      <c r="H835" s="324" t="s">
        <v>7</v>
      </c>
      <c r="I835" s="322" t="s">
        <v>8</v>
      </c>
      <c r="J835" s="322" t="s">
        <v>9</v>
      </c>
      <c r="K835" s="325" t="s">
        <v>10</v>
      </c>
      <c r="L835" s="326" t="s">
        <v>11</v>
      </c>
      <c r="M835" s="322" t="s">
        <v>12</v>
      </c>
      <c r="N835" s="327" t="s">
        <v>13</v>
      </c>
      <c r="O835" s="427" t="s">
        <v>63</v>
      </c>
      <c r="P835" s="322" t="s">
        <v>123</v>
      </c>
    </row>
    <row r="836" spans="1:16" s="17" customFormat="1" ht="33" customHeight="1">
      <c r="A836" s="845" t="s">
        <v>7323</v>
      </c>
      <c r="B836" s="369">
        <v>46349</v>
      </c>
      <c r="C836" s="4"/>
      <c r="D836" s="4"/>
      <c r="E836" s="848"/>
      <c r="F836" s="848"/>
      <c r="G836" s="16"/>
      <c r="H836" s="853"/>
      <c r="I836" s="848"/>
      <c r="J836" s="848"/>
      <c r="K836" s="125"/>
      <c r="L836" s="16"/>
      <c r="M836" s="8"/>
      <c r="N836" s="848"/>
      <c r="O836" s="431"/>
      <c r="P836" s="848"/>
    </row>
    <row r="837" spans="1:16" s="17" customFormat="1" ht="33" customHeight="1">
      <c r="A837" s="846"/>
      <c r="B837" s="369">
        <v>46350</v>
      </c>
      <c r="C837" s="4"/>
      <c r="D837" s="4"/>
      <c r="E837" s="848"/>
      <c r="F837" s="848"/>
      <c r="G837" s="16"/>
      <c r="H837" s="853"/>
      <c r="I837" s="848"/>
      <c r="J837" s="848"/>
      <c r="K837" s="125"/>
      <c r="L837" s="16"/>
      <c r="M837" s="8"/>
      <c r="N837" s="848"/>
      <c r="O837" s="431"/>
      <c r="P837" s="848"/>
    </row>
    <row r="838" spans="1:16" s="17" customFormat="1" ht="33" customHeight="1">
      <c r="A838" s="846"/>
      <c r="B838" s="369">
        <v>46351</v>
      </c>
      <c r="C838" s="4"/>
      <c r="D838" s="4"/>
      <c r="E838" s="848"/>
      <c r="F838" s="848"/>
      <c r="G838" s="16"/>
      <c r="H838" s="853"/>
      <c r="I838" s="848"/>
      <c r="J838" s="848"/>
      <c r="K838" s="125"/>
      <c r="L838" s="16"/>
      <c r="M838" s="8"/>
      <c r="N838" s="852"/>
      <c r="O838" s="430"/>
      <c r="P838" s="848"/>
    </row>
    <row r="839" spans="1:16" s="17" customFormat="1" ht="33" customHeight="1">
      <c r="A839" s="846"/>
      <c r="B839" s="369">
        <v>46352</v>
      </c>
      <c r="C839" s="4"/>
      <c r="D839" s="4"/>
      <c r="E839" s="848"/>
      <c r="F839" s="848"/>
      <c r="G839" s="16"/>
      <c r="H839" s="853"/>
      <c r="I839" s="848"/>
      <c r="J839" s="848"/>
      <c r="K839" s="125"/>
      <c r="L839" s="16"/>
      <c r="M839" s="8"/>
      <c r="N839" s="852"/>
      <c r="O839" s="430"/>
      <c r="P839" s="848"/>
    </row>
    <row r="840" spans="1:16" s="17" customFormat="1" ht="33" customHeight="1">
      <c r="A840" s="846"/>
      <c r="B840" s="369">
        <v>46353</v>
      </c>
      <c r="C840" s="4"/>
      <c r="D840" s="4"/>
      <c r="E840" s="848"/>
      <c r="F840" s="848"/>
      <c r="G840" s="16"/>
      <c r="H840" s="853"/>
      <c r="I840" s="848"/>
      <c r="J840" s="853"/>
      <c r="K840" s="125"/>
      <c r="L840" s="16"/>
      <c r="M840" s="8"/>
      <c r="N840" s="852"/>
      <c r="O840" s="430"/>
      <c r="P840" s="848"/>
    </row>
    <row r="841" spans="1:16" s="17" customFormat="1" ht="33" customHeight="1">
      <c r="A841" s="847"/>
      <c r="B841" s="369">
        <v>46354</v>
      </c>
      <c r="C841" s="4"/>
      <c r="D841" s="4"/>
      <c r="E841" s="291"/>
      <c r="F841" s="848"/>
      <c r="G841" s="16"/>
      <c r="H841" s="853"/>
      <c r="I841" s="848"/>
      <c r="J841" s="848"/>
      <c r="K841" s="125"/>
      <c r="L841" s="16"/>
      <c r="M841" s="8"/>
      <c r="N841" s="848"/>
      <c r="O841" s="432"/>
      <c r="P841" s="848"/>
    </row>
    <row r="842" spans="1:16" s="17" customFormat="1" ht="33" customHeight="1">
      <c r="A842" s="322" t="s">
        <v>0</v>
      </c>
      <c r="B842" s="323" t="s">
        <v>1</v>
      </c>
      <c r="C842" s="322" t="s">
        <v>2</v>
      </c>
      <c r="D842" s="322" t="s">
        <v>3</v>
      </c>
      <c r="E842" s="322" t="s">
        <v>4</v>
      </c>
      <c r="F842" s="322" t="s">
        <v>5</v>
      </c>
      <c r="G842" s="322" t="s">
        <v>6</v>
      </c>
      <c r="H842" s="324" t="s">
        <v>7</v>
      </c>
      <c r="I842" s="322" t="s">
        <v>8</v>
      </c>
      <c r="J842" s="322" t="s">
        <v>9</v>
      </c>
      <c r="K842" s="325" t="s">
        <v>10</v>
      </c>
      <c r="L842" s="326" t="s">
        <v>11</v>
      </c>
      <c r="M842" s="322" t="s">
        <v>12</v>
      </c>
      <c r="N842" s="327" t="s">
        <v>13</v>
      </c>
      <c r="O842" s="427" t="s">
        <v>63</v>
      </c>
      <c r="P842" s="322" t="s">
        <v>123</v>
      </c>
    </row>
    <row r="843" spans="1:16" s="17" customFormat="1" ht="33" customHeight="1">
      <c r="A843" s="845" t="s">
        <v>7324</v>
      </c>
      <c r="B843" s="369">
        <v>46356</v>
      </c>
      <c r="C843" s="4"/>
      <c r="D843" s="4"/>
      <c r="E843" s="848"/>
      <c r="F843" s="848"/>
      <c r="G843" s="16"/>
      <c r="H843" s="853"/>
      <c r="I843" s="848"/>
      <c r="J843" s="848"/>
      <c r="K843" s="125"/>
      <c r="L843" s="16"/>
      <c r="M843" s="8"/>
      <c r="N843" s="848"/>
      <c r="O843" s="431"/>
      <c r="P843" s="848"/>
    </row>
    <row r="844" spans="1:16" s="17" customFormat="1" ht="33" customHeight="1">
      <c r="A844" s="846"/>
      <c r="B844" s="369">
        <v>46357</v>
      </c>
      <c r="C844" s="4"/>
      <c r="D844" s="4"/>
      <c r="E844" s="848"/>
      <c r="F844" s="848"/>
      <c r="G844" s="16"/>
      <c r="H844" s="853"/>
      <c r="I844" s="848"/>
      <c r="J844" s="848"/>
      <c r="K844" s="125"/>
      <c r="L844" s="16"/>
      <c r="M844" s="8"/>
      <c r="N844" s="848"/>
      <c r="O844" s="431"/>
      <c r="P844" s="848"/>
    </row>
    <row r="845" spans="1:16" s="17" customFormat="1" ht="33" customHeight="1">
      <c r="A845" s="846"/>
      <c r="B845" s="369">
        <v>46358</v>
      </c>
      <c r="C845" s="4"/>
      <c r="D845" s="4"/>
      <c r="E845" s="848"/>
      <c r="F845" s="848"/>
      <c r="G845" s="16"/>
      <c r="H845" s="853"/>
      <c r="I845" s="848"/>
      <c r="J845" s="848"/>
      <c r="K845" s="125"/>
      <c r="L845" s="16"/>
      <c r="M845" s="8"/>
      <c r="N845" s="852"/>
      <c r="O845" s="430"/>
      <c r="P845" s="848"/>
    </row>
    <row r="846" spans="1:16" s="17" customFormat="1" ht="33" customHeight="1">
      <c r="A846" s="846"/>
      <c r="B846" s="369">
        <v>46359</v>
      </c>
      <c r="C846" s="4"/>
      <c r="D846" s="4"/>
      <c r="E846" s="848"/>
      <c r="F846" s="848"/>
      <c r="G846" s="16"/>
      <c r="H846" s="853"/>
      <c r="I846" s="848"/>
      <c r="J846" s="848"/>
      <c r="K846" s="125"/>
      <c r="L846" s="16"/>
      <c r="M846" s="8"/>
      <c r="N846" s="852"/>
      <c r="O846" s="430"/>
      <c r="P846" s="848"/>
    </row>
    <row r="847" spans="1:16" s="17" customFormat="1" ht="33" customHeight="1">
      <c r="A847" s="846"/>
      <c r="B847" s="369">
        <v>46360</v>
      </c>
      <c r="C847" s="4"/>
      <c r="D847" s="4"/>
      <c r="E847" s="848"/>
      <c r="F847" s="848"/>
      <c r="G847" s="16"/>
      <c r="H847" s="853"/>
      <c r="I847" s="848"/>
      <c r="J847" s="853"/>
      <c r="K847" s="125"/>
      <c r="L847" s="16"/>
      <c r="M847" s="8"/>
      <c r="N847" s="852"/>
      <c r="O847" s="430"/>
      <c r="P847" s="848"/>
    </row>
    <row r="848" spans="1:16" s="17" customFormat="1" ht="33" customHeight="1">
      <c r="A848" s="847"/>
      <c r="B848" s="369">
        <v>46361</v>
      </c>
      <c r="C848" s="4"/>
      <c r="D848" s="4"/>
      <c r="E848" s="291"/>
      <c r="F848" s="848"/>
      <c r="G848" s="16"/>
      <c r="H848" s="853"/>
      <c r="I848" s="848"/>
      <c r="J848" s="848"/>
      <c r="K848" s="125"/>
      <c r="L848" s="16"/>
      <c r="M848" s="8"/>
      <c r="N848" s="848"/>
      <c r="O848" s="432"/>
      <c r="P848" s="848"/>
    </row>
    <row r="849" spans="1:16" s="17" customFormat="1" ht="33" customHeight="1">
      <c r="A849" s="322" t="s">
        <v>0</v>
      </c>
      <c r="B849" s="323" t="s">
        <v>1</v>
      </c>
      <c r="C849" s="322" t="s">
        <v>2</v>
      </c>
      <c r="D849" s="322" t="s">
        <v>3</v>
      </c>
      <c r="E849" s="322" t="s">
        <v>4</v>
      </c>
      <c r="F849" s="322" t="s">
        <v>5</v>
      </c>
      <c r="G849" s="322" t="s">
        <v>6</v>
      </c>
      <c r="H849" s="324" t="s">
        <v>7</v>
      </c>
      <c r="I849" s="322" t="s">
        <v>8</v>
      </c>
      <c r="J849" s="322" t="s">
        <v>9</v>
      </c>
      <c r="K849" s="325" t="s">
        <v>10</v>
      </c>
      <c r="L849" s="326" t="s">
        <v>11</v>
      </c>
      <c r="M849" s="322" t="s">
        <v>12</v>
      </c>
      <c r="N849" s="327" t="s">
        <v>13</v>
      </c>
      <c r="O849" s="427" t="s">
        <v>63</v>
      </c>
      <c r="P849" s="322" t="s">
        <v>123</v>
      </c>
    </row>
    <row r="850" spans="1:16" s="17" customFormat="1" ht="33" customHeight="1">
      <c r="A850" s="845" t="s">
        <v>7325</v>
      </c>
      <c r="B850" s="369">
        <v>46363</v>
      </c>
      <c r="C850" s="4" t="s">
        <v>7599</v>
      </c>
      <c r="D850" s="4" t="s">
        <v>7600</v>
      </c>
      <c r="E850" s="848" t="s">
        <v>7601</v>
      </c>
      <c r="F850" s="848" t="s">
        <v>7602</v>
      </c>
      <c r="G850" s="16" t="s">
        <v>7603</v>
      </c>
      <c r="H850" s="853" t="s">
        <v>7604</v>
      </c>
      <c r="I850" s="848"/>
      <c r="J850" s="848"/>
      <c r="K850" s="125"/>
      <c r="L850" s="16"/>
      <c r="M850" s="8"/>
      <c r="N850" s="848"/>
      <c r="O850" s="431" t="s">
        <v>7605</v>
      </c>
      <c r="P850" s="848"/>
    </row>
    <row r="851" spans="1:16" s="17" customFormat="1" ht="33" customHeight="1">
      <c r="A851" s="846"/>
      <c r="B851" s="369">
        <v>46364</v>
      </c>
      <c r="C851" s="4"/>
      <c r="D851" s="4"/>
      <c r="E851" s="848"/>
      <c r="F851" s="848"/>
      <c r="G851" s="16"/>
      <c r="H851" s="853"/>
      <c r="I851" s="848"/>
      <c r="J851" s="848"/>
      <c r="K851" s="125"/>
      <c r="L851" s="16"/>
      <c r="M851" s="8"/>
      <c r="N851" s="848"/>
      <c r="O851" s="431"/>
      <c r="P851" s="848"/>
    </row>
    <row r="852" spans="1:16" s="17" customFormat="1" ht="33" customHeight="1">
      <c r="A852" s="846"/>
      <c r="B852" s="369">
        <v>46365</v>
      </c>
      <c r="C852" s="4"/>
      <c r="D852" s="4"/>
      <c r="E852" s="848"/>
      <c r="F852" s="848"/>
      <c r="G852" s="16"/>
      <c r="H852" s="853"/>
      <c r="I852" s="848"/>
      <c r="J852" s="848"/>
      <c r="K852" s="125"/>
      <c r="L852" s="16"/>
      <c r="M852" s="8"/>
      <c r="N852" s="852"/>
      <c r="O852" s="430"/>
      <c r="P852" s="848"/>
    </row>
    <row r="853" spans="1:16" s="17" customFormat="1" ht="33" customHeight="1">
      <c r="A853" s="846"/>
      <c r="B853" s="369">
        <v>46366</v>
      </c>
      <c r="C853" s="4"/>
      <c r="D853" s="4"/>
      <c r="E853" s="848"/>
      <c r="F853" s="848"/>
      <c r="G853" s="16"/>
      <c r="H853" s="853"/>
      <c r="I853" s="848"/>
      <c r="J853" s="848"/>
      <c r="K853" s="125"/>
      <c r="L853" s="16"/>
      <c r="M853" s="8"/>
      <c r="N853" s="852"/>
      <c r="O853" s="430"/>
      <c r="P853" s="848"/>
    </row>
    <row r="854" spans="1:16" s="17" customFormat="1" ht="33" customHeight="1">
      <c r="A854" s="846"/>
      <c r="B854" s="369">
        <v>46367</v>
      </c>
      <c r="C854" s="4"/>
      <c r="D854" s="4"/>
      <c r="E854" s="848"/>
      <c r="F854" s="848"/>
      <c r="G854" s="16"/>
      <c r="H854" s="853"/>
      <c r="I854" s="848"/>
      <c r="J854" s="853"/>
      <c r="K854" s="125"/>
      <c r="L854" s="16"/>
      <c r="M854" s="8"/>
      <c r="N854" s="852"/>
      <c r="O854" s="430"/>
      <c r="P854" s="848"/>
    </row>
    <row r="855" spans="1:16" s="17" customFormat="1" ht="33" customHeight="1">
      <c r="A855" s="847"/>
      <c r="B855" s="369">
        <v>46368</v>
      </c>
      <c r="C855" s="4"/>
      <c r="D855" s="4"/>
      <c r="E855" s="291"/>
      <c r="F855" s="848"/>
      <c r="G855" s="16"/>
      <c r="H855" s="853"/>
      <c r="I855" s="848"/>
      <c r="J855" s="848"/>
      <c r="K855" s="125"/>
      <c r="L855" s="16"/>
      <c r="M855" s="8"/>
      <c r="N855" s="848"/>
      <c r="O855" s="432"/>
      <c r="P855" s="848"/>
    </row>
    <row r="856" spans="1:16" s="17" customFormat="1" ht="33" customHeight="1">
      <c r="A856" s="322" t="s">
        <v>0</v>
      </c>
      <c r="B856" s="323" t="s">
        <v>1</v>
      </c>
      <c r="C856" s="322" t="s">
        <v>2</v>
      </c>
      <c r="D856" s="322" t="s">
        <v>3</v>
      </c>
      <c r="E856" s="322" t="s">
        <v>4</v>
      </c>
      <c r="F856" s="322" t="s">
        <v>5</v>
      </c>
      <c r="G856" s="322" t="s">
        <v>6</v>
      </c>
      <c r="H856" s="324" t="s">
        <v>7</v>
      </c>
      <c r="I856" s="322" t="s">
        <v>8</v>
      </c>
      <c r="J856" s="322" t="s">
        <v>9</v>
      </c>
      <c r="K856" s="325" t="s">
        <v>10</v>
      </c>
      <c r="L856" s="326" t="s">
        <v>11</v>
      </c>
      <c r="M856" s="322" t="s">
        <v>12</v>
      </c>
      <c r="N856" s="327" t="s">
        <v>13</v>
      </c>
      <c r="O856" s="427" t="s">
        <v>63</v>
      </c>
      <c r="P856" s="322" t="s">
        <v>123</v>
      </c>
    </row>
    <row r="857" spans="1:16" s="17" customFormat="1" ht="33" customHeight="1">
      <c r="A857" s="845" t="s">
        <v>7326</v>
      </c>
      <c r="B857" s="369">
        <v>46370</v>
      </c>
      <c r="C857" s="4"/>
      <c r="D857" s="4"/>
      <c r="E857" s="848"/>
      <c r="F857" s="848"/>
      <c r="G857" s="16"/>
      <c r="H857" s="853"/>
      <c r="I857" s="848"/>
      <c r="J857" s="848"/>
      <c r="K857" s="125"/>
      <c r="L857" s="16"/>
      <c r="M857" s="8"/>
      <c r="N857" s="848"/>
      <c r="O857" s="431"/>
      <c r="P857" s="848"/>
    </row>
    <row r="858" spans="1:16" s="17" customFormat="1" ht="33" customHeight="1">
      <c r="A858" s="846"/>
      <c r="B858" s="369">
        <v>46371</v>
      </c>
      <c r="C858" s="4"/>
      <c r="D858" s="4"/>
      <c r="E858" s="848"/>
      <c r="F858" s="848"/>
      <c r="G858" s="16"/>
      <c r="H858" s="853"/>
      <c r="I858" s="848"/>
      <c r="J858" s="848"/>
      <c r="K858" s="125"/>
      <c r="L858" s="16"/>
      <c r="M858" s="8"/>
      <c r="N858" s="848"/>
      <c r="O858" s="431"/>
      <c r="P858" s="848"/>
    </row>
    <row r="859" spans="1:16" s="17" customFormat="1" ht="33" customHeight="1">
      <c r="A859" s="846"/>
      <c r="B859" s="369">
        <v>46372</v>
      </c>
      <c r="C859" s="4"/>
      <c r="D859" s="4"/>
      <c r="E859" s="848"/>
      <c r="F859" s="848"/>
      <c r="G859" s="16"/>
      <c r="H859" s="853"/>
      <c r="I859" s="848"/>
      <c r="J859" s="848"/>
      <c r="K859" s="125"/>
      <c r="L859" s="16"/>
      <c r="M859" s="8"/>
      <c r="N859" s="852"/>
      <c r="O859" s="430"/>
      <c r="P859" s="848"/>
    </row>
    <row r="860" spans="1:16" s="17" customFormat="1" ht="33" customHeight="1">
      <c r="A860" s="846"/>
      <c r="B860" s="369">
        <v>46373</v>
      </c>
      <c r="C860" s="4"/>
      <c r="D860" s="4"/>
      <c r="E860" s="848"/>
      <c r="F860" s="848"/>
      <c r="G860" s="16"/>
      <c r="H860" s="853"/>
      <c r="I860" s="848"/>
      <c r="J860" s="848"/>
      <c r="K860" s="125"/>
      <c r="L860" s="16"/>
      <c r="M860" s="8"/>
      <c r="N860" s="852"/>
      <c r="O860" s="430"/>
      <c r="P860" s="848"/>
    </row>
    <row r="861" spans="1:16" s="17" customFormat="1" ht="33" customHeight="1">
      <c r="A861" s="846"/>
      <c r="B861" s="369">
        <v>46374</v>
      </c>
      <c r="C861" s="4"/>
      <c r="D861" s="4"/>
      <c r="E861" s="848"/>
      <c r="F861" s="848"/>
      <c r="G861" s="16"/>
      <c r="H861" s="853"/>
      <c r="I861" s="848"/>
      <c r="J861" s="853"/>
      <c r="K861" s="125"/>
      <c r="L861" s="16"/>
      <c r="M861" s="8"/>
      <c r="N861" s="852"/>
      <c r="O861" s="430"/>
      <c r="P861" s="848"/>
    </row>
    <row r="862" spans="1:16" s="17" customFormat="1" ht="33" customHeight="1">
      <c r="A862" s="847"/>
      <c r="B862" s="369">
        <v>46375</v>
      </c>
      <c r="C862" s="4"/>
      <c r="D862" s="4"/>
      <c r="E862" s="291"/>
      <c r="F862" s="848"/>
      <c r="G862" s="16"/>
      <c r="H862" s="853"/>
      <c r="I862" s="848"/>
      <c r="J862" s="848"/>
      <c r="K862" s="125"/>
      <c r="L862" s="16"/>
      <c r="M862" s="8"/>
      <c r="N862" s="848"/>
      <c r="O862" s="432"/>
      <c r="P862" s="848"/>
    </row>
    <row r="863" spans="1:16" s="17" customFormat="1" ht="33" customHeight="1">
      <c r="A863" s="322" t="s">
        <v>0</v>
      </c>
      <c r="B863" s="323" t="s">
        <v>1</v>
      </c>
      <c r="C863" s="322" t="s">
        <v>2</v>
      </c>
      <c r="D863" s="322" t="s">
        <v>3</v>
      </c>
      <c r="E863" s="322" t="s">
        <v>4</v>
      </c>
      <c r="F863" s="322" t="s">
        <v>5</v>
      </c>
      <c r="G863" s="322" t="s">
        <v>6</v>
      </c>
      <c r="H863" s="324" t="s">
        <v>7</v>
      </c>
      <c r="I863" s="322" t="s">
        <v>8</v>
      </c>
      <c r="J863" s="322" t="s">
        <v>9</v>
      </c>
      <c r="K863" s="325" t="s">
        <v>10</v>
      </c>
      <c r="L863" s="326" t="s">
        <v>11</v>
      </c>
      <c r="M863" s="322" t="s">
        <v>12</v>
      </c>
      <c r="N863" s="327" t="s">
        <v>13</v>
      </c>
      <c r="O863" s="427" t="s">
        <v>63</v>
      </c>
      <c r="P863" s="322" t="s">
        <v>123</v>
      </c>
    </row>
    <row r="864" spans="1:16" s="17" customFormat="1" ht="33" customHeight="1">
      <c r="A864" s="845" t="s">
        <v>7327</v>
      </c>
      <c r="B864" s="369">
        <v>46377</v>
      </c>
      <c r="C864" s="4"/>
      <c r="D864" s="4"/>
      <c r="E864" s="848"/>
      <c r="F864" s="848"/>
      <c r="G864" s="16"/>
      <c r="H864" s="853"/>
      <c r="I864" s="848"/>
      <c r="J864" s="848"/>
      <c r="K864" s="125"/>
      <c r="L864" s="16"/>
      <c r="M864" s="8"/>
      <c r="N864" s="848"/>
      <c r="O864" s="431"/>
      <c r="P864" s="848"/>
    </row>
    <row r="865" spans="1:16" s="17" customFormat="1" ht="33" customHeight="1">
      <c r="A865" s="846"/>
      <c r="B865" s="369">
        <v>46378</v>
      </c>
      <c r="C865" s="4"/>
      <c r="D865" s="4"/>
      <c r="E865" s="848"/>
      <c r="F865" s="848"/>
      <c r="G865" s="16"/>
      <c r="H865" s="853"/>
      <c r="I865" s="848"/>
      <c r="J865" s="848"/>
      <c r="K865" s="125"/>
      <c r="L865" s="16"/>
      <c r="M865" s="8"/>
      <c r="N865" s="848"/>
      <c r="O865" s="431"/>
      <c r="P865" s="848"/>
    </row>
    <row r="866" spans="1:16" s="17" customFormat="1" ht="33" customHeight="1">
      <c r="A866" s="846"/>
      <c r="B866" s="369">
        <v>46379</v>
      </c>
      <c r="C866" s="4"/>
      <c r="D866" s="4"/>
      <c r="E866" s="848"/>
      <c r="F866" s="848"/>
      <c r="G866" s="16"/>
      <c r="H866" s="853"/>
      <c r="I866" s="848"/>
      <c r="J866" s="848"/>
      <c r="K866" s="125"/>
      <c r="L866" s="16"/>
      <c r="M866" s="8"/>
      <c r="N866" s="852"/>
      <c r="O866" s="430"/>
      <c r="P866" s="848"/>
    </row>
    <row r="867" spans="1:16" s="17" customFormat="1" ht="33" customHeight="1">
      <c r="A867" s="846"/>
      <c r="B867" s="369">
        <v>46380</v>
      </c>
      <c r="C867" s="4"/>
      <c r="D867" s="4"/>
      <c r="E867" s="848"/>
      <c r="F867" s="848"/>
      <c r="G867" s="16"/>
      <c r="H867" s="853"/>
      <c r="I867" s="848"/>
      <c r="J867" s="848"/>
      <c r="K867" s="125"/>
      <c r="L867" s="16"/>
      <c r="M867" s="8"/>
      <c r="N867" s="852"/>
      <c r="O867" s="430"/>
      <c r="P867" s="848"/>
    </row>
    <row r="868" spans="1:16" s="17" customFormat="1" ht="33" customHeight="1">
      <c r="A868" s="846"/>
      <c r="B868" s="369">
        <v>46381</v>
      </c>
      <c r="C868" s="4"/>
      <c r="D868" s="4"/>
      <c r="E868" s="848"/>
      <c r="F868" s="848"/>
      <c r="G868" s="16"/>
      <c r="H868" s="853"/>
      <c r="I868" s="848"/>
      <c r="J868" s="853"/>
      <c r="K868" s="125"/>
      <c r="L868" s="16"/>
      <c r="M868" s="8"/>
      <c r="N868" s="852"/>
      <c r="O868" s="430"/>
      <c r="P868" s="848"/>
    </row>
    <row r="869" spans="1:16" s="17" customFormat="1" ht="33" customHeight="1">
      <c r="A869" s="847"/>
      <c r="B869" s="369">
        <v>46382</v>
      </c>
      <c r="C869" s="4"/>
      <c r="D869" s="4"/>
      <c r="E869" s="291"/>
      <c r="F869" s="848"/>
      <c r="G869" s="16"/>
      <c r="H869" s="853"/>
      <c r="I869" s="848"/>
      <c r="J869" s="848"/>
      <c r="K869" s="125"/>
      <c r="L869" s="16"/>
      <c r="M869" s="8"/>
      <c r="N869" s="848"/>
      <c r="O869" s="432"/>
      <c r="P869" s="848"/>
    </row>
    <row r="870" spans="1:16" s="17" customFormat="1" ht="33" customHeight="1">
      <c r="A870" s="322" t="s">
        <v>0</v>
      </c>
      <c r="B870" s="323" t="s">
        <v>1</v>
      </c>
      <c r="C870" s="322" t="s">
        <v>2</v>
      </c>
      <c r="D870" s="322" t="s">
        <v>3</v>
      </c>
      <c r="E870" s="322" t="s">
        <v>4</v>
      </c>
      <c r="F870" s="322" t="s">
        <v>5</v>
      </c>
      <c r="G870" s="322" t="s">
        <v>6</v>
      </c>
      <c r="H870" s="324" t="s">
        <v>7</v>
      </c>
      <c r="I870" s="322" t="s">
        <v>8</v>
      </c>
      <c r="J870" s="322" t="s">
        <v>9</v>
      </c>
      <c r="K870" s="325" t="s">
        <v>10</v>
      </c>
      <c r="L870" s="326" t="s">
        <v>11</v>
      </c>
      <c r="M870" s="322" t="s">
        <v>12</v>
      </c>
      <c r="N870" s="327" t="s">
        <v>13</v>
      </c>
      <c r="O870" s="427" t="s">
        <v>63</v>
      </c>
      <c r="P870" s="322" t="s">
        <v>123</v>
      </c>
    </row>
    <row r="871" spans="1:16" s="17" customFormat="1" ht="33" customHeight="1">
      <c r="A871" s="845" t="s">
        <v>7328</v>
      </c>
      <c r="B871" s="369">
        <v>46384</v>
      </c>
      <c r="C871" s="4"/>
      <c r="D871" s="4"/>
      <c r="E871" s="848"/>
      <c r="F871" s="848"/>
      <c r="G871" s="16"/>
      <c r="H871" s="853"/>
      <c r="I871" s="848"/>
      <c r="J871" s="848"/>
      <c r="K871" s="125"/>
      <c r="L871" s="16"/>
      <c r="M871" s="8"/>
      <c r="N871" s="848"/>
      <c r="O871" s="431"/>
      <c r="P871" s="848"/>
    </row>
    <row r="872" spans="1:16" s="17" customFormat="1" ht="33" customHeight="1">
      <c r="A872" s="846"/>
      <c r="B872" s="369">
        <v>46385</v>
      </c>
      <c r="C872" s="4"/>
      <c r="D872" s="4"/>
      <c r="E872" s="848"/>
      <c r="F872" s="848"/>
      <c r="G872" s="16"/>
      <c r="H872" s="853"/>
      <c r="I872" s="848"/>
      <c r="J872" s="848"/>
      <c r="K872" s="125"/>
      <c r="L872" s="16"/>
      <c r="M872" s="8"/>
      <c r="N872" s="848"/>
      <c r="O872" s="431"/>
      <c r="P872" s="848"/>
    </row>
    <row r="873" spans="1:16" s="17" customFormat="1" ht="33" customHeight="1">
      <c r="A873" s="846"/>
      <c r="B873" s="369">
        <v>46386</v>
      </c>
      <c r="C873" s="4"/>
      <c r="D873" s="4"/>
      <c r="E873" s="848"/>
      <c r="F873" s="848"/>
      <c r="G873" s="16"/>
      <c r="H873" s="853"/>
      <c r="I873" s="848"/>
      <c r="J873" s="848"/>
      <c r="K873" s="125"/>
      <c r="L873" s="16"/>
      <c r="M873" s="8"/>
      <c r="N873" s="852"/>
      <c r="O873" s="430"/>
      <c r="P873" s="848"/>
    </row>
    <row r="874" spans="1:16" s="17" customFormat="1" ht="33" customHeight="1">
      <c r="A874" s="846"/>
      <c r="B874" s="369">
        <v>46387</v>
      </c>
      <c r="C874" s="4"/>
      <c r="D874" s="4"/>
      <c r="E874" s="848"/>
      <c r="F874" s="848"/>
      <c r="G874" s="16"/>
      <c r="H874" s="853"/>
      <c r="I874" s="848"/>
      <c r="J874" s="848"/>
      <c r="K874" s="125"/>
      <c r="L874" s="16"/>
      <c r="M874" s="8"/>
      <c r="N874" s="852"/>
      <c r="O874" s="430"/>
      <c r="P874" s="848"/>
    </row>
    <row r="875" spans="1:16" s="17" customFormat="1" ht="33" customHeight="1">
      <c r="A875" s="846"/>
      <c r="B875" s="369">
        <v>46388</v>
      </c>
      <c r="C875" s="4"/>
      <c r="D875" s="4"/>
      <c r="E875" s="848"/>
      <c r="F875" s="848"/>
      <c r="G875" s="16"/>
      <c r="H875" s="853"/>
      <c r="I875" s="848"/>
      <c r="J875" s="853"/>
      <c r="K875" s="125"/>
      <c r="L875" s="16"/>
      <c r="M875" s="8"/>
      <c r="N875" s="852"/>
      <c r="O875" s="430"/>
      <c r="P875" s="848"/>
    </row>
    <row r="876" spans="1:16" s="17" customFormat="1" ht="33" customHeight="1">
      <c r="A876" s="847"/>
      <c r="B876" s="369">
        <v>46389</v>
      </c>
      <c r="C876" s="4"/>
      <c r="D876" s="4"/>
      <c r="E876" s="291"/>
      <c r="F876" s="848"/>
      <c r="G876" s="16"/>
      <c r="H876" s="853"/>
      <c r="I876" s="848"/>
      <c r="J876" s="848"/>
      <c r="K876" s="125"/>
      <c r="L876" s="16"/>
      <c r="M876" s="8"/>
      <c r="N876" s="848"/>
      <c r="O876" s="432"/>
      <c r="P876" s="848"/>
    </row>
  </sheetData>
  <mergeCells count="19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  <mergeCell ref="A570:A572"/>
    <mergeCell ref="A548:A551"/>
  </mergeCells>
  <phoneticPr fontId="2" type="noConversion"/>
  <pageMargins left="0.7" right="0.7" top="0.75" bottom="0.75" header="0.3" footer="0.3"/>
  <pageSetup paperSize="9" scale="10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 filterMode="1"/>
  <dimension ref="A1:S1714"/>
  <sheetViews>
    <sheetView zoomScaleNormal="100" zoomScaleSheetLayoutView="115" workbookViewId="0">
      <pane ySplit="2" topLeftCell="A227" activePane="bottomLeft" state="frozen"/>
      <selection pane="bottomLeft" activeCell="H1726" sqref="H1726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1053" t="s">
        <v>161</v>
      </c>
      <c r="B1" s="1053" t="s">
        <v>162</v>
      </c>
      <c r="C1" s="1051" t="s">
        <v>1</v>
      </c>
      <c r="D1" s="1051" t="s">
        <v>2</v>
      </c>
      <c r="E1" s="1051" t="s">
        <v>3</v>
      </c>
      <c r="F1" s="27" t="s">
        <v>54</v>
      </c>
      <c r="G1" s="1051" t="s">
        <v>5</v>
      </c>
      <c r="H1" s="1051" t="s">
        <v>6</v>
      </c>
      <c r="I1" s="1051" t="s">
        <v>7</v>
      </c>
      <c r="J1" s="1051" t="s">
        <v>55</v>
      </c>
      <c r="K1" s="1055" t="s">
        <v>483</v>
      </c>
      <c r="L1" s="1057" t="s">
        <v>56</v>
      </c>
      <c r="M1" s="1049" t="s">
        <v>57</v>
      </c>
      <c r="N1" s="1051" t="s">
        <v>58</v>
      </c>
    </row>
    <row r="2" spans="1:14" hidden="1">
      <c r="A2" s="1054"/>
      <c r="B2" s="1054"/>
      <c r="C2" s="1052"/>
      <c r="D2" s="1052"/>
      <c r="E2" s="1052"/>
      <c r="F2" s="28" t="s">
        <v>59</v>
      </c>
      <c r="G2" s="1052"/>
      <c r="H2" s="1052"/>
      <c r="I2" s="1052"/>
      <c r="J2" s="1052"/>
      <c r="K2" s="1056"/>
      <c r="L2" s="1058"/>
      <c r="M2" s="1050"/>
      <c r="N2" s="1052"/>
    </row>
    <row r="3" spans="1:14" ht="27" hidden="1">
      <c r="A3" s="55">
        <v>1</v>
      </c>
      <c r="B3" s="1012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hidden="1">
      <c r="A4" s="55">
        <v>1</v>
      </c>
      <c r="B4" s="1028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hidden="1">
      <c r="A5" s="55">
        <v>1</v>
      </c>
      <c r="B5" s="1013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hidden="1">
      <c r="A6" s="55">
        <v>2</v>
      </c>
      <c r="B6" s="1033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hidden="1">
      <c r="A7" s="55">
        <v>2</v>
      </c>
      <c r="B7" s="1034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hidden="1">
      <c r="A8" s="55">
        <v>2</v>
      </c>
      <c r="B8" s="1012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hidden="1">
      <c r="A9" s="55">
        <v>2</v>
      </c>
      <c r="B9" s="1028"/>
      <c r="C9" s="1059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hidden="1">
      <c r="A10" s="55">
        <v>2</v>
      </c>
      <c r="B10" s="1028"/>
      <c r="C10" s="1060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hidden="1">
      <c r="A11" s="55">
        <v>2</v>
      </c>
      <c r="B11" s="1028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hidden="1">
      <c r="A12" s="55">
        <v>2</v>
      </c>
      <c r="B12" s="1028"/>
      <c r="C12" s="1059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hidden="1">
      <c r="A13" s="55">
        <v>2</v>
      </c>
      <c r="B13" s="1028"/>
      <c r="C13" s="1061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hidden="1">
      <c r="A14" s="55">
        <v>2</v>
      </c>
      <c r="B14" s="1028"/>
      <c r="C14" s="1060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hidden="1">
      <c r="A15" s="55">
        <v>2</v>
      </c>
      <c r="B15" s="1028"/>
      <c r="C15" s="1059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hidden="1">
      <c r="A16" s="55">
        <v>2</v>
      </c>
      <c r="B16" s="1028"/>
      <c r="C16" s="1060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hidden="1">
      <c r="A17" s="55">
        <v>2</v>
      </c>
      <c r="B17" s="1013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hidden="1">
      <c r="A18" s="55">
        <v>3</v>
      </c>
      <c r="B18" s="1033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hidden="1">
      <c r="A19" s="55">
        <v>3</v>
      </c>
      <c r="B19" s="1034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hidden="1">
      <c r="A20" s="55">
        <v>3</v>
      </c>
      <c r="B20" s="1012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hidden="1">
      <c r="A21" s="55">
        <v>3</v>
      </c>
      <c r="B21" s="1013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hidden="1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1033" t="s">
        <v>196</v>
      </c>
    </row>
    <row r="23" spans="1:17" ht="27" hidden="1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1034"/>
    </row>
    <row r="24" spans="1:17" ht="27" hidden="1">
      <c r="A24" s="55">
        <v>4</v>
      </c>
      <c r="B24" s="1012" t="s">
        <v>21</v>
      </c>
      <c r="C24" s="1010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1018" t="s">
        <v>85</v>
      </c>
      <c r="K24" s="1035" t="s">
        <v>41</v>
      </c>
      <c r="L24" s="6" t="s">
        <v>15</v>
      </c>
      <c r="M24" s="1040">
        <v>180000</v>
      </c>
      <c r="N24" s="45" t="s">
        <v>194</v>
      </c>
    </row>
    <row r="25" spans="1:17" ht="27" hidden="1">
      <c r="A25" s="55">
        <v>4</v>
      </c>
      <c r="B25" s="1028"/>
      <c r="C25" s="1011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1019"/>
      <c r="K25" s="1036"/>
      <c r="L25" s="6" t="s">
        <v>15</v>
      </c>
      <c r="M25" s="1041"/>
      <c r="N25" s="45" t="s">
        <v>194</v>
      </c>
    </row>
    <row r="26" spans="1:17" hidden="1">
      <c r="A26" s="55">
        <v>4</v>
      </c>
      <c r="B26" s="1028"/>
      <c r="C26" s="1010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1018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hidden="1">
      <c r="A27" s="55">
        <v>4</v>
      </c>
      <c r="B27" s="1013"/>
      <c r="C27" s="1011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1019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hidden="1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hidden="1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hidden="1">
      <c r="A30" s="55">
        <v>6</v>
      </c>
      <c r="B30" s="1012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hidden="1">
      <c r="A31" s="55">
        <v>6</v>
      </c>
      <c r="B31" s="1028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hidden="1">
      <c r="A32" s="55">
        <v>6</v>
      </c>
      <c r="B32" s="1028"/>
      <c r="C32" s="1010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hidden="1">
      <c r="A33" s="55">
        <v>6</v>
      </c>
      <c r="B33" s="1028"/>
      <c r="C33" s="1011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hidden="1">
      <c r="A34" s="55">
        <v>6</v>
      </c>
      <c r="B34" s="1013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hidden="1" customHeight="1">
      <c r="A35" s="55">
        <v>7</v>
      </c>
      <c r="B35" s="1012" t="s">
        <v>20</v>
      </c>
      <c r="C35" s="1010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hidden="1">
      <c r="A36" s="55">
        <v>7</v>
      </c>
      <c r="B36" s="1013"/>
      <c r="C36" s="1011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hidden="1" customHeight="1">
      <c r="A37" s="55">
        <v>8</v>
      </c>
      <c r="B37" s="1012" t="s">
        <v>20</v>
      </c>
      <c r="C37" s="1010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hidden="1">
      <c r="A38" s="55">
        <v>8</v>
      </c>
      <c r="B38" s="1013"/>
      <c r="C38" s="1011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hidden="1">
      <c r="A39" s="55">
        <v>9</v>
      </c>
      <c r="B39" s="1046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hidden="1">
      <c r="A40" s="55">
        <v>9</v>
      </c>
      <c r="B40" s="1047"/>
      <c r="C40" s="1010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hidden="1">
      <c r="A41" s="55">
        <v>9</v>
      </c>
      <c r="B41" s="1047"/>
      <c r="C41" s="1011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hidden="1">
      <c r="A42" s="55">
        <v>9</v>
      </c>
      <c r="B42" s="1048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hidden="1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hidden="1">
      <c r="A44" s="55">
        <v>10</v>
      </c>
      <c r="B44" s="1037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hidden="1">
      <c r="A45" s="55">
        <v>10</v>
      </c>
      <c r="B45" s="1038"/>
      <c r="C45" s="1037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hidden="1">
      <c r="A46" s="55">
        <v>10</v>
      </c>
      <c r="B46" s="1038"/>
      <c r="C46" s="1044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hidden="1">
      <c r="A47" s="55">
        <v>10</v>
      </c>
      <c r="B47" s="1039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hidden="1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hidden="1">
      <c r="A49" s="55">
        <v>11</v>
      </c>
      <c r="B49" s="1042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hidden="1">
      <c r="A50" s="55">
        <v>11</v>
      </c>
      <c r="B50" s="1045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hidden="1">
      <c r="A51" s="55">
        <v>11</v>
      </c>
      <c r="B51" s="1045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hidden="1">
      <c r="A52" s="55">
        <v>11</v>
      </c>
      <c r="B52" s="1043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hidden="1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hidden="1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hidden="1">
      <c r="A55" s="55">
        <v>13</v>
      </c>
      <c r="B55" s="1042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hidden="1">
      <c r="A56" s="55">
        <v>13</v>
      </c>
      <c r="B56" s="1043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hidden="1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hidden="1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hidden="1">
      <c r="A59" s="55">
        <v>15</v>
      </c>
      <c r="B59" s="1012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hidden="1">
      <c r="A60" s="55">
        <v>15</v>
      </c>
      <c r="B60" s="1028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hidden="1">
      <c r="A61" s="55">
        <v>15</v>
      </c>
      <c r="B61" s="1013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hidden="1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hidden="1">
      <c r="A63" s="55">
        <v>18</v>
      </c>
      <c r="B63" s="1037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hidden="1">
      <c r="A64" s="55">
        <v>18</v>
      </c>
      <c r="B64" s="1038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hidden="1">
      <c r="A65" s="55">
        <v>18</v>
      </c>
      <c r="B65" s="1039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hidden="1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hidden="1">
      <c r="A67" s="55">
        <v>19</v>
      </c>
      <c r="B67" s="1012" t="s">
        <v>64</v>
      </c>
      <c r="C67" s="1010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1035" t="s">
        <v>435</v>
      </c>
      <c r="L67" s="6" t="s">
        <v>436</v>
      </c>
      <c r="M67" s="1040">
        <v>750000</v>
      </c>
      <c r="N67" s="45" t="s">
        <v>446</v>
      </c>
    </row>
    <row r="68" spans="1:15" ht="27" hidden="1">
      <c r="A68" s="55">
        <v>19</v>
      </c>
      <c r="B68" s="1028"/>
      <c r="C68" s="1032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1036"/>
      <c r="L68" s="6" t="s">
        <v>411</v>
      </c>
      <c r="M68" s="1041"/>
      <c r="N68" s="45" t="s">
        <v>445</v>
      </c>
    </row>
    <row r="69" spans="1:15" hidden="1">
      <c r="A69" s="55">
        <v>19</v>
      </c>
      <c r="B69" s="1028"/>
      <c r="C69" s="1011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hidden="1">
      <c r="A70" s="55">
        <v>19</v>
      </c>
      <c r="B70" s="1028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hidden="1">
      <c r="A71" s="55">
        <v>19</v>
      </c>
      <c r="B71" s="1013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hidden="1">
      <c r="A72" s="55">
        <v>20</v>
      </c>
      <c r="B72" s="1012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hidden="1">
      <c r="A73" s="55">
        <v>20</v>
      </c>
      <c r="B73" s="1028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hidden="1">
      <c r="A74" s="55">
        <v>20</v>
      </c>
      <c r="B74" s="1028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hidden="1">
      <c r="A75" s="55">
        <v>20</v>
      </c>
      <c r="B75" s="1028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hidden="1">
      <c r="A76" s="55">
        <v>20</v>
      </c>
      <c r="B76" s="1013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hidden="1">
      <c r="A77" s="55">
        <v>20</v>
      </c>
      <c r="B77" s="1012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hidden="1">
      <c r="A78" s="55">
        <v>20</v>
      </c>
      <c r="B78" s="1028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hidden="1">
      <c r="A79" s="55">
        <v>20</v>
      </c>
      <c r="B79" s="1013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hidden="1">
      <c r="A80" s="55">
        <v>21</v>
      </c>
      <c r="B80" s="1012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hidden="1">
      <c r="A81" s="55">
        <v>21</v>
      </c>
      <c r="B81" s="1013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hidden="1">
      <c r="A82" s="55">
        <v>22</v>
      </c>
      <c r="B82" s="1012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hidden="1">
      <c r="A83" s="55">
        <v>22</v>
      </c>
      <c r="B83" s="1028"/>
      <c r="C83" s="1010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hidden="1">
      <c r="A84" s="55">
        <v>22</v>
      </c>
      <c r="B84" s="1028"/>
      <c r="C84" s="1011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hidden="1">
      <c r="A85" s="55">
        <v>22</v>
      </c>
      <c r="B85" s="1028"/>
      <c r="C85" s="1010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hidden="1">
      <c r="A86" s="55">
        <v>22</v>
      </c>
      <c r="B86" s="1028"/>
      <c r="C86" s="1011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hidden="1">
      <c r="A87" s="55">
        <v>22</v>
      </c>
      <c r="B87" s="1028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hidden="1">
      <c r="A88" s="55">
        <v>22</v>
      </c>
      <c r="B88" s="1028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hidden="1">
      <c r="A89" s="55">
        <v>22</v>
      </c>
      <c r="B89" s="1013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hidden="1">
      <c r="A90" s="55">
        <v>23</v>
      </c>
      <c r="B90" s="1012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hidden="1">
      <c r="A91" s="55">
        <v>23</v>
      </c>
      <c r="B91" s="1013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hidden="1">
      <c r="A92" s="55">
        <v>24</v>
      </c>
      <c r="B92" s="1012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hidden="1">
      <c r="A93" s="55">
        <v>24</v>
      </c>
      <c r="B93" s="1028"/>
      <c r="C93" s="1010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hidden="1">
      <c r="A94" s="55">
        <v>24</v>
      </c>
      <c r="B94" s="1028"/>
      <c r="C94" s="1032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hidden="1">
      <c r="A95" s="55">
        <v>24</v>
      </c>
      <c r="B95" s="1028"/>
      <c r="C95" s="1011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hidden="1">
      <c r="A96" s="55">
        <v>24</v>
      </c>
      <c r="B96" s="1028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hidden="1">
      <c r="A97" s="55">
        <v>24</v>
      </c>
      <c r="B97" s="1013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hidden="1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hidden="1">
      <c r="A99" s="55">
        <v>25</v>
      </c>
      <c r="B99" s="1012" t="s">
        <v>21</v>
      </c>
      <c r="C99" s="1010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hidden="1">
      <c r="A100" s="55">
        <v>25</v>
      </c>
      <c r="B100" s="1028"/>
      <c r="C100" s="1011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hidden="1">
      <c r="A101" s="55">
        <v>25</v>
      </c>
      <c r="B101" s="1028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hidden="1">
      <c r="A102" s="55">
        <v>25</v>
      </c>
      <c r="B102" s="1028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hidden="1">
      <c r="A103" s="55">
        <v>25</v>
      </c>
      <c r="B103" s="1013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hidden="1">
      <c r="A104" s="55">
        <v>26</v>
      </c>
      <c r="B104" s="1012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hidden="1">
      <c r="A105" s="55">
        <v>26</v>
      </c>
      <c r="B105" s="1028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hidden="1">
      <c r="A106" s="55">
        <v>26</v>
      </c>
      <c r="B106" s="1028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hidden="1">
      <c r="A107" s="55">
        <v>26</v>
      </c>
      <c r="B107" s="1013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hidden="1">
      <c r="A108" s="55">
        <v>26</v>
      </c>
      <c r="B108" s="1012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hidden="1">
      <c r="A109" s="55">
        <v>26</v>
      </c>
      <c r="B109" s="1013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hidden="1">
      <c r="A110" s="55">
        <v>27</v>
      </c>
      <c r="B110" s="1029" t="s">
        <v>658</v>
      </c>
      <c r="C110" s="1029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hidden="1">
      <c r="A111" s="55">
        <v>27</v>
      </c>
      <c r="B111" s="1030"/>
      <c r="C111" s="1062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hidden="1">
      <c r="A112" s="55">
        <v>27</v>
      </c>
      <c r="B112" s="1030"/>
      <c r="C112" s="1063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hidden="1">
      <c r="A113" s="55">
        <v>27</v>
      </c>
      <c r="B113" s="1062"/>
      <c r="C113" s="1062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hidden="1">
      <c r="A114" s="55">
        <v>27</v>
      </c>
      <c r="B114" s="1063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hidden="1">
      <c r="A115" s="55">
        <v>27</v>
      </c>
      <c r="B115" s="1030"/>
      <c r="C115" s="1029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hidden="1">
      <c r="A116" s="55">
        <v>27</v>
      </c>
      <c r="B116" s="1031"/>
      <c r="C116" s="1062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hidden="1" customHeight="1">
      <c r="A117" s="101">
        <v>28</v>
      </c>
      <c r="B117" s="1012" t="s">
        <v>20</v>
      </c>
      <c r="C117" s="1072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1018" t="s">
        <v>168</v>
      </c>
      <c r="K117" s="1035" t="s">
        <v>645</v>
      </c>
      <c r="L117" s="57" t="s">
        <v>209</v>
      </c>
      <c r="M117" s="1064">
        <f>250000*5</f>
        <v>1250000</v>
      </c>
      <c r="N117" s="1012" t="s">
        <v>121</v>
      </c>
    </row>
    <row r="118" spans="1:14" hidden="1">
      <c r="A118" s="101">
        <v>28</v>
      </c>
      <c r="B118" s="1028"/>
      <c r="C118" s="1032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1074"/>
      <c r="K118" s="1073"/>
      <c r="L118" s="57" t="s">
        <v>209</v>
      </c>
      <c r="M118" s="1065"/>
      <c r="N118" s="1028"/>
    </row>
    <row r="119" spans="1:14" hidden="1">
      <c r="A119" s="101">
        <v>28</v>
      </c>
      <c r="B119" s="1028"/>
      <c r="C119" s="1032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1019"/>
      <c r="K119" s="1036"/>
      <c r="L119" s="57" t="s">
        <v>209</v>
      </c>
      <c r="M119" s="1066"/>
      <c r="N119" s="1013"/>
    </row>
    <row r="120" spans="1:14" hidden="1">
      <c r="A120" s="101">
        <v>28</v>
      </c>
      <c r="B120" s="1013"/>
      <c r="C120" s="1011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hidden="1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hidden="1" customHeight="1">
      <c r="A122" s="55">
        <v>29</v>
      </c>
      <c r="B122" s="1029" t="s">
        <v>307</v>
      </c>
      <c r="C122" s="1029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hidden="1" customHeight="1">
      <c r="A123" s="55">
        <v>29</v>
      </c>
      <c r="B123" s="1030"/>
      <c r="C123" s="1030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1029" t="s">
        <v>664</v>
      </c>
      <c r="K123" s="1037" t="s">
        <v>707</v>
      </c>
      <c r="L123" s="110" t="s">
        <v>324</v>
      </c>
      <c r="M123" s="1067" t="s">
        <v>708</v>
      </c>
      <c r="N123" s="110"/>
    </row>
    <row r="124" spans="1:14" hidden="1">
      <c r="A124" s="55">
        <v>29</v>
      </c>
      <c r="B124" s="1030"/>
      <c r="C124" s="1030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1030"/>
      <c r="K124" s="1038"/>
      <c r="L124" s="110" t="s">
        <v>324</v>
      </c>
      <c r="M124" s="1068"/>
      <c r="N124" s="110"/>
    </row>
    <row r="125" spans="1:14" hidden="1">
      <c r="A125" s="55">
        <v>29</v>
      </c>
      <c r="B125" s="1030"/>
      <c r="C125" s="1030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1031"/>
      <c r="K125" s="1039"/>
      <c r="L125" s="110" t="s">
        <v>324</v>
      </c>
      <c r="M125" s="1069"/>
      <c r="N125" s="110"/>
    </row>
    <row r="126" spans="1:14" hidden="1">
      <c r="A126" s="55">
        <v>29</v>
      </c>
      <c r="B126" s="1031"/>
      <c r="C126" s="1031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hidden="1">
      <c r="A127" s="55">
        <v>29</v>
      </c>
      <c r="B127" s="1029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hidden="1">
      <c r="A128" s="55">
        <v>29</v>
      </c>
      <c r="B128" s="1030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hidden="1">
      <c r="A129" s="55">
        <v>29</v>
      </c>
      <c r="B129" s="1030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hidden="1">
      <c r="A130" s="55">
        <v>29</v>
      </c>
      <c r="B130" s="1030"/>
      <c r="C130" s="1029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hidden="1">
      <c r="A131" s="55">
        <v>29</v>
      </c>
      <c r="B131" s="1030"/>
      <c r="C131" s="1031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hidden="1">
      <c r="A132" s="55">
        <v>29</v>
      </c>
      <c r="B132" s="1030"/>
      <c r="C132" s="1029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hidden="1">
      <c r="A133" s="55">
        <v>29</v>
      </c>
      <c r="B133" s="1030"/>
      <c r="C133" s="1031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hidden="1">
      <c r="A134" s="55">
        <v>29</v>
      </c>
      <c r="B134" s="1031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hidden="1" customHeight="1">
      <c r="A135" s="55">
        <v>30</v>
      </c>
      <c r="B135" s="1012" t="s">
        <v>618</v>
      </c>
      <c r="C135" s="1010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hidden="1">
      <c r="A136" s="55">
        <v>30</v>
      </c>
      <c r="B136" s="1028"/>
      <c r="C136" s="1032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hidden="1">
      <c r="A137" s="55">
        <v>30</v>
      </c>
      <c r="B137" s="1028"/>
      <c r="C137" s="1032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hidden="1">
      <c r="A138" s="55">
        <v>30</v>
      </c>
      <c r="B138" s="1013"/>
      <c r="C138" s="1011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hidden="1">
      <c r="A139" s="55">
        <v>30</v>
      </c>
      <c r="B139" s="1012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hidden="1">
      <c r="A140" s="55">
        <v>30</v>
      </c>
      <c r="B140" s="1028"/>
      <c r="C140" s="1010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hidden="1">
      <c r="A141" s="55">
        <v>30</v>
      </c>
      <c r="B141" s="1028"/>
      <c r="C141" s="1011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1012" t="s">
        <v>735</v>
      </c>
    </row>
    <row r="142" spans="1:14" hidden="1">
      <c r="A142" s="55">
        <v>30</v>
      </c>
      <c r="B142" s="1013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1013"/>
    </row>
    <row r="143" spans="1:14" ht="40.5" hidden="1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hidden="1">
      <c r="A144" s="55">
        <v>31</v>
      </c>
      <c r="B144" s="1012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hidden="1">
      <c r="A145" s="55">
        <v>31</v>
      </c>
      <c r="B145" s="1013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hidden="1">
      <c r="A146" s="55">
        <v>32</v>
      </c>
      <c r="B146" s="1012" t="s">
        <v>20</v>
      </c>
      <c r="C146" s="1010" t="s">
        <v>869</v>
      </c>
      <c r="D146" s="1035" t="s">
        <v>19</v>
      </c>
      <c r="E146" s="1070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hidden="1">
      <c r="A147" s="55">
        <v>32</v>
      </c>
      <c r="B147" s="1013"/>
      <c r="C147" s="1011"/>
      <c r="D147" s="1036"/>
      <c r="E147" s="1071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hidden="1">
      <c r="A148" s="55">
        <v>33</v>
      </c>
      <c r="B148" s="1012" t="s">
        <v>123</v>
      </c>
      <c r="C148" s="1010" t="s">
        <v>782</v>
      </c>
      <c r="D148" s="1035" t="s">
        <v>19</v>
      </c>
      <c r="E148" s="1070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hidden="1">
      <c r="A149" s="55">
        <v>33</v>
      </c>
      <c r="B149" s="1013"/>
      <c r="C149" s="1011"/>
      <c r="D149" s="1036"/>
      <c r="E149" s="1071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hidden="1">
      <c r="A150" s="55">
        <v>33</v>
      </c>
      <c r="B150" s="1012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hidden="1">
      <c r="A151" s="55">
        <v>33</v>
      </c>
      <c r="B151" s="1028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hidden="1">
      <c r="A152" s="55">
        <v>33</v>
      </c>
      <c r="B152" s="1013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hidden="1">
      <c r="A153" s="55">
        <v>34</v>
      </c>
      <c r="B153" s="1012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1012" t="s">
        <v>247</v>
      </c>
    </row>
    <row r="154" spans="1:14" ht="27" hidden="1">
      <c r="A154" s="55">
        <v>34</v>
      </c>
      <c r="B154" s="1028"/>
      <c r="C154" s="1010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1028"/>
    </row>
    <row r="155" spans="1:14" ht="27" hidden="1">
      <c r="A155" s="55">
        <v>34</v>
      </c>
      <c r="B155" s="1028"/>
      <c r="C155" s="1011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1013"/>
    </row>
    <row r="156" spans="1:14" ht="27" hidden="1">
      <c r="A156" s="55">
        <v>34</v>
      </c>
      <c r="B156" s="1028"/>
      <c r="C156" s="1010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1012" t="s">
        <v>825</v>
      </c>
    </row>
    <row r="157" spans="1:14" ht="27" hidden="1">
      <c r="A157" s="55">
        <v>34</v>
      </c>
      <c r="B157" s="1028"/>
      <c r="C157" s="1011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1028"/>
    </row>
    <row r="158" spans="1:14" ht="27" hidden="1">
      <c r="A158" s="55">
        <v>34</v>
      </c>
      <c r="B158" s="1028"/>
      <c r="C158" s="1010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1028"/>
    </row>
    <row r="159" spans="1:14" ht="27" hidden="1">
      <c r="A159" s="55">
        <v>34</v>
      </c>
      <c r="B159" s="1028"/>
      <c r="C159" s="1011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1028"/>
    </row>
    <row r="160" spans="1:14" ht="27" hidden="1">
      <c r="A160" s="55">
        <v>34</v>
      </c>
      <c r="B160" s="1028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1028"/>
    </row>
    <row r="161" spans="1:15" ht="27" hidden="1">
      <c r="A161" s="55">
        <v>34</v>
      </c>
      <c r="B161" s="1028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1013"/>
    </row>
    <row r="162" spans="1:15" ht="27" hidden="1">
      <c r="A162" s="55">
        <v>34</v>
      </c>
      <c r="B162" s="1013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hidden="1">
      <c r="A163" s="55">
        <v>34</v>
      </c>
      <c r="B163" s="1012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hidden="1">
      <c r="A164" s="55">
        <v>34</v>
      </c>
      <c r="B164" s="1028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hidden="1">
      <c r="A165" s="55">
        <v>34</v>
      </c>
      <c r="B165" s="1028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hidden="1">
      <c r="A166" s="55">
        <v>34</v>
      </c>
      <c r="B166" s="1013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hidden="1" customHeight="1">
      <c r="A167" s="55">
        <v>35</v>
      </c>
      <c r="B167" s="988" t="s">
        <v>849</v>
      </c>
      <c r="C167" s="977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hidden="1">
      <c r="A168" s="55">
        <v>35</v>
      </c>
      <c r="B168" s="989"/>
      <c r="C168" s="978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hidden="1">
      <c r="A169" s="55">
        <v>35</v>
      </c>
      <c r="B169" s="989"/>
      <c r="C169" s="978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hidden="1">
      <c r="A170" s="55">
        <v>35</v>
      </c>
      <c r="B170" s="990"/>
      <c r="C170" s="979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hidden="1">
      <c r="A171" s="55">
        <v>35</v>
      </c>
      <c r="B171" s="988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hidden="1">
      <c r="A172" s="55">
        <v>35</v>
      </c>
      <c r="B172" s="989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hidden="1">
      <c r="A173" s="55">
        <v>35</v>
      </c>
      <c r="B173" s="989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hidden="1">
      <c r="A174" s="55">
        <v>35</v>
      </c>
      <c r="B174" s="989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hidden="1">
      <c r="A175" s="55">
        <v>35</v>
      </c>
      <c r="B175" s="990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988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989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hidden="1">
      <c r="A178" s="55">
        <v>36</v>
      </c>
      <c r="B178" s="989"/>
      <c r="C178" s="977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hidden="1">
      <c r="A179" s="55">
        <v>36</v>
      </c>
      <c r="B179" s="990"/>
      <c r="C179" s="979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hidden="1">
      <c r="A180" s="55">
        <v>36</v>
      </c>
      <c r="B180" s="988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hidden="1">
      <c r="A181" s="55">
        <v>36</v>
      </c>
      <c r="B181" s="989"/>
      <c r="C181" s="1010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1018" t="s">
        <v>838</v>
      </c>
      <c r="K181" s="1035" t="s">
        <v>985</v>
      </c>
      <c r="L181" s="6" t="s">
        <v>910</v>
      </c>
      <c r="M181" s="1064">
        <f>180000+200000+200000</f>
        <v>580000</v>
      </c>
      <c r="N181" s="45" t="s">
        <v>806</v>
      </c>
    </row>
    <row r="182" spans="1:14" hidden="1">
      <c r="A182" s="55">
        <v>36</v>
      </c>
      <c r="B182" s="989"/>
      <c r="C182" s="1032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1019"/>
      <c r="K182" s="1036"/>
      <c r="L182" s="6" t="s">
        <v>911</v>
      </c>
      <c r="M182" s="1066"/>
      <c r="N182" s="45" t="s">
        <v>806</v>
      </c>
    </row>
    <row r="183" spans="1:14" hidden="1">
      <c r="A183" s="55">
        <v>36</v>
      </c>
      <c r="B183" s="989"/>
      <c r="C183" s="1011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hidden="1">
      <c r="A184" s="55">
        <v>36</v>
      </c>
      <c r="B184" s="990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988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989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hidden="1" customHeight="1">
      <c r="A187" s="55">
        <v>37</v>
      </c>
      <c r="B187" s="989"/>
      <c r="C187" s="977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hidden="1">
      <c r="A188" s="55">
        <v>37</v>
      </c>
      <c r="B188" s="990"/>
      <c r="C188" s="979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hidden="1">
      <c r="A189" s="55">
        <v>37</v>
      </c>
      <c r="B189" s="988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hidden="1">
      <c r="A190" s="55">
        <v>37</v>
      </c>
      <c r="B190" s="989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hidden="1">
      <c r="A191" s="55">
        <v>37</v>
      </c>
      <c r="B191" s="990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hidden="1" customHeight="1">
      <c r="A192" s="55">
        <v>38</v>
      </c>
      <c r="B192" s="988" t="s">
        <v>939</v>
      </c>
      <c r="C192" s="977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hidden="1">
      <c r="A193" s="55">
        <v>38</v>
      </c>
      <c r="B193" s="989"/>
      <c r="C193" s="979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990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hidden="1">
      <c r="A195" s="55">
        <v>38</v>
      </c>
      <c r="B195" s="988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hidden="1">
      <c r="A196" s="55">
        <v>38</v>
      </c>
      <c r="B196" s="989"/>
      <c r="C196" s="1010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hidden="1">
      <c r="A197" s="55">
        <v>38</v>
      </c>
      <c r="B197" s="989"/>
      <c r="C197" s="1011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hidden="1">
      <c r="A198" s="55">
        <v>38</v>
      </c>
      <c r="B198" s="989"/>
      <c r="C198" s="1010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hidden="1">
      <c r="A199" s="55">
        <v>38</v>
      </c>
      <c r="B199" s="990"/>
      <c r="C199" s="1011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hidden="1">
      <c r="A200" s="55">
        <v>39</v>
      </c>
      <c r="B200" s="988" t="s">
        <v>20</v>
      </c>
      <c r="C200" s="977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hidden="1">
      <c r="A201" s="55">
        <v>39</v>
      </c>
      <c r="B201" s="989"/>
      <c r="C201" s="979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989"/>
      <c r="C202" s="977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990"/>
      <c r="C203" s="979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hidden="1">
      <c r="A204" s="55">
        <v>39</v>
      </c>
      <c r="B204" s="988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hidden="1">
      <c r="A205" s="55">
        <v>39</v>
      </c>
      <c r="B205" s="989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hidden="1">
      <c r="A206" s="55">
        <v>39</v>
      </c>
      <c r="B206" s="990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hidden="1" customHeight="1">
      <c r="A207" s="55">
        <v>41</v>
      </c>
      <c r="B207" s="988" t="s">
        <v>20</v>
      </c>
      <c r="C207" s="977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hidden="1">
      <c r="A208" s="55">
        <v>41</v>
      </c>
      <c r="B208" s="989"/>
      <c r="C208" s="979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990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hidden="1">
      <c r="A210" s="55">
        <v>41</v>
      </c>
      <c r="B210" s="988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hidden="1">
      <c r="A211" s="55">
        <v>41</v>
      </c>
      <c r="B211" s="990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hidden="1">
      <c r="A212" s="55">
        <v>42</v>
      </c>
      <c r="B212" s="988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989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990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hidden="1">
      <c r="A215" s="55">
        <v>42</v>
      </c>
      <c r="B215" s="988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hidden="1">
      <c r="A216" s="55">
        <v>42</v>
      </c>
      <c r="B216" s="989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hidden="1">
      <c r="A217" s="55">
        <v>42</v>
      </c>
      <c r="B217" s="990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hidden="1" customHeight="1">
      <c r="A218" s="55">
        <v>43</v>
      </c>
      <c r="B218" s="988" t="s">
        <v>20</v>
      </c>
      <c r="C218" s="977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hidden="1">
      <c r="A219" s="55">
        <v>43</v>
      </c>
      <c r="B219" s="989"/>
      <c r="C219" s="979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990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hidden="1">
      <c r="A221" s="55">
        <v>43</v>
      </c>
      <c r="B221" s="988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hidden="1">
      <c r="A222" s="55">
        <v>43</v>
      </c>
      <c r="B222" s="989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hidden="1">
      <c r="A223" s="55">
        <v>43</v>
      </c>
      <c r="B223" s="990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hidden="1">
      <c r="A224" s="55">
        <v>44</v>
      </c>
      <c r="B224" s="988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989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1012" t="s">
        <v>247</v>
      </c>
    </row>
    <row r="226" spans="1:14">
      <c r="A226" s="55">
        <v>44</v>
      </c>
      <c r="B226" s="989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1028"/>
    </row>
    <row r="227" spans="1:14">
      <c r="A227" s="55">
        <v>44</v>
      </c>
      <c r="B227" s="990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1013"/>
    </row>
    <row r="228" spans="1:14" hidden="1">
      <c r="A228" s="55">
        <v>44</v>
      </c>
      <c r="B228" s="988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hidden="1">
      <c r="A229" s="55">
        <v>44</v>
      </c>
      <c r="B229" s="990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hidden="1">
      <c r="A230" s="55">
        <v>45</v>
      </c>
      <c r="B230" s="988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989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>
      <c r="A232" s="55">
        <v>45</v>
      </c>
      <c r="B232" s="989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>
      <c r="A233" s="55">
        <v>45</v>
      </c>
      <c r="B233" s="990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hidden="1">
      <c r="A234" s="55">
        <v>45</v>
      </c>
      <c r="B234" s="988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hidden="1">
      <c r="A235" s="55">
        <v>45</v>
      </c>
      <c r="B235" s="990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hidden="1">
      <c r="A236" s="55">
        <v>46</v>
      </c>
      <c r="B236" s="988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989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990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hidden="1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hidden="1">
      <c r="A240" s="55">
        <v>46</v>
      </c>
      <c r="B240" s="988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989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hidden="1">
      <c r="A242" s="55">
        <v>46</v>
      </c>
      <c r="B242" s="990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hidden="1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hidden="1">
      <c r="A244" s="55">
        <v>47</v>
      </c>
      <c r="B244" s="988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hidden="1">
      <c r="A245" s="55">
        <v>47</v>
      </c>
      <c r="B245" s="990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hidden="1">
      <c r="A246" s="55">
        <v>47</v>
      </c>
      <c r="B246" s="988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hidden="1">
      <c r="A247" s="55">
        <v>47</v>
      </c>
      <c r="B247" s="990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hidden="1">
      <c r="A248" s="55">
        <v>48</v>
      </c>
      <c r="B248" s="988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hidden="1" customHeight="1">
      <c r="A249" s="55">
        <v>48</v>
      </c>
      <c r="B249" s="989"/>
      <c r="C249" s="977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1012" t="s">
        <v>247</v>
      </c>
    </row>
    <row r="250" spans="1:14" hidden="1">
      <c r="A250" s="55">
        <v>48</v>
      </c>
      <c r="B250" s="990"/>
      <c r="C250" s="979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1013"/>
    </row>
    <row r="251" spans="1:14" hidden="1">
      <c r="A251" s="55">
        <v>48</v>
      </c>
      <c r="B251" s="988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hidden="1">
      <c r="A252" s="55">
        <v>48</v>
      </c>
      <c r="B252" s="989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hidden="1">
      <c r="A253" s="55">
        <v>48</v>
      </c>
      <c r="B253" s="989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hidden="1">
      <c r="A254" s="55">
        <v>48</v>
      </c>
      <c r="B254" s="990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hidden="1">
      <c r="A255" s="55">
        <v>49</v>
      </c>
      <c r="B255" s="988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hidden="1" customHeight="1">
      <c r="A256" s="55">
        <v>49</v>
      </c>
      <c r="B256" s="989"/>
      <c r="C256" s="977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1012" t="s">
        <v>247</v>
      </c>
    </row>
    <row r="257" spans="1:14" hidden="1">
      <c r="A257" s="55">
        <v>49</v>
      </c>
      <c r="B257" s="990"/>
      <c r="C257" s="979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1013"/>
    </row>
    <row r="258" spans="1:14" ht="40.5" hidden="1">
      <c r="A258" s="55">
        <v>49</v>
      </c>
      <c r="B258" s="988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hidden="1">
      <c r="A259" s="55">
        <v>49</v>
      </c>
      <c r="B259" s="990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hidden="1">
      <c r="A260" s="55">
        <v>49</v>
      </c>
      <c r="B260" s="1001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hidden="1">
      <c r="A261" s="55">
        <v>49</v>
      </c>
      <c r="B261" s="1002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99" t="s">
        <v>1103</v>
      </c>
    </row>
    <row r="262" spans="1:14" ht="25.5" hidden="1">
      <c r="A262" s="132">
        <v>49</v>
      </c>
      <c r="B262" s="1003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1000"/>
    </row>
    <row r="263" spans="1:14" ht="16.5" hidden="1" customHeight="1">
      <c r="A263" s="55">
        <v>50</v>
      </c>
      <c r="B263" s="988" t="s">
        <v>20</v>
      </c>
      <c r="C263" s="977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hidden="1">
      <c r="A264" s="55">
        <v>50</v>
      </c>
      <c r="B264" s="989"/>
      <c r="C264" s="978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hidden="1">
      <c r="A265" s="55">
        <v>50</v>
      </c>
      <c r="B265" s="989"/>
      <c r="C265" s="978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hidden="1">
      <c r="A266" s="55">
        <v>50</v>
      </c>
      <c r="B266" s="989"/>
      <c r="C266" s="978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hidden="1">
      <c r="A267" s="55">
        <v>50</v>
      </c>
      <c r="B267" s="990"/>
      <c r="C267" s="979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hidden="1">
      <c r="A268" s="55">
        <v>51</v>
      </c>
      <c r="B268" s="1001" t="s">
        <v>658</v>
      </c>
      <c r="C268" s="999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hidden="1">
      <c r="A269" s="55">
        <v>51</v>
      </c>
      <c r="B269" s="1002"/>
      <c r="C269" s="1027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hidden="1">
      <c r="A270" s="55">
        <v>51</v>
      </c>
      <c r="B270" s="1003"/>
      <c r="C270" s="1000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hidden="1" customHeight="1">
      <c r="A271" s="55">
        <v>52</v>
      </c>
      <c r="B271" s="988" t="s">
        <v>20</v>
      </c>
      <c r="C271" s="977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hidden="1">
      <c r="A272" s="55">
        <v>52</v>
      </c>
      <c r="B272" s="989"/>
      <c r="C272" s="978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hidden="1">
      <c r="A273" s="55">
        <v>52</v>
      </c>
      <c r="B273" s="989"/>
      <c r="C273" s="979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hidden="1">
      <c r="A274" s="55">
        <v>52</v>
      </c>
      <c r="B274" s="989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hidden="1">
      <c r="A275" s="55">
        <v>52</v>
      </c>
      <c r="B275" s="989"/>
      <c r="C275" s="977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hidden="1">
      <c r="A276" s="55">
        <v>52</v>
      </c>
      <c r="B276" s="989"/>
      <c r="C276" s="979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hidden="1">
      <c r="A277" s="55">
        <v>52</v>
      </c>
      <c r="B277" s="990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hidden="1">
      <c r="A278" s="1022" t="s">
        <v>1196</v>
      </c>
      <c r="B278" s="1023"/>
      <c r="C278" s="1023"/>
      <c r="D278" s="1023"/>
      <c r="E278" s="1023"/>
      <c r="F278" s="1023"/>
      <c r="G278" s="1023"/>
      <c r="H278" s="1023"/>
      <c r="I278" s="1023"/>
      <c r="J278" s="1023"/>
      <c r="K278" s="1023"/>
      <c r="L278" s="1023"/>
      <c r="M278" s="1023"/>
      <c r="N278" s="1024"/>
    </row>
    <row r="279" spans="1:15" ht="16.5" hidden="1" customHeight="1">
      <c r="A279" s="55">
        <v>1</v>
      </c>
      <c r="B279" s="988" t="s">
        <v>20</v>
      </c>
      <c r="C279" s="977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hidden="1">
      <c r="A280" s="55">
        <v>1</v>
      </c>
      <c r="B280" s="990"/>
      <c r="C280" s="979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hidden="1">
      <c r="A281" s="55">
        <v>1</v>
      </c>
      <c r="B281" s="988" t="s">
        <v>64</v>
      </c>
      <c r="C281" s="977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hidden="1">
      <c r="A282" s="55">
        <v>1</v>
      </c>
      <c r="B282" s="989"/>
      <c r="C282" s="979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hidden="1">
      <c r="A283" s="55">
        <v>1</v>
      </c>
      <c r="B283" s="989"/>
      <c r="C283" s="977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1018" t="s">
        <v>1174</v>
      </c>
      <c r="K283" s="1020" t="s">
        <v>1188</v>
      </c>
      <c r="L283" s="6" t="s">
        <v>1176</v>
      </c>
      <c r="M283" s="96">
        <v>500000</v>
      </c>
      <c r="N283" s="45" t="s">
        <v>1191</v>
      </c>
    </row>
    <row r="284" spans="1:15" hidden="1">
      <c r="A284" s="55">
        <v>1</v>
      </c>
      <c r="B284" s="989"/>
      <c r="C284" s="979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1019"/>
      <c r="K284" s="1021"/>
      <c r="L284" s="6" t="s">
        <v>1175</v>
      </c>
      <c r="M284" s="96">
        <v>500000</v>
      </c>
      <c r="N284" s="45" t="s">
        <v>1191</v>
      </c>
    </row>
    <row r="285" spans="1:15" hidden="1">
      <c r="A285" s="55">
        <v>1</v>
      </c>
      <c r="B285" s="989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hidden="1">
      <c r="A286" s="55">
        <v>1</v>
      </c>
      <c r="B286" s="990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hidden="1" customHeight="1">
      <c r="A287" s="55">
        <v>2</v>
      </c>
      <c r="B287" s="1025" t="s">
        <v>123</v>
      </c>
      <c r="C287" s="999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hidden="1">
      <c r="A288" s="55">
        <v>2</v>
      </c>
      <c r="B288" s="1026"/>
      <c r="C288" s="1000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hidden="1">
      <c r="A289" s="55">
        <v>2</v>
      </c>
      <c r="B289" s="1001" t="s">
        <v>64</v>
      </c>
      <c r="C289" s="999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hidden="1">
      <c r="A290" s="55">
        <v>2</v>
      </c>
      <c r="B290" s="1002"/>
      <c r="C290" s="1016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hidden="1">
      <c r="A291" s="55">
        <v>2</v>
      </c>
      <c r="B291" s="1002"/>
      <c r="C291" s="1017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99" t="s">
        <v>638</v>
      </c>
      <c r="K291" s="1014" t="s">
        <v>671</v>
      </c>
      <c r="L291" s="148" t="s">
        <v>309</v>
      </c>
      <c r="M291" s="1008" t="s">
        <v>672</v>
      </c>
      <c r="N291" s="148" t="s">
        <v>723</v>
      </c>
    </row>
    <row r="292" spans="1:15" hidden="1">
      <c r="A292" s="55">
        <v>2</v>
      </c>
      <c r="B292" s="1002"/>
      <c r="C292" s="1016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1000"/>
      <c r="K292" s="1015"/>
      <c r="L292" s="148" t="s">
        <v>309</v>
      </c>
      <c r="M292" s="1009"/>
      <c r="N292" s="148" t="s">
        <v>723</v>
      </c>
    </row>
    <row r="293" spans="1:15" hidden="1">
      <c r="A293" s="55">
        <v>2</v>
      </c>
      <c r="B293" s="1002"/>
      <c r="C293" s="1017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hidden="1">
      <c r="A294" s="55">
        <v>2</v>
      </c>
      <c r="B294" s="1002"/>
      <c r="C294" s="1000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hidden="1">
      <c r="A295" s="55">
        <v>2</v>
      </c>
      <c r="B295" s="1003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hidden="1" customHeight="1">
      <c r="A296" s="55">
        <v>3</v>
      </c>
      <c r="B296" s="988" t="s">
        <v>20</v>
      </c>
      <c r="C296" s="977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hidden="1">
      <c r="A297" s="55">
        <v>3</v>
      </c>
      <c r="B297" s="989"/>
      <c r="C297" s="978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hidden="1">
      <c r="A298" s="55">
        <v>3</v>
      </c>
      <c r="B298" s="990"/>
      <c r="C298" s="979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hidden="1">
      <c r="A299" s="55">
        <v>3</v>
      </c>
      <c r="B299" s="988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hidden="1">
      <c r="A300" s="55">
        <v>3</v>
      </c>
      <c r="B300" s="989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hidden="1">
      <c r="A301" s="55">
        <v>3</v>
      </c>
      <c r="B301" s="990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hidden="1" customHeight="1">
      <c r="A302" s="55">
        <v>4</v>
      </c>
      <c r="B302" s="988" t="s">
        <v>20</v>
      </c>
      <c r="C302" s="977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hidden="1">
      <c r="A303" s="55">
        <v>4</v>
      </c>
      <c r="B303" s="989"/>
      <c r="C303" s="978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hidden="1">
      <c r="A304" s="55">
        <v>4</v>
      </c>
      <c r="B304" s="989"/>
      <c r="C304" s="978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hidden="1">
      <c r="A305" s="55">
        <v>4</v>
      </c>
      <c r="B305" s="989"/>
      <c r="C305" s="978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hidden="1">
      <c r="A306" s="55">
        <v>4</v>
      </c>
      <c r="B306" s="990"/>
      <c r="C306" s="979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hidden="1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hidden="1" customHeight="1">
      <c r="A308" s="55">
        <v>5</v>
      </c>
      <c r="B308" s="988" t="s">
        <v>20</v>
      </c>
      <c r="C308" s="977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hidden="1">
      <c r="A309" s="55">
        <v>5</v>
      </c>
      <c r="B309" s="990"/>
      <c r="C309" s="979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hidden="1">
      <c r="A310" s="55">
        <v>5</v>
      </c>
      <c r="B310" s="988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hidden="1">
      <c r="A311" s="55">
        <v>5</v>
      </c>
      <c r="B311" s="989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hidden="1">
      <c r="A312" s="55">
        <v>5</v>
      </c>
      <c r="B312" s="990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hidden="1" customHeight="1">
      <c r="A313" s="55">
        <v>6</v>
      </c>
      <c r="B313" s="1001" t="s">
        <v>307</v>
      </c>
      <c r="C313" s="999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hidden="1">
      <c r="A314" s="55">
        <v>6</v>
      </c>
      <c r="B314" s="1003"/>
      <c r="C314" s="1000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hidden="1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hidden="1" customHeight="1">
      <c r="A316" s="55">
        <v>7</v>
      </c>
      <c r="B316" s="988" t="s">
        <v>20</v>
      </c>
      <c r="C316" s="977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hidden="1">
      <c r="A317" s="55">
        <v>7</v>
      </c>
      <c r="B317" s="989"/>
      <c r="C317" s="978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hidden="1">
      <c r="A318" s="55">
        <v>7</v>
      </c>
      <c r="B318" s="990"/>
      <c r="C318" s="979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hidden="1">
      <c r="A319" s="55">
        <v>7</v>
      </c>
      <c r="B319" s="988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hidden="1">
      <c r="A320" s="55">
        <v>7</v>
      </c>
      <c r="B320" s="989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hidden="1">
      <c r="A321" s="55">
        <v>7</v>
      </c>
      <c r="B321" s="990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hidden="1" customHeight="1">
      <c r="A322" s="55">
        <v>8</v>
      </c>
      <c r="B322" s="988" t="s">
        <v>20</v>
      </c>
      <c r="C322" s="977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hidden="1">
      <c r="A323" s="55">
        <v>8</v>
      </c>
      <c r="B323" s="990"/>
      <c r="C323" s="979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hidden="1">
      <c r="A324" s="55">
        <v>8</v>
      </c>
      <c r="B324" s="988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hidden="1">
      <c r="A325" s="55">
        <v>8</v>
      </c>
      <c r="B325" s="989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hidden="1">
      <c r="A326" s="55">
        <v>8</v>
      </c>
      <c r="B326" s="989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hidden="1">
      <c r="A327" s="55">
        <v>8</v>
      </c>
      <c r="B327" s="989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hidden="1">
      <c r="A328" s="55">
        <v>8</v>
      </c>
      <c r="B328" s="990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hidden="1" customHeight="1">
      <c r="A329" s="55">
        <v>9</v>
      </c>
      <c r="B329" s="988" t="s">
        <v>20</v>
      </c>
      <c r="C329" s="977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hidden="1">
      <c r="A330" s="55">
        <v>9</v>
      </c>
      <c r="B330" s="989"/>
      <c r="C330" s="978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hidden="1">
      <c r="A331" s="55">
        <v>9</v>
      </c>
      <c r="B331" s="990"/>
      <c r="C331" s="979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hidden="1">
      <c r="A332" s="55">
        <v>9</v>
      </c>
      <c r="B332" s="988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hidden="1">
      <c r="A333" s="55">
        <v>9</v>
      </c>
      <c r="B333" s="990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hidden="1" customHeight="1">
      <c r="A334" s="55">
        <v>10</v>
      </c>
      <c r="B334" s="988" t="s">
        <v>20</v>
      </c>
      <c r="C334" s="977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hidden="1" customHeight="1">
      <c r="A335" s="55">
        <v>10</v>
      </c>
      <c r="B335" s="989"/>
      <c r="C335" s="978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hidden="1">
      <c r="A336" s="55">
        <v>10</v>
      </c>
      <c r="B336" s="989"/>
      <c r="C336" s="978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hidden="1">
      <c r="A337" s="55">
        <v>10</v>
      </c>
      <c r="B337" s="990"/>
      <c r="C337" s="979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hidden="1">
      <c r="A338" s="55">
        <v>10</v>
      </c>
      <c r="B338" s="988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hidden="1">
      <c r="A339" s="55">
        <v>10</v>
      </c>
      <c r="B339" s="989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hidden="1">
      <c r="A340" s="55">
        <v>10</v>
      </c>
      <c r="B340" s="989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hidden="1">
      <c r="A341" s="55">
        <v>10</v>
      </c>
      <c r="B341" s="990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hidden="1" customHeight="1">
      <c r="A342" s="55">
        <v>11</v>
      </c>
      <c r="B342" s="988" t="s">
        <v>20</v>
      </c>
      <c r="C342" s="977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hidden="1">
      <c r="A343" s="55">
        <v>11</v>
      </c>
      <c r="B343" s="989"/>
      <c r="C343" s="979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hidden="1">
      <c r="A344" s="55">
        <v>11</v>
      </c>
      <c r="B344" s="990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hidden="1">
      <c r="A345" s="55">
        <v>11</v>
      </c>
      <c r="B345" s="988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hidden="1">
      <c r="A346" s="55">
        <v>11</v>
      </c>
      <c r="B346" s="989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hidden="1">
      <c r="A347" s="55">
        <v>11</v>
      </c>
      <c r="B347" s="989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hidden="1">
      <c r="A348" s="55">
        <v>11</v>
      </c>
      <c r="B348" s="989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hidden="1">
      <c r="A349" s="55">
        <v>11</v>
      </c>
      <c r="B349" s="989"/>
      <c r="C349" s="1010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hidden="1">
      <c r="A350" s="55">
        <v>11</v>
      </c>
      <c r="B350" s="990"/>
      <c r="C350" s="1011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hidden="1">
      <c r="A351" s="55">
        <v>12</v>
      </c>
      <c r="B351" s="1001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hidden="1">
      <c r="A352" s="55">
        <v>12</v>
      </c>
      <c r="B352" s="1002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hidden="1">
      <c r="A353" s="55">
        <v>12</v>
      </c>
      <c r="B353" s="1002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hidden="1">
      <c r="A354" s="55">
        <v>12</v>
      </c>
      <c r="B354" s="1002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hidden="1">
      <c r="A355" s="55">
        <v>12</v>
      </c>
      <c r="B355" s="1003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hidden="1">
      <c r="A356" s="55">
        <v>12</v>
      </c>
      <c r="B356" s="1001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hidden="1">
      <c r="A357" s="55">
        <v>12</v>
      </c>
      <c r="B357" s="1002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hidden="1">
      <c r="A358" s="55">
        <v>12</v>
      </c>
      <c r="B358" s="1002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hidden="1">
      <c r="A359" s="55">
        <v>12</v>
      </c>
      <c r="B359" s="1003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hidden="1">
      <c r="A360" s="55">
        <v>13</v>
      </c>
      <c r="B360" s="988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hidden="1">
      <c r="A361" s="55">
        <v>13</v>
      </c>
      <c r="B361" s="989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hidden="1">
      <c r="A362" s="55">
        <v>13</v>
      </c>
      <c r="B362" s="990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hidden="1">
      <c r="A363" s="55">
        <v>13</v>
      </c>
      <c r="B363" s="988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hidden="1">
      <c r="A364" s="55">
        <v>13</v>
      </c>
      <c r="B364" s="989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hidden="1">
      <c r="A365" s="55">
        <v>13</v>
      </c>
      <c r="B365" s="989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hidden="1">
      <c r="A366" s="55">
        <v>13</v>
      </c>
      <c r="B366" s="989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hidden="1">
      <c r="A367" s="55">
        <v>13</v>
      </c>
      <c r="B367" s="989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hidden="1">
      <c r="A368" s="55">
        <v>13</v>
      </c>
      <c r="B368" s="990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hidden="1">
      <c r="A369" s="55">
        <v>14</v>
      </c>
      <c r="B369" s="988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hidden="1">
      <c r="A370" s="55">
        <v>14</v>
      </c>
      <c r="B370" s="989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hidden="1">
      <c r="A371" s="55">
        <v>14</v>
      </c>
      <c r="B371" s="989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990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hidden="1">
      <c r="A373" s="55">
        <v>14</v>
      </c>
      <c r="B373" s="988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hidden="1">
      <c r="A374" s="55">
        <v>14</v>
      </c>
      <c r="B374" s="990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hidden="1">
      <c r="A375" s="199" t="s">
        <v>1539</v>
      </c>
      <c r="B375" s="1001" t="s">
        <v>307</v>
      </c>
      <c r="C375" s="128" t="s">
        <v>1531</v>
      </c>
      <c r="D375" s="999" t="s">
        <v>306</v>
      </c>
      <c r="E375" s="999" t="s">
        <v>322</v>
      </c>
      <c r="F375" s="999" t="s">
        <v>307</v>
      </c>
      <c r="G375" s="1004">
        <v>4266</v>
      </c>
      <c r="H375" s="999" t="s">
        <v>640</v>
      </c>
      <c r="I375" s="1004" t="s">
        <v>1533</v>
      </c>
      <c r="J375" s="999" t="s">
        <v>1534</v>
      </c>
      <c r="K375" s="1006" t="s">
        <v>692</v>
      </c>
      <c r="L375" s="999" t="s">
        <v>324</v>
      </c>
      <c r="M375" s="1008" t="s">
        <v>1535</v>
      </c>
      <c r="N375" s="999" t="s">
        <v>425</v>
      </c>
    </row>
    <row r="376" spans="1:19" hidden="1">
      <c r="A376" s="199" t="s">
        <v>1539</v>
      </c>
      <c r="B376" s="1002"/>
      <c r="C376" s="129" t="s">
        <v>1532</v>
      </c>
      <c r="D376" s="1000"/>
      <c r="E376" s="1000"/>
      <c r="F376" s="1000"/>
      <c r="G376" s="1005"/>
      <c r="H376" s="1000"/>
      <c r="I376" s="1005"/>
      <c r="J376" s="1000"/>
      <c r="K376" s="1007"/>
      <c r="L376" s="1000"/>
      <c r="M376" s="1009"/>
      <c r="N376" s="1000"/>
    </row>
    <row r="377" spans="1:19" hidden="1">
      <c r="A377" s="199" t="s">
        <v>1539</v>
      </c>
      <c r="B377" s="1002"/>
      <c r="C377" s="128" t="s">
        <v>1536</v>
      </c>
      <c r="D377" s="999" t="s">
        <v>306</v>
      </c>
      <c r="E377" s="999" t="s">
        <v>322</v>
      </c>
      <c r="F377" s="999" t="s">
        <v>307</v>
      </c>
      <c r="G377" s="1004">
        <v>3306</v>
      </c>
      <c r="H377" s="999" t="s">
        <v>1153</v>
      </c>
      <c r="I377" s="1004" t="s">
        <v>1538</v>
      </c>
      <c r="J377" s="999" t="s">
        <v>1534</v>
      </c>
      <c r="K377" s="1006" t="s">
        <v>692</v>
      </c>
      <c r="L377" s="999" t="s">
        <v>324</v>
      </c>
      <c r="M377" s="1008" t="s">
        <v>1535</v>
      </c>
      <c r="N377" s="999" t="s">
        <v>425</v>
      </c>
    </row>
    <row r="378" spans="1:19" hidden="1">
      <c r="A378" s="199" t="s">
        <v>1539</v>
      </c>
      <c r="B378" s="1003"/>
      <c r="C378" s="129" t="s">
        <v>1537</v>
      </c>
      <c r="D378" s="1000"/>
      <c r="E378" s="1000"/>
      <c r="F378" s="1000"/>
      <c r="G378" s="1005"/>
      <c r="H378" s="1000"/>
      <c r="I378" s="1005"/>
      <c r="J378" s="1000"/>
      <c r="K378" s="1007"/>
      <c r="L378" s="1000"/>
      <c r="M378" s="1009"/>
      <c r="N378" s="1000"/>
    </row>
    <row r="379" spans="1:19" ht="27" hidden="1" customHeight="1">
      <c r="A379" s="123">
        <v>15</v>
      </c>
      <c r="B379" s="988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hidden="1" customHeight="1">
      <c r="A380" s="123">
        <v>15</v>
      </c>
      <c r="B380" s="989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989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hidden="1" customHeight="1">
      <c r="A382" s="123">
        <v>15</v>
      </c>
      <c r="B382" s="990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hidden="1" customHeight="1">
      <c r="A383" s="123">
        <v>15</v>
      </c>
      <c r="B383" s="988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hidden="1" customHeight="1">
      <c r="A384" s="123">
        <v>15</v>
      </c>
      <c r="B384" s="990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hidden="1">
      <c r="A385" s="123">
        <v>16</v>
      </c>
      <c r="B385" s="988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hidden="1">
      <c r="A386" s="123">
        <v>16</v>
      </c>
      <c r="B386" s="989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hidden="1">
      <c r="A387" s="123">
        <v>16</v>
      </c>
      <c r="B387" s="989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hidden="1">
      <c r="A388" s="123">
        <v>16</v>
      </c>
      <c r="B388" s="990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hidden="1">
      <c r="A389" s="123">
        <v>16</v>
      </c>
      <c r="B389" s="988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hidden="1">
      <c r="A390" s="123">
        <v>16</v>
      </c>
      <c r="B390" s="989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hidden="1">
      <c r="A391" s="123">
        <v>16</v>
      </c>
      <c r="B391" s="989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hidden="1">
      <c r="A392" s="123">
        <v>16</v>
      </c>
      <c r="B392" s="990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hidden="1">
      <c r="A393" s="123">
        <v>17</v>
      </c>
      <c r="B393" s="988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hidden="1">
      <c r="A394" s="123">
        <v>17</v>
      </c>
      <c r="B394" s="989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hidden="1">
      <c r="A395" s="123">
        <v>17</v>
      </c>
      <c r="B395" s="990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hidden="1">
      <c r="A396" s="123">
        <v>17</v>
      </c>
      <c r="B396" s="988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hidden="1">
      <c r="A397" s="123">
        <v>17</v>
      </c>
      <c r="B397" s="989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hidden="1">
      <c r="A398" s="123">
        <v>17</v>
      </c>
      <c r="B398" s="989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hidden="1">
      <c r="A399" s="123">
        <v>17</v>
      </c>
      <c r="B399" s="989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hidden="1">
      <c r="A400" s="123">
        <v>17</v>
      </c>
      <c r="B400" s="989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hidden="1">
      <c r="A401" s="123">
        <v>17</v>
      </c>
      <c r="B401" s="989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hidden="1">
      <c r="A402" s="123">
        <v>17</v>
      </c>
      <c r="B402" s="990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hidden="1" customHeight="1">
      <c r="A403" s="123">
        <v>18</v>
      </c>
      <c r="B403" s="974" t="s">
        <v>1782</v>
      </c>
      <c r="C403" s="226" t="s">
        <v>1748</v>
      </c>
      <c r="D403" s="993" t="s">
        <v>306</v>
      </c>
      <c r="E403" s="993" t="s">
        <v>322</v>
      </c>
      <c r="F403" s="993" t="s">
        <v>307</v>
      </c>
      <c r="G403" s="995">
        <v>3306</v>
      </c>
      <c r="H403" s="993" t="s">
        <v>1153</v>
      </c>
      <c r="I403" s="995" t="s">
        <v>1749</v>
      </c>
      <c r="J403" s="993" t="s">
        <v>664</v>
      </c>
      <c r="K403" s="997" t="s">
        <v>1288</v>
      </c>
      <c r="L403" s="993" t="s">
        <v>324</v>
      </c>
      <c r="M403" s="991" t="s">
        <v>1750</v>
      </c>
      <c r="N403" s="993" t="s">
        <v>665</v>
      </c>
    </row>
    <row r="404" spans="1:14" hidden="1">
      <c r="A404" s="123">
        <v>18</v>
      </c>
      <c r="B404" s="975"/>
      <c r="C404" s="226" t="s">
        <v>1751</v>
      </c>
      <c r="D404" s="994"/>
      <c r="E404" s="994"/>
      <c r="F404" s="994"/>
      <c r="G404" s="996"/>
      <c r="H404" s="994"/>
      <c r="I404" s="996"/>
      <c r="J404" s="994"/>
      <c r="K404" s="998"/>
      <c r="L404" s="994"/>
      <c r="M404" s="992"/>
      <c r="N404" s="994"/>
    </row>
    <row r="405" spans="1:14" ht="22.5" hidden="1">
      <c r="A405" s="123">
        <v>18</v>
      </c>
      <c r="B405" s="975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hidden="1" customHeight="1">
      <c r="A406" s="123">
        <v>18</v>
      </c>
      <c r="B406" s="975"/>
      <c r="C406" s="226" t="s">
        <v>1755</v>
      </c>
      <c r="D406" s="993" t="s">
        <v>306</v>
      </c>
      <c r="E406" s="993" t="s">
        <v>322</v>
      </c>
      <c r="F406" s="993" t="s">
        <v>307</v>
      </c>
      <c r="G406" s="995" t="s">
        <v>1756</v>
      </c>
      <c r="H406" s="993" t="s">
        <v>347</v>
      </c>
      <c r="I406" s="995" t="s">
        <v>1154</v>
      </c>
      <c r="J406" s="993" t="s">
        <v>664</v>
      </c>
      <c r="K406" s="993" t="s">
        <v>1757</v>
      </c>
      <c r="L406" s="993" t="s">
        <v>324</v>
      </c>
      <c r="M406" s="991" t="s">
        <v>1758</v>
      </c>
      <c r="N406" s="993" t="s">
        <v>665</v>
      </c>
    </row>
    <row r="407" spans="1:14" hidden="1">
      <c r="A407" s="123">
        <v>18</v>
      </c>
      <c r="B407" s="975"/>
      <c r="C407" s="226" t="s">
        <v>1759</v>
      </c>
      <c r="D407" s="994"/>
      <c r="E407" s="994"/>
      <c r="F407" s="994"/>
      <c r="G407" s="996"/>
      <c r="H407" s="994"/>
      <c r="I407" s="996"/>
      <c r="J407" s="994"/>
      <c r="K407" s="994"/>
      <c r="L407" s="994"/>
      <c r="M407" s="992"/>
      <c r="N407" s="994"/>
    </row>
    <row r="408" spans="1:14" ht="16.5" hidden="1" customHeight="1">
      <c r="A408" s="123">
        <v>18</v>
      </c>
      <c r="B408" s="975"/>
      <c r="C408" s="228" t="s">
        <v>1760</v>
      </c>
      <c r="D408" s="993" t="s">
        <v>306</v>
      </c>
      <c r="E408" s="993" t="s">
        <v>322</v>
      </c>
      <c r="F408" s="993" t="s">
        <v>307</v>
      </c>
      <c r="G408" s="995" t="s">
        <v>1761</v>
      </c>
      <c r="H408" s="993" t="s">
        <v>329</v>
      </c>
      <c r="I408" s="995" t="s">
        <v>1762</v>
      </c>
      <c r="J408" s="993" t="s">
        <v>664</v>
      </c>
      <c r="K408" s="993" t="s">
        <v>1763</v>
      </c>
      <c r="L408" s="993" t="s">
        <v>324</v>
      </c>
      <c r="M408" s="991" t="s">
        <v>1764</v>
      </c>
      <c r="N408" s="993" t="s">
        <v>1765</v>
      </c>
    </row>
    <row r="409" spans="1:14" hidden="1">
      <c r="A409" s="123">
        <v>18</v>
      </c>
      <c r="B409" s="976"/>
      <c r="C409" s="226" t="s">
        <v>1766</v>
      </c>
      <c r="D409" s="994"/>
      <c r="E409" s="994"/>
      <c r="F409" s="994"/>
      <c r="G409" s="996"/>
      <c r="H409" s="994"/>
      <c r="I409" s="996"/>
      <c r="J409" s="994"/>
      <c r="K409" s="994"/>
      <c r="L409" s="994"/>
      <c r="M409" s="992"/>
      <c r="N409" s="994"/>
    </row>
    <row r="410" spans="1:14" ht="16.5" hidden="1" customHeight="1">
      <c r="A410" s="123">
        <v>18</v>
      </c>
      <c r="B410" s="974" t="s">
        <v>253</v>
      </c>
      <c r="C410" s="1075" t="s">
        <v>1767</v>
      </c>
      <c r="D410" s="993" t="s">
        <v>311</v>
      </c>
      <c r="E410" s="993" t="s">
        <v>320</v>
      </c>
      <c r="F410" s="993" t="s">
        <v>709</v>
      </c>
      <c r="G410" s="993" t="s">
        <v>1768</v>
      </c>
      <c r="H410" s="1075" t="s">
        <v>1769</v>
      </c>
      <c r="I410" s="227" t="s">
        <v>1770</v>
      </c>
      <c r="J410" s="993"/>
      <c r="K410" s="1077" t="s">
        <v>1771</v>
      </c>
      <c r="L410" s="993" t="s">
        <v>309</v>
      </c>
      <c r="M410" s="991" t="s">
        <v>1764</v>
      </c>
      <c r="N410" s="993" t="s">
        <v>1772</v>
      </c>
    </row>
    <row r="411" spans="1:14" hidden="1">
      <c r="A411" s="123">
        <v>18</v>
      </c>
      <c r="B411" s="975"/>
      <c r="C411" s="1076"/>
      <c r="D411" s="994"/>
      <c r="E411" s="994"/>
      <c r="F411" s="994"/>
      <c r="G411" s="994"/>
      <c r="H411" s="1076"/>
      <c r="I411" s="227" t="s">
        <v>1773</v>
      </c>
      <c r="J411" s="994"/>
      <c r="K411" s="1078"/>
      <c r="L411" s="994"/>
      <c r="M411" s="992"/>
      <c r="N411" s="994"/>
    </row>
    <row r="412" spans="1:14" ht="22.5" hidden="1">
      <c r="A412" s="123">
        <v>18</v>
      </c>
      <c r="B412" s="975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hidden="1" customHeight="1">
      <c r="A413" s="123">
        <v>18</v>
      </c>
      <c r="B413" s="975"/>
      <c r="C413" s="1075" t="s">
        <v>1776</v>
      </c>
      <c r="D413" s="1075" t="s">
        <v>700</v>
      </c>
      <c r="E413" s="993" t="s">
        <v>675</v>
      </c>
      <c r="F413" s="1075" t="s">
        <v>1777</v>
      </c>
      <c r="G413" s="1075" t="s">
        <v>1778</v>
      </c>
      <c r="H413" s="1075" t="s">
        <v>662</v>
      </c>
      <c r="I413" s="227" t="s">
        <v>1779</v>
      </c>
      <c r="J413" s="993" t="s">
        <v>638</v>
      </c>
      <c r="K413" s="993" t="s">
        <v>731</v>
      </c>
      <c r="L413" s="993" t="s">
        <v>309</v>
      </c>
      <c r="M413" s="991" t="s">
        <v>1780</v>
      </c>
      <c r="N413" s="993" t="s">
        <v>1781</v>
      </c>
    </row>
    <row r="414" spans="1:14" hidden="1">
      <c r="A414" s="123">
        <v>18</v>
      </c>
      <c r="B414" s="976"/>
      <c r="C414" s="1076"/>
      <c r="D414" s="1076"/>
      <c r="E414" s="994"/>
      <c r="F414" s="1076"/>
      <c r="G414" s="1076"/>
      <c r="H414" s="1076"/>
      <c r="I414" s="26"/>
      <c r="J414" s="994"/>
      <c r="K414" s="994"/>
      <c r="L414" s="994"/>
      <c r="M414" s="992"/>
      <c r="N414" s="994"/>
    </row>
    <row r="415" spans="1:14" ht="16.5" hidden="1" customHeight="1">
      <c r="A415" s="123">
        <v>19</v>
      </c>
      <c r="B415" s="974" t="s">
        <v>20</v>
      </c>
      <c r="C415" s="148" t="s">
        <v>1794</v>
      </c>
      <c r="D415" s="999" t="s">
        <v>306</v>
      </c>
      <c r="E415" s="999" t="s">
        <v>322</v>
      </c>
      <c r="F415" s="999" t="s">
        <v>307</v>
      </c>
      <c r="G415" s="1004" t="s">
        <v>1796</v>
      </c>
      <c r="H415" s="999" t="s">
        <v>1797</v>
      </c>
      <c r="I415" s="1004" t="s">
        <v>1792</v>
      </c>
      <c r="J415" s="999" t="s">
        <v>664</v>
      </c>
      <c r="K415" s="148" t="s">
        <v>1520</v>
      </c>
      <c r="L415" s="999" t="s">
        <v>324</v>
      </c>
      <c r="M415" s="1008" t="s">
        <v>1799</v>
      </c>
      <c r="N415" s="999" t="s">
        <v>665</v>
      </c>
    </row>
    <row r="416" spans="1:14" hidden="1">
      <c r="A416" s="123">
        <v>19</v>
      </c>
      <c r="B416" s="975"/>
      <c r="C416" s="148" t="s">
        <v>1795</v>
      </c>
      <c r="D416" s="1000"/>
      <c r="E416" s="1000"/>
      <c r="F416" s="1000"/>
      <c r="G416" s="1005"/>
      <c r="H416" s="1000"/>
      <c r="I416" s="1005"/>
      <c r="J416" s="1000"/>
      <c r="K416" s="148" t="s">
        <v>1798</v>
      </c>
      <c r="L416" s="1000"/>
      <c r="M416" s="1009"/>
      <c r="N416" s="1000"/>
    </row>
    <row r="417" spans="1:14" hidden="1">
      <c r="A417" s="123">
        <v>19</v>
      </c>
      <c r="B417" s="975"/>
      <c r="C417" s="148" t="s">
        <v>1800</v>
      </c>
      <c r="D417" s="999" t="s">
        <v>306</v>
      </c>
      <c r="E417" s="999" t="s">
        <v>322</v>
      </c>
      <c r="F417" s="999" t="s">
        <v>307</v>
      </c>
      <c r="G417" s="1004" t="s">
        <v>1801</v>
      </c>
      <c r="H417" s="999" t="s">
        <v>1802</v>
      </c>
      <c r="I417" s="1004" t="s">
        <v>1803</v>
      </c>
      <c r="J417" s="999" t="s">
        <v>664</v>
      </c>
      <c r="K417" s="1014" t="s">
        <v>1155</v>
      </c>
      <c r="L417" s="999" t="s">
        <v>324</v>
      </c>
      <c r="M417" s="1008" t="s">
        <v>1804</v>
      </c>
      <c r="N417" s="999" t="s">
        <v>665</v>
      </c>
    </row>
    <row r="418" spans="1:14" hidden="1">
      <c r="A418" s="123">
        <v>19</v>
      </c>
      <c r="B418" s="976"/>
      <c r="C418" s="148" t="s">
        <v>1795</v>
      </c>
      <c r="D418" s="1000"/>
      <c r="E418" s="1000"/>
      <c r="F418" s="1000"/>
      <c r="G418" s="1005"/>
      <c r="H418" s="1000"/>
      <c r="I418" s="1005"/>
      <c r="J418" s="1000"/>
      <c r="K418" s="1015"/>
      <c r="L418" s="1000"/>
      <c r="M418" s="1009"/>
      <c r="N418" s="1000"/>
    </row>
    <row r="419" spans="1:14" ht="16.5" hidden="1" customHeight="1">
      <c r="A419" s="123">
        <v>19</v>
      </c>
      <c r="B419" s="974" t="s">
        <v>21</v>
      </c>
      <c r="C419" s="1029" t="s">
        <v>1805</v>
      </c>
      <c r="D419" s="1029" t="s">
        <v>700</v>
      </c>
      <c r="E419" s="999" t="s">
        <v>675</v>
      </c>
      <c r="F419" s="1029" t="s">
        <v>1806</v>
      </c>
      <c r="G419" s="1029" t="s">
        <v>1807</v>
      </c>
      <c r="H419" s="1029" t="s">
        <v>662</v>
      </c>
      <c r="I419" s="1004" t="s">
        <v>1808</v>
      </c>
      <c r="J419" s="999"/>
      <c r="K419" s="1079" t="s">
        <v>1809</v>
      </c>
      <c r="L419" s="999" t="s">
        <v>309</v>
      </c>
      <c r="M419" s="1008" t="s">
        <v>1810</v>
      </c>
      <c r="N419" s="149" t="s">
        <v>1811</v>
      </c>
    </row>
    <row r="420" spans="1:14" hidden="1">
      <c r="A420" s="123">
        <v>19</v>
      </c>
      <c r="B420" s="975"/>
      <c r="C420" s="1031"/>
      <c r="D420" s="1031"/>
      <c r="E420" s="1000"/>
      <c r="F420" s="1031"/>
      <c r="G420" s="1031"/>
      <c r="H420" s="1031"/>
      <c r="I420" s="1005"/>
      <c r="J420" s="1000"/>
      <c r="K420" s="1080"/>
      <c r="L420" s="1000"/>
      <c r="M420" s="1009"/>
      <c r="N420" s="149" t="s">
        <v>1812</v>
      </c>
    </row>
    <row r="421" spans="1:14" hidden="1">
      <c r="A421" s="123">
        <v>19</v>
      </c>
      <c r="B421" s="975"/>
      <c r="C421" s="1081" t="s">
        <v>1813</v>
      </c>
      <c r="D421" s="1029" t="s">
        <v>700</v>
      </c>
      <c r="E421" s="999" t="s">
        <v>320</v>
      </c>
      <c r="F421" s="999" t="s">
        <v>337</v>
      </c>
      <c r="G421" s="1029" t="s">
        <v>353</v>
      </c>
      <c r="H421" s="1029" t="s">
        <v>1814</v>
      </c>
      <c r="I421" s="1004" t="s">
        <v>1815</v>
      </c>
      <c r="J421" s="999" t="s">
        <v>638</v>
      </c>
      <c r="K421" s="1083" t="s">
        <v>692</v>
      </c>
      <c r="L421" s="999" t="s">
        <v>309</v>
      </c>
      <c r="M421" s="1008" t="s">
        <v>1816</v>
      </c>
      <c r="N421" s="148" t="s">
        <v>1817</v>
      </c>
    </row>
    <row r="422" spans="1:14" hidden="1">
      <c r="A422" s="123">
        <v>19</v>
      </c>
      <c r="B422" s="975"/>
      <c r="C422" s="1082"/>
      <c r="D422" s="1031"/>
      <c r="E422" s="1000"/>
      <c r="F422" s="1000"/>
      <c r="G422" s="1031"/>
      <c r="H422" s="1031"/>
      <c r="I422" s="1005"/>
      <c r="J422" s="1000"/>
      <c r="K422" s="1084"/>
      <c r="L422" s="1000"/>
      <c r="M422" s="1009"/>
      <c r="N422" s="148" t="s">
        <v>1818</v>
      </c>
    </row>
    <row r="423" spans="1:14" hidden="1">
      <c r="A423" s="123">
        <v>19</v>
      </c>
      <c r="B423" s="975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hidden="1">
      <c r="A424" s="123">
        <v>19</v>
      </c>
      <c r="B424" s="975"/>
      <c r="C424" s="1029" t="s">
        <v>1820</v>
      </c>
      <c r="D424" s="1029" t="s">
        <v>700</v>
      </c>
      <c r="E424" s="999" t="s">
        <v>320</v>
      </c>
      <c r="F424" s="999" t="s">
        <v>709</v>
      </c>
      <c r="G424" s="999" t="s">
        <v>1768</v>
      </c>
      <c r="H424" s="1029" t="s">
        <v>1821</v>
      </c>
      <c r="I424" s="149" t="s">
        <v>1822</v>
      </c>
      <c r="J424" s="999" t="s">
        <v>638</v>
      </c>
      <c r="K424" s="999" t="s">
        <v>692</v>
      </c>
      <c r="L424" s="999" t="s">
        <v>309</v>
      </c>
      <c r="M424" s="1008" t="s">
        <v>1535</v>
      </c>
      <c r="N424" s="1004" t="s">
        <v>1824</v>
      </c>
    </row>
    <row r="425" spans="1:14" hidden="1">
      <c r="A425" s="123">
        <v>19</v>
      </c>
      <c r="B425" s="975"/>
      <c r="C425" s="1031"/>
      <c r="D425" s="1031"/>
      <c r="E425" s="1000"/>
      <c r="F425" s="1000"/>
      <c r="G425" s="1000"/>
      <c r="H425" s="1031"/>
      <c r="I425" s="149" t="s">
        <v>1823</v>
      </c>
      <c r="J425" s="1000"/>
      <c r="K425" s="1000"/>
      <c r="L425" s="1000"/>
      <c r="M425" s="1009"/>
      <c r="N425" s="1005"/>
    </row>
    <row r="426" spans="1:14" hidden="1">
      <c r="A426" s="123">
        <v>19</v>
      </c>
      <c r="B426" s="976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hidden="1">
      <c r="A427" s="123">
        <v>20</v>
      </c>
      <c r="B427" s="974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hidden="1">
      <c r="A428" s="123">
        <v>20</v>
      </c>
      <c r="B428" s="975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hidden="1">
      <c r="A429" s="123">
        <v>20</v>
      </c>
      <c r="B429" s="975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hidden="1">
      <c r="A430" s="123">
        <v>20</v>
      </c>
      <c r="B430" s="975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hidden="1">
      <c r="A431" s="123">
        <v>20</v>
      </c>
      <c r="B431" s="976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hidden="1">
      <c r="A432" s="123">
        <v>20</v>
      </c>
      <c r="B432" s="974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hidden="1">
      <c r="A433" s="231">
        <v>20</v>
      </c>
      <c r="B433" s="976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hidden="1">
      <c r="A434" s="123">
        <v>21</v>
      </c>
      <c r="B434" s="974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hidden="1">
      <c r="A435" s="123">
        <v>21</v>
      </c>
      <c r="B435" s="975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hidden="1">
      <c r="A436" s="123">
        <v>21</v>
      </c>
      <c r="B436" s="975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hidden="1">
      <c r="A437" s="123">
        <v>21</v>
      </c>
      <c r="B437" s="975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hidden="1">
      <c r="A438" s="123">
        <v>21</v>
      </c>
      <c r="B438" s="976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hidden="1">
      <c r="A439" s="123">
        <v>21</v>
      </c>
      <c r="B439" s="974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hidden="1">
      <c r="A440" s="123">
        <v>21</v>
      </c>
      <c r="B440" s="975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hidden="1">
      <c r="A441" s="123">
        <v>21</v>
      </c>
      <c r="B441" s="975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hidden="1">
      <c r="A442" s="123">
        <v>21</v>
      </c>
      <c r="B442" s="975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hidden="1">
      <c r="A443" s="123">
        <v>21</v>
      </c>
      <c r="B443" s="976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hidden="1">
      <c r="A444" s="123">
        <v>22</v>
      </c>
      <c r="B444" s="974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hidden="1">
      <c r="A445" s="123">
        <v>22</v>
      </c>
      <c r="B445" s="975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hidden="1">
      <c r="A446" s="123">
        <v>22</v>
      </c>
      <c r="B446" s="975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hidden="1">
      <c r="A447" s="123">
        <v>22</v>
      </c>
      <c r="B447" s="975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hidden="1">
      <c r="A448" s="123">
        <v>22</v>
      </c>
      <c r="B448" s="976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hidden="1">
      <c r="A449" s="123">
        <v>22</v>
      </c>
      <c r="B449" s="974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hidden="1">
      <c r="A450" s="123">
        <v>22</v>
      </c>
      <c r="B450" s="975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hidden="1">
      <c r="A451" s="123">
        <v>22</v>
      </c>
      <c r="B451" s="976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hidden="1">
      <c r="A452" s="123">
        <v>23</v>
      </c>
      <c r="B452" s="974" t="s">
        <v>2078</v>
      </c>
      <c r="C452" s="243" t="s">
        <v>1906</v>
      </c>
      <c r="D452" s="980" t="s">
        <v>306</v>
      </c>
      <c r="E452" s="980" t="s">
        <v>322</v>
      </c>
      <c r="F452" s="980" t="s">
        <v>307</v>
      </c>
      <c r="G452" s="980">
        <v>3306</v>
      </c>
      <c r="H452" s="980" t="s">
        <v>1153</v>
      </c>
      <c r="I452" s="980" t="s">
        <v>1907</v>
      </c>
      <c r="J452" s="980" t="s">
        <v>1111</v>
      </c>
      <c r="K452" s="980" t="s">
        <v>692</v>
      </c>
      <c r="L452" s="980" t="s">
        <v>324</v>
      </c>
      <c r="M452" s="986" t="s">
        <v>1908</v>
      </c>
      <c r="N452" s="980" t="s">
        <v>665</v>
      </c>
    </row>
    <row r="453" spans="1:14" hidden="1">
      <c r="A453" s="123">
        <v>23</v>
      </c>
      <c r="B453" s="975"/>
      <c r="C453" s="243" t="s">
        <v>1909</v>
      </c>
      <c r="D453" s="981"/>
      <c r="E453" s="981"/>
      <c r="F453" s="981"/>
      <c r="G453" s="981"/>
      <c r="H453" s="981"/>
      <c r="I453" s="981"/>
      <c r="J453" s="981"/>
      <c r="K453" s="981"/>
      <c r="L453" s="981"/>
      <c r="M453" s="987"/>
      <c r="N453" s="981"/>
    </row>
    <row r="454" spans="1:14" hidden="1">
      <c r="A454" s="123">
        <v>23</v>
      </c>
      <c r="B454" s="975"/>
      <c r="C454" s="243" t="s">
        <v>1910</v>
      </c>
      <c r="D454" s="980" t="s">
        <v>306</v>
      </c>
      <c r="E454" s="980" t="s">
        <v>322</v>
      </c>
      <c r="F454" s="980" t="s">
        <v>307</v>
      </c>
      <c r="G454" s="984" t="s">
        <v>1418</v>
      </c>
      <c r="H454" s="980" t="s">
        <v>1911</v>
      </c>
      <c r="I454" s="984" t="s">
        <v>1154</v>
      </c>
      <c r="J454" s="980" t="s">
        <v>664</v>
      </c>
      <c r="K454" s="1085" t="s">
        <v>1763</v>
      </c>
      <c r="L454" s="980" t="s">
        <v>324</v>
      </c>
      <c r="M454" s="986" t="s">
        <v>1535</v>
      </c>
      <c r="N454" s="980" t="s">
        <v>665</v>
      </c>
    </row>
    <row r="455" spans="1:14" hidden="1">
      <c r="A455" s="123">
        <v>23</v>
      </c>
      <c r="B455" s="975"/>
      <c r="C455" s="243" t="s">
        <v>1909</v>
      </c>
      <c r="D455" s="981"/>
      <c r="E455" s="981"/>
      <c r="F455" s="981"/>
      <c r="G455" s="985"/>
      <c r="H455" s="981"/>
      <c r="I455" s="985"/>
      <c r="J455" s="981"/>
      <c r="K455" s="1086"/>
      <c r="L455" s="981"/>
      <c r="M455" s="987"/>
      <c r="N455" s="981"/>
    </row>
    <row r="456" spans="1:14" hidden="1">
      <c r="A456" s="123">
        <v>23</v>
      </c>
      <c r="B456" s="975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hidden="1">
      <c r="A457" s="123">
        <v>23</v>
      </c>
      <c r="B457" s="975"/>
      <c r="C457" s="243" t="s">
        <v>1917</v>
      </c>
      <c r="D457" s="980" t="s">
        <v>306</v>
      </c>
      <c r="E457" s="980" t="s">
        <v>322</v>
      </c>
      <c r="F457" s="980" t="s">
        <v>307</v>
      </c>
      <c r="G457" s="984">
        <v>4267</v>
      </c>
      <c r="H457" s="980" t="s">
        <v>640</v>
      </c>
      <c r="I457" s="984" t="s">
        <v>1154</v>
      </c>
      <c r="J457" s="980" t="s">
        <v>664</v>
      </c>
      <c r="K457" s="1085" t="s">
        <v>1763</v>
      </c>
      <c r="L457" s="980" t="s">
        <v>324</v>
      </c>
      <c r="M457" s="986" t="s">
        <v>1535</v>
      </c>
      <c r="N457" s="980" t="s">
        <v>665</v>
      </c>
    </row>
    <row r="458" spans="1:14" hidden="1">
      <c r="A458" s="123">
        <v>23</v>
      </c>
      <c r="B458" s="975"/>
      <c r="C458" s="243" t="s">
        <v>1918</v>
      </c>
      <c r="D458" s="981"/>
      <c r="E458" s="981"/>
      <c r="F458" s="981"/>
      <c r="G458" s="985"/>
      <c r="H458" s="981"/>
      <c r="I458" s="985"/>
      <c r="J458" s="981"/>
      <c r="K458" s="1086"/>
      <c r="L458" s="981"/>
      <c r="M458" s="987"/>
      <c r="N458" s="981"/>
    </row>
    <row r="459" spans="1:14" hidden="1">
      <c r="A459" s="123">
        <v>23</v>
      </c>
      <c r="B459" s="975"/>
      <c r="C459" s="243" t="s">
        <v>1917</v>
      </c>
      <c r="D459" s="980" t="s">
        <v>306</v>
      </c>
      <c r="E459" s="980" t="s">
        <v>322</v>
      </c>
      <c r="F459" s="980" t="s">
        <v>307</v>
      </c>
      <c r="G459" s="984" t="s">
        <v>1919</v>
      </c>
      <c r="H459" s="980" t="s">
        <v>662</v>
      </c>
      <c r="I459" s="984" t="s">
        <v>1920</v>
      </c>
      <c r="J459" s="980" t="s">
        <v>349</v>
      </c>
      <c r="K459" s="1087" t="s">
        <v>1916</v>
      </c>
      <c r="L459" s="980" t="s">
        <v>324</v>
      </c>
      <c r="M459" s="986" t="s">
        <v>1535</v>
      </c>
      <c r="N459" s="980" t="s">
        <v>425</v>
      </c>
    </row>
    <row r="460" spans="1:14" hidden="1">
      <c r="A460" s="123">
        <v>23</v>
      </c>
      <c r="B460" s="976"/>
      <c r="C460" s="244" t="s">
        <v>1918</v>
      </c>
      <c r="D460" s="981"/>
      <c r="E460" s="981"/>
      <c r="F460" s="981"/>
      <c r="G460" s="985"/>
      <c r="H460" s="981"/>
      <c r="I460" s="985"/>
      <c r="J460" s="981"/>
      <c r="K460" s="1088"/>
      <c r="L460" s="981"/>
      <c r="M460" s="987"/>
      <c r="N460" s="981"/>
    </row>
    <row r="461" spans="1:14" hidden="1">
      <c r="A461" s="123">
        <v>23</v>
      </c>
      <c r="B461" s="974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hidden="1">
      <c r="A462" s="123">
        <v>23</v>
      </c>
      <c r="B462" s="975"/>
      <c r="C462" s="980" t="s">
        <v>1921</v>
      </c>
      <c r="D462" s="980" t="s">
        <v>311</v>
      </c>
      <c r="E462" s="980" t="s">
        <v>675</v>
      </c>
      <c r="F462" s="980" t="s">
        <v>1926</v>
      </c>
      <c r="G462" s="980" t="s">
        <v>1927</v>
      </c>
      <c r="H462" s="982" t="s">
        <v>347</v>
      </c>
      <c r="I462" s="242" t="s">
        <v>1928</v>
      </c>
      <c r="J462" s="980"/>
      <c r="K462" s="984" t="s">
        <v>1924</v>
      </c>
      <c r="L462" s="980" t="s">
        <v>309</v>
      </c>
      <c r="M462" s="986" t="s">
        <v>1828</v>
      </c>
      <c r="N462" s="984" t="s">
        <v>1925</v>
      </c>
    </row>
    <row r="463" spans="1:14" hidden="1">
      <c r="A463" s="123">
        <v>23</v>
      </c>
      <c r="B463" s="975"/>
      <c r="C463" s="981"/>
      <c r="D463" s="981"/>
      <c r="E463" s="981"/>
      <c r="F463" s="981"/>
      <c r="G463" s="981"/>
      <c r="H463" s="983"/>
      <c r="I463" s="242" t="s">
        <v>1929</v>
      </c>
      <c r="J463" s="981"/>
      <c r="K463" s="985"/>
      <c r="L463" s="981"/>
      <c r="M463" s="987"/>
      <c r="N463" s="985"/>
    </row>
    <row r="464" spans="1:14" ht="24" hidden="1">
      <c r="A464" s="123">
        <v>23</v>
      </c>
      <c r="B464" s="975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hidden="1">
      <c r="A465" s="123">
        <v>23</v>
      </c>
      <c r="B465" s="976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hidden="1">
      <c r="A466" s="123">
        <v>24</v>
      </c>
      <c r="B466" s="974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hidden="1">
      <c r="A467" s="123">
        <v>24</v>
      </c>
      <c r="B467" s="975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hidden="1">
      <c r="A468" s="123">
        <v>24</v>
      </c>
      <c r="B468" s="975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hidden="1">
      <c r="A469" s="123">
        <v>24</v>
      </c>
      <c r="B469" s="976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hidden="1">
      <c r="A470" s="123">
        <v>24</v>
      </c>
      <c r="B470" s="974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hidden="1">
      <c r="A471" s="123">
        <v>24</v>
      </c>
      <c r="B471" s="975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hidden="1">
      <c r="A472" s="123">
        <v>24</v>
      </c>
      <c r="B472" s="975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hidden="1">
      <c r="A473" s="123">
        <v>24</v>
      </c>
      <c r="B473" s="975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hidden="1">
      <c r="A474" s="123">
        <v>24</v>
      </c>
      <c r="B474" s="976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hidden="1">
      <c r="A475" s="123">
        <v>25</v>
      </c>
      <c r="B475" s="974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hidden="1">
      <c r="A476" s="123">
        <v>25</v>
      </c>
      <c r="B476" s="975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hidden="1">
      <c r="A477" s="123">
        <v>25</v>
      </c>
      <c r="B477" s="975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hidden="1">
      <c r="A478" s="123">
        <v>25</v>
      </c>
      <c r="B478" s="976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hidden="1">
      <c r="A479" s="123">
        <v>25</v>
      </c>
      <c r="B479" s="974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hidden="1">
      <c r="A480" s="123">
        <v>25</v>
      </c>
      <c r="B480" s="975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hidden="1">
      <c r="A481" s="231">
        <v>25</v>
      </c>
      <c r="B481" s="976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hidden="1">
      <c r="A482" s="123">
        <v>26</v>
      </c>
      <c r="B482" s="974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hidden="1">
      <c r="A483" s="123">
        <v>26</v>
      </c>
      <c r="B483" s="975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hidden="1">
      <c r="A484" s="123">
        <v>26</v>
      </c>
      <c r="B484" s="975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hidden="1">
      <c r="A485" s="123">
        <v>26</v>
      </c>
      <c r="B485" s="975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hidden="1">
      <c r="A486" s="123">
        <v>26</v>
      </c>
      <c r="B486" s="976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hidden="1">
      <c r="A487" s="123">
        <v>26</v>
      </c>
      <c r="B487" s="974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hidden="1">
      <c r="A488" s="123">
        <v>26</v>
      </c>
      <c r="B488" s="975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hidden="1">
      <c r="A489" s="123">
        <v>26</v>
      </c>
      <c r="B489" s="975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hidden="1">
      <c r="A490" s="123">
        <v>26</v>
      </c>
      <c r="B490" s="975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hidden="1">
      <c r="A491" s="123">
        <v>26</v>
      </c>
      <c r="B491" s="976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hidden="1">
      <c r="A492" s="123">
        <v>27</v>
      </c>
      <c r="B492" s="974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hidden="1">
      <c r="A493" s="123">
        <v>27</v>
      </c>
      <c r="B493" s="975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hidden="1">
      <c r="A494" s="123">
        <v>27</v>
      </c>
      <c r="B494" s="975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hidden="1">
      <c r="A495" s="123">
        <v>27</v>
      </c>
      <c r="B495" s="975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hidden="1">
      <c r="A496" s="123">
        <v>27</v>
      </c>
      <c r="B496" s="975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hidden="1">
      <c r="A497" s="123">
        <v>27</v>
      </c>
      <c r="B497" s="976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hidden="1" customHeight="1">
      <c r="A498" s="123">
        <v>27</v>
      </c>
      <c r="B498" s="974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hidden="1">
      <c r="A499" s="123">
        <v>27</v>
      </c>
      <c r="B499" s="975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hidden="1">
      <c r="A500" s="123">
        <v>27</v>
      </c>
      <c r="B500" s="976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hidden="1">
      <c r="A501" s="123">
        <v>28</v>
      </c>
      <c r="B501" s="974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hidden="1">
      <c r="A502" s="123">
        <v>28</v>
      </c>
      <c r="B502" s="975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hidden="1">
      <c r="A503" s="123">
        <v>28</v>
      </c>
      <c r="B503" s="975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hidden="1">
      <c r="A504" s="123">
        <v>28</v>
      </c>
      <c r="B504" s="976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hidden="1">
      <c r="A505" s="123">
        <v>28</v>
      </c>
      <c r="B505" s="974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hidden="1">
      <c r="A506" s="123">
        <v>28</v>
      </c>
      <c r="B506" s="976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hidden="1">
      <c r="A507" s="123">
        <v>29</v>
      </c>
      <c r="B507" s="974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hidden="1">
      <c r="A508" s="123">
        <v>29</v>
      </c>
      <c r="B508" s="975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hidden="1">
      <c r="A509" s="123">
        <v>29</v>
      </c>
      <c r="B509" s="975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hidden="1">
      <c r="A510" s="123">
        <v>29</v>
      </c>
      <c r="B510" s="975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hidden="1">
      <c r="A511" s="123">
        <v>29</v>
      </c>
      <c r="B511" s="975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hidden="1">
      <c r="A512" s="123">
        <v>29</v>
      </c>
      <c r="B512" s="975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hidden="1" customHeight="1">
      <c r="A513" s="123">
        <v>29</v>
      </c>
      <c r="B513" s="975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hidden="1">
      <c r="A514" s="123">
        <v>29</v>
      </c>
      <c r="B514" s="975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hidden="1">
      <c r="A515" s="231">
        <v>29</v>
      </c>
      <c r="B515" s="976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hidden="1">
      <c r="A516" s="123">
        <v>30</v>
      </c>
      <c r="B516" s="974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hidden="1">
      <c r="A517" s="123">
        <v>30</v>
      </c>
      <c r="B517" s="975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hidden="1">
      <c r="A518" s="123">
        <v>30</v>
      </c>
      <c r="B518" s="976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hidden="1">
      <c r="A519" s="123">
        <v>30</v>
      </c>
      <c r="B519" s="974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hidden="1">
      <c r="A520" s="123">
        <v>30</v>
      </c>
      <c r="B520" s="975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hidden="1">
      <c r="A521" s="123">
        <v>30</v>
      </c>
      <c r="B521" s="975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hidden="1">
      <c r="A522" s="123">
        <v>30</v>
      </c>
      <c r="B522" s="975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hidden="1">
      <c r="A523" s="123">
        <v>30</v>
      </c>
      <c r="B523" s="976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hidden="1">
      <c r="A524" s="123">
        <v>31</v>
      </c>
      <c r="B524" s="974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hidden="1">
      <c r="A525" s="123">
        <v>31</v>
      </c>
      <c r="B525" s="976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hidden="1">
      <c r="A526" s="123">
        <v>31</v>
      </c>
      <c r="B526" s="974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hidden="1">
      <c r="A527" s="123">
        <v>31</v>
      </c>
      <c r="B527" s="975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hidden="1">
      <c r="A528" s="123">
        <v>31</v>
      </c>
      <c r="B528" s="975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hidden="1">
      <c r="A529" s="123">
        <v>31</v>
      </c>
      <c r="B529" s="975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hidden="1">
      <c r="A530" s="123">
        <v>31</v>
      </c>
      <c r="B530" s="976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hidden="1">
      <c r="A531" s="123">
        <v>32</v>
      </c>
      <c r="B531" s="974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hidden="1">
      <c r="A532" s="123">
        <v>32</v>
      </c>
      <c r="B532" s="975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hidden="1">
      <c r="A533" s="123">
        <v>32</v>
      </c>
      <c r="B533" s="976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hidden="1">
      <c r="A534" s="123">
        <v>32</v>
      </c>
      <c r="B534" s="974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hidden="1">
      <c r="A535" s="123">
        <v>32</v>
      </c>
      <c r="B535" s="975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hidden="1">
      <c r="A536" s="123">
        <v>32</v>
      </c>
      <c r="B536" s="976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hidden="1">
      <c r="A537" s="123">
        <v>33</v>
      </c>
      <c r="B537" s="974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hidden="1">
      <c r="A538" s="123">
        <v>33</v>
      </c>
      <c r="B538" s="975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hidden="1">
      <c r="A539" s="123">
        <v>33</v>
      </c>
      <c r="B539" s="975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hidden="1">
      <c r="A540" s="123">
        <v>33</v>
      </c>
      <c r="B540" s="975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hidden="1">
      <c r="A541" s="123">
        <v>33</v>
      </c>
      <c r="B541" s="976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hidden="1">
      <c r="A542" s="123">
        <v>33</v>
      </c>
      <c r="B542" s="974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hidden="1">
      <c r="A543" s="123">
        <v>33</v>
      </c>
      <c r="B543" s="975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hidden="1">
      <c r="A544" s="123">
        <v>33</v>
      </c>
      <c r="B544" s="975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hidden="1">
      <c r="A545" s="123">
        <v>33</v>
      </c>
      <c r="B545" s="976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hidden="1">
      <c r="A546" s="123">
        <v>34</v>
      </c>
      <c r="B546" s="974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hidden="1">
      <c r="A547" s="123">
        <v>34</v>
      </c>
      <c r="B547" s="975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hidden="1">
      <c r="A548" s="123">
        <v>34</v>
      </c>
      <c r="B548" s="975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hidden="1">
      <c r="A549" s="123">
        <v>34</v>
      </c>
      <c r="B549" s="976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hidden="1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hidden="1">
      <c r="A551" s="123">
        <v>35</v>
      </c>
      <c r="B551" s="974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hidden="1">
      <c r="A552" s="123">
        <v>35</v>
      </c>
      <c r="B552" s="975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hidden="1">
      <c r="A553" s="123">
        <v>35</v>
      </c>
      <c r="B553" s="976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hidden="1">
      <c r="A554" s="123">
        <v>35</v>
      </c>
      <c r="B554" s="974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hidden="1">
      <c r="A555" s="123">
        <v>35</v>
      </c>
      <c r="B555" s="975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hidden="1">
      <c r="A556" s="123">
        <v>35</v>
      </c>
      <c r="B556" s="975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hidden="1">
      <c r="A557" s="123">
        <v>35</v>
      </c>
      <c r="B557" s="976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hidden="1">
      <c r="A558" s="123">
        <v>36</v>
      </c>
      <c r="B558" s="974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hidden="1">
      <c r="A559" s="123">
        <v>36</v>
      </c>
      <c r="B559" s="975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hidden="1">
      <c r="A560" s="123">
        <v>36</v>
      </c>
      <c r="B560" s="976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hidden="1">
      <c r="A561" s="123">
        <v>36</v>
      </c>
      <c r="B561" s="974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hidden="1">
      <c r="A562" s="123">
        <v>36</v>
      </c>
      <c r="B562" s="975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hidden="1">
      <c r="A563" s="123">
        <v>36</v>
      </c>
      <c r="B563" s="975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hidden="1">
      <c r="A564" s="123">
        <v>36</v>
      </c>
      <c r="B564" s="976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hidden="1">
      <c r="A565" s="123">
        <v>37</v>
      </c>
      <c r="B565" s="974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hidden="1">
      <c r="A566" s="123">
        <v>37</v>
      </c>
      <c r="B566" s="975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hidden="1">
      <c r="A567" s="123">
        <v>37</v>
      </c>
      <c r="B567" s="975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hidden="1">
      <c r="A568" s="123">
        <v>37</v>
      </c>
      <c r="B568" s="975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hidden="1">
      <c r="A569" s="123">
        <v>37</v>
      </c>
      <c r="B569" s="975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hidden="1">
      <c r="A570" s="123">
        <v>37</v>
      </c>
      <c r="B570" s="976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hidden="1">
      <c r="A571" s="123">
        <v>38</v>
      </c>
      <c r="B571" s="977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hidden="1">
      <c r="A572" s="123">
        <v>38</v>
      </c>
      <c r="B572" s="979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hidden="1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hidden="1">
      <c r="A574" s="123">
        <v>39</v>
      </c>
      <c r="B574" s="977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hidden="1">
      <c r="A575" s="123">
        <v>39</v>
      </c>
      <c r="B575" s="978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hidden="1">
      <c r="A576" s="123">
        <v>39</v>
      </c>
      <c r="B576" s="978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hidden="1">
      <c r="A577" s="123">
        <v>39</v>
      </c>
      <c r="B577" s="979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hidden="1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hidden="1">
      <c r="A579" s="123">
        <v>40</v>
      </c>
      <c r="B579" s="974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hidden="1">
      <c r="A580" s="123">
        <v>40</v>
      </c>
      <c r="B580" s="976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hidden="1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hidden="1">
      <c r="A582" s="123">
        <v>41</v>
      </c>
      <c r="B582" s="977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hidden="1">
      <c r="A583" s="123">
        <v>41</v>
      </c>
      <c r="B583" s="978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hidden="1">
      <c r="A584" s="123">
        <v>41</v>
      </c>
      <c r="B584" s="978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hidden="1">
      <c r="A585" s="123">
        <v>41</v>
      </c>
      <c r="B585" s="979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hidden="1">
      <c r="A586" s="123">
        <v>41</v>
      </c>
      <c r="B586" s="974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hidden="1">
      <c r="A587" s="123">
        <v>41</v>
      </c>
      <c r="B587" s="975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hidden="1">
      <c r="A588" s="123">
        <v>41</v>
      </c>
      <c r="B588" s="975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hidden="1">
      <c r="A589" s="123">
        <v>41</v>
      </c>
      <c r="B589" s="976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hidden="1">
      <c r="A590" s="123">
        <v>42</v>
      </c>
      <c r="B590" s="974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hidden="1">
      <c r="A591" s="123">
        <v>42</v>
      </c>
      <c r="B591" s="975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hidden="1">
      <c r="A592" s="123">
        <v>42</v>
      </c>
      <c r="B592" s="975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hidden="1">
      <c r="A593" s="123">
        <v>42</v>
      </c>
      <c r="B593" s="975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hidden="1">
      <c r="A594" s="123">
        <v>42</v>
      </c>
      <c r="B594" s="975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hidden="1">
      <c r="A595" s="123">
        <v>42</v>
      </c>
      <c r="B595" s="976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hidden="1">
      <c r="A596" s="123">
        <v>42</v>
      </c>
      <c r="B596" s="974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hidden="1">
      <c r="A597" s="123">
        <v>42</v>
      </c>
      <c r="B597" s="975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hidden="1">
      <c r="A598" s="123">
        <v>42</v>
      </c>
      <c r="B598" s="976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hidden="1">
      <c r="A599" s="123">
        <v>43</v>
      </c>
      <c r="B599" s="974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hidden="1">
      <c r="A600" s="123">
        <v>43</v>
      </c>
      <c r="B600" s="975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hidden="1">
      <c r="A601" s="123">
        <v>43</v>
      </c>
      <c r="B601" s="976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hidden="1">
      <c r="A602" s="123">
        <v>43</v>
      </c>
      <c r="B602" s="974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hidden="1">
      <c r="A603" s="123">
        <v>43</v>
      </c>
      <c r="B603" s="975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hidden="1">
      <c r="A604" s="123">
        <v>43</v>
      </c>
      <c r="B604" s="975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hidden="1">
      <c r="A605" s="123">
        <v>43</v>
      </c>
      <c r="B605" s="976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hidden="1">
      <c r="A606" s="123">
        <v>44</v>
      </c>
      <c r="B606" s="974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hidden="1">
      <c r="A607" s="123">
        <v>44</v>
      </c>
      <c r="B607" s="976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hidden="1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hidden="1">
      <c r="A609" s="123">
        <v>45</v>
      </c>
      <c r="B609" s="977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hidden="1">
      <c r="A610" s="123">
        <v>45</v>
      </c>
      <c r="B610" s="978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hidden="1">
      <c r="A611" s="123">
        <v>45</v>
      </c>
      <c r="B611" s="979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hidden="1">
      <c r="A612" s="123">
        <v>45</v>
      </c>
      <c r="B612" s="974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hidden="1">
      <c r="A613" s="123">
        <v>45</v>
      </c>
      <c r="B613" s="975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hidden="1">
      <c r="A614" s="123">
        <v>45</v>
      </c>
      <c r="B614" s="975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hidden="1">
      <c r="A615" s="123">
        <v>45</v>
      </c>
      <c r="B615" s="976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hidden="1">
      <c r="A616" s="123">
        <v>46</v>
      </c>
      <c r="B616" s="974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hidden="1">
      <c r="A617" s="123">
        <v>46</v>
      </c>
      <c r="B617" s="976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hidden="1">
      <c r="A618" s="123">
        <v>46</v>
      </c>
      <c r="B618" s="974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hidden="1">
      <c r="A619" s="123">
        <v>46</v>
      </c>
      <c r="B619" s="975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hidden="1">
      <c r="A620" s="123">
        <v>46</v>
      </c>
      <c r="B620" s="975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hidden="1">
      <c r="A621" s="123">
        <v>46</v>
      </c>
      <c r="B621" s="976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hidden="1">
      <c r="A622" s="123">
        <v>47</v>
      </c>
      <c r="B622" s="1090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hidden="1">
      <c r="A623" s="123">
        <v>47</v>
      </c>
      <c r="B623" s="1091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hidden="1">
      <c r="A624" s="123">
        <v>47</v>
      </c>
      <c r="B624" s="1091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hidden="1">
      <c r="A625" s="123">
        <v>47</v>
      </c>
      <c r="B625" s="1091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hidden="1">
      <c r="A626" s="123">
        <v>47</v>
      </c>
      <c r="B626" s="1092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hidden="1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hidden="1">
      <c r="A628" s="123">
        <v>48</v>
      </c>
      <c r="B628" s="974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hidden="1">
      <c r="A629" s="123">
        <v>48</v>
      </c>
      <c r="B629" s="975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hidden="1">
      <c r="A630" s="123">
        <v>48</v>
      </c>
      <c r="B630" s="976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hidden="1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hidden="1">
      <c r="A632" s="123">
        <v>49</v>
      </c>
      <c r="B632" s="974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hidden="1">
      <c r="A633" s="123">
        <v>49</v>
      </c>
      <c r="B633" s="975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hidden="1">
      <c r="A634" s="123">
        <v>49</v>
      </c>
      <c r="B634" s="976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hidden="1">
      <c r="A635" s="123">
        <v>49</v>
      </c>
      <c r="B635" s="974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hidden="1">
      <c r="A636" s="123">
        <v>49</v>
      </c>
      <c r="B636" s="975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hidden="1">
      <c r="A637" s="123">
        <v>49</v>
      </c>
      <c r="B637" s="976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hidden="1">
      <c r="A638" s="123">
        <v>50</v>
      </c>
      <c r="B638" s="974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hidden="1">
      <c r="A639" s="123">
        <v>50</v>
      </c>
      <c r="B639" s="976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hidden="1">
      <c r="A640" s="123">
        <v>50</v>
      </c>
      <c r="B640" s="974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hidden="1">
      <c r="A641" s="123">
        <v>50</v>
      </c>
      <c r="B641" s="975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hidden="1">
      <c r="A642" s="123">
        <v>50</v>
      </c>
      <c r="B642" s="976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hidden="1">
      <c r="A643" s="123">
        <v>51</v>
      </c>
      <c r="B643" s="974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hidden="1">
      <c r="A644" s="123">
        <v>51</v>
      </c>
      <c r="B644" s="975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hidden="1">
      <c r="A645" s="123">
        <v>51</v>
      </c>
      <c r="B645" s="975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hidden="1">
      <c r="A646" s="123">
        <v>51</v>
      </c>
      <c r="B646" s="975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hidden="1">
      <c r="A647" s="123">
        <v>51</v>
      </c>
      <c r="B647" s="975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hidden="1">
      <c r="A648" s="123">
        <v>51</v>
      </c>
      <c r="B648" s="975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hidden="1">
      <c r="A649" s="123">
        <v>51</v>
      </c>
      <c r="B649" s="975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hidden="1">
      <c r="A650" s="123">
        <v>52</v>
      </c>
      <c r="B650" s="975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hidden="1">
      <c r="A651" s="123">
        <v>52</v>
      </c>
      <c r="B651" s="975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hidden="1">
      <c r="A652" s="123">
        <v>52</v>
      </c>
      <c r="B652" s="975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hidden="1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hidden="1">
      <c r="A654" s="123">
        <v>1</v>
      </c>
      <c r="B654" s="975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hidden="1">
      <c r="A655" s="123">
        <v>1</v>
      </c>
      <c r="B655" s="975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hidden="1">
      <c r="A656" s="123">
        <v>1</v>
      </c>
      <c r="B656" s="975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hidden="1">
      <c r="A657" s="123">
        <v>1</v>
      </c>
      <c r="B657" s="975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hidden="1">
      <c r="A658" s="123">
        <v>2</v>
      </c>
      <c r="B658" s="975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hidden="1">
      <c r="A659" s="123">
        <v>2</v>
      </c>
      <c r="B659" s="975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hidden="1">
      <c r="A660" s="123">
        <v>2</v>
      </c>
      <c r="B660" s="975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hidden="1">
      <c r="A661" s="123">
        <v>2</v>
      </c>
      <c r="B661" s="975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hidden="1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hidden="1">
      <c r="A663" s="123">
        <v>3</v>
      </c>
      <c r="B663" s="975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hidden="1">
      <c r="A664" s="123">
        <v>3</v>
      </c>
      <c r="B664" s="975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hidden="1">
      <c r="A665" s="123">
        <v>3</v>
      </c>
      <c r="B665" s="975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hidden="1">
      <c r="A666" s="123">
        <v>3</v>
      </c>
      <c r="B666" s="975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hidden="1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hidden="1">
      <c r="A668" s="123">
        <v>4</v>
      </c>
      <c r="B668" s="974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hidden="1">
      <c r="A669" s="123">
        <v>4</v>
      </c>
      <c r="B669" s="975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hidden="1">
      <c r="A670" s="123">
        <v>4</v>
      </c>
      <c r="B670" s="975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hidden="1">
      <c r="A671" s="123">
        <v>4</v>
      </c>
      <c r="B671" s="976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" hidden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hidden="1" thickTop="1">
      <c r="A673" s="355">
        <v>6</v>
      </c>
      <c r="B673" s="1089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hidden="1">
      <c r="A674" s="123">
        <v>6</v>
      </c>
      <c r="B674" s="975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hidden="1">
      <c r="A675" s="123">
        <v>6</v>
      </c>
      <c r="B675" s="976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hidden="1">
      <c r="A676" s="123">
        <v>6</v>
      </c>
      <c r="B676" s="974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hidden="1">
      <c r="A677" s="123">
        <v>6</v>
      </c>
      <c r="B677" s="976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hidden="1">
      <c r="A678" s="123">
        <v>7</v>
      </c>
      <c r="B678" s="974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hidden="1">
      <c r="A679" s="123">
        <v>7</v>
      </c>
      <c r="B679" s="975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hidden="1">
      <c r="A680" s="123">
        <v>7</v>
      </c>
      <c r="B680" s="975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hidden="1">
      <c r="A681" s="123">
        <v>7</v>
      </c>
      <c r="B681" s="975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hidden="1">
      <c r="A682" s="123">
        <v>7</v>
      </c>
      <c r="B682" s="976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hidden="1">
      <c r="A683" s="123">
        <v>7</v>
      </c>
      <c r="B683" s="974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hidden="1">
      <c r="A684" s="123">
        <v>7</v>
      </c>
      <c r="B684" s="976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hidden="1">
      <c r="A685" s="123">
        <v>8</v>
      </c>
      <c r="B685" s="974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hidden="1">
      <c r="A686" s="123">
        <v>8</v>
      </c>
      <c r="B686" s="975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hidden="1">
      <c r="A687" s="123">
        <v>8</v>
      </c>
      <c r="B687" s="975"/>
      <c r="C687" s="148" t="s">
        <v>2726</v>
      </c>
      <c r="D687" s="999" t="s">
        <v>306</v>
      </c>
      <c r="E687" s="999" t="s">
        <v>322</v>
      </c>
      <c r="F687" s="999" t="s">
        <v>307</v>
      </c>
      <c r="G687" s="1004" t="s">
        <v>2719</v>
      </c>
      <c r="H687" s="999" t="s">
        <v>1047</v>
      </c>
      <c r="I687" s="1004" t="s">
        <v>704</v>
      </c>
      <c r="J687" s="999" t="s">
        <v>664</v>
      </c>
      <c r="K687" s="1093" t="s">
        <v>1763</v>
      </c>
      <c r="L687" s="999"/>
      <c r="M687" s="1008" t="s">
        <v>458</v>
      </c>
      <c r="N687" s="999" t="s">
        <v>665</v>
      </c>
    </row>
    <row r="688" spans="1:14" hidden="1">
      <c r="A688" s="123">
        <v>8</v>
      </c>
      <c r="B688" s="975"/>
      <c r="C688" s="148" t="s">
        <v>2727</v>
      </c>
      <c r="D688" s="1000"/>
      <c r="E688" s="1000"/>
      <c r="F688" s="1000"/>
      <c r="G688" s="1005"/>
      <c r="H688" s="1000"/>
      <c r="I688" s="1005"/>
      <c r="J688" s="1000"/>
      <c r="K688" s="1094"/>
      <c r="L688" s="1000"/>
      <c r="M688" s="1009"/>
      <c r="N688" s="1000"/>
    </row>
    <row r="689" spans="1:14" hidden="1">
      <c r="A689" s="123">
        <v>8</v>
      </c>
      <c r="B689" s="975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hidden="1" customHeight="1">
      <c r="A690" s="123">
        <v>8</v>
      </c>
      <c r="B690" s="975"/>
      <c r="C690" s="148" t="s">
        <v>2730</v>
      </c>
      <c r="D690" s="999" t="s">
        <v>306</v>
      </c>
      <c r="E690" s="999" t="s">
        <v>322</v>
      </c>
      <c r="F690" s="999" t="s">
        <v>307</v>
      </c>
      <c r="G690" s="1004" t="s">
        <v>2731</v>
      </c>
      <c r="H690" s="999" t="s">
        <v>640</v>
      </c>
      <c r="I690" s="1004" t="s">
        <v>668</v>
      </c>
      <c r="J690" s="999" t="s">
        <v>349</v>
      </c>
      <c r="K690" s="1095" t="s">
        <v>2732</v>
      </c>
      <c r="L690" s="999"/>
      <c r="M690" s="1008" t="s">
        <v>2769</v>
      </c>
      <c r="N690" s="999" t="s">
        <v>425</v>
      </c>
    </row>
    <row r="691" spans="1:14" hidden="1">
      <c r="A691" s="123">
        <v>8</v>
      </c>
      <c r="B691" s="976"/>
      <c r="C691" s="148" t="s">
        <v>2723</v>
      </c>
      <c r="D691" s="1000"/>
      <c r="E691" s="1000"/>
      <c r="F691" s="1000"/>
      <c r="G691" s="1005"/>
      <c r="H691" s="1000"/>
      <c r="I691" s="1005"/>
      <c r="J691" s="1000"/>
      <c r="K691" s="1096"/>
      <c r="L691" s="1000"/>
      <c r="M691" s="1009"/>
      <c r="N691" s="1000"/>
    </row>
    <row r="692" spans="1:14" hidden="1">
      <c r="A692" s="123">
        <v>8</v>
      </c>
      <c r="B692" s="974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hidden="1" customHeight="1">
      <c r="A693" s="123">
        <v>8</v>
      </c>
      <c r="B693" s="975"/>
      <c r="C693" s="999" t="s">
        <v>2768</v>
      </c>
      <c r="D693" s="999" t="s">
        <v>311</v>
      </c>
      <c r="E693" s="999" t="s">
        <v>675</v>
      </c>
      <c r="F693" s="149" t="s">
        <v>1806</v>
      </c>
      <c r="G693" s="1004" t="s">
        <v>689</v>
      </c>
      <c r="H693" s="1004" t="s">
        <v>662</v>
      </c>
      <c r="I693" s="1004" t="s">
        <v>2739</v>
      </c>
      <c r="J693" s="1004"/>
      <c r="K693" s="1004" t="s">
        <v>698</v>
      </c>
      <c r="L693" s="999" t="s">
        <v>309</v>
      </c>
      <c r="M693" s="1008" t="s">
        <v>672</v>
      </c>
      <c r="N693" s="999" t="s">
        <v>2740</v>
      </c>
    </row>
    <row r="694" spans="1:14" hidden="1">
      <c r="A694" s="123">
        <v>8</v>
      </c>
      <c r="B694" s="976"/>
      <c r="C694" s="1000"/>
      <c r="D694" s="1000"/>
      <c r="E694" s="1000"/>
      <c r="F694" s="149" t="s">
        <v>2738</v>
      </c>
      <c r="G694" s="1005"/>
      <c r="H694" s="1005"/>
      <c r="I694" s="1005"/>
      <c r="J694" s="1005"/>
      <c r="K694" s="1005"/>
      <c r="L694" s="1000"/>
      <c r="M694" s="1009"/>
      <c r="N694" s="1027"/>
    </row>
    <row r="695" spans="1:14" hidden="1">
      <c r="A695" s="123">
        <v>9</v>
      </c>
      <c r="B695" s="974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hidden="1">
      <c r="A696" s="123">
        <v>9</v>
      </c>
      <c r="B696" s="975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hidden="1">
      <c r="A697" s="123">
        <v>9</v>
      </c>
      <c r="B697" s="975"/>
      <c r="C697" s="243" t="s">
        <v>2745</v>
      </c>
      <c r="D697" s="980" t="s">
        <v>306</v>
      </c>
      <c r="E697" s="980" t="s">
        <v>322</v>
      </c>
      <c r="F697" s="980" t="s">
        <v>307</v>
      </c>
      <c r="G697" s="984" t="s">
        <v>2746</v>
      </c>
      <c r="H697" s="980" t="s">
        <v>405</v>
      </c>
      <c r="I697" s="984" t="s">
        <v>2747</v>
      </c>
      <c r="J697" s="980" t="s">
        <v>664</v>
      </c>
      <c r="K697" s="1097" t="s">
        <v>1757</v>
      </c>
      <c r="L697" s="980"/>
      <c r="M697" s="986">
        <v>750000</v>
      </c>
      <c r="N697" s="980" t="s">
        <v>665</v>
      </c>
    </row>
    <row r="698" spans="1:14" hidden="1">
      <c r="A698" s="123">
        <v>9</v>
      </c>
      <c r="B698" s="975"/>
      <c r="C698" s="243" t="s">
        <v>2748</v>
      </c>
      <c r="D698" s="981"/>
      <c r="E698" s="981"/>
      <c r="F698" s="981"/>
      <c r="G698" s="985"/>
      <c r="H698" s="981"/>
      <c r="I698" s="985"/>
      <c r="J698" s="981"/>
      <c r="K698" s="1098"/>
      <c r="L698" s="981"/>
      <c r="M698" s="987"/>
      <c r="N698" s="981"/>
    </row>
    <row r="699" spans="1:14" hidden="1">
      <c r="A699" s="123">
        <v>9</v>
      </c>
      <c r="B699" s="975"/>
      <c r="C699" s="243" t="s">
        <v>2745</v>
      </c>
      <c r="D699" s="980" t="s">
        <v>306</v>
      </c>
      <c r="E699" s="980" t="s">
        <v>322</v>
      </c>
      <c r="F699" s="980" t="s">
        <v>307</v>
      </c>
      <c r="G699" s="984" t="s">
        <v>2749</v>
      </c>
      <c r="H699" s="980" t="s">
        <v>662</v>
      </c>
      <c r="I699" s="984" t="s">
        <v>668</v>
      </c>
      <c r="J699" s="980" t="s">
        <v>349</v>
      </c>
      <c r="K699" s="1099" t="s">
        <v>2732</v>
      </c>
      <c r="L699" s="980"/>
      <c r="M699" s="986">
        <v>1000000</v>
      </c>
      <c r="N699" s="980" t="s">
        <v>425</v>
      </c>
    </row>
    <row r="700" spans="1:14" hidden="1">
      <c r="A700" s="123">
        <v>9</v>
      </c>
      <c r="B700" s="975"/>
      <c r="C700" s="243" t="s">
        <v>2750</v>
      </c>
      <c r="D700" s="981"/>
      <c r="E700" s="981"/>
      <c r="F700" s="981"/>
      <c r="G700" s="985"/>
      <c r="H700" s="981"/>
      <c r="I700" s="985"/>
      <c r="J700" s="981"/>
      <c r="K700" s="1100"/>
      <c r="L700" s="981"/>
      <c r="M700" s="987"/>
      <c r="N700" s="981"/>
    </row>
    <row r="701" spans="1:14" hidden="1">
      <c r="A701" s="123">
        <v>9</v>
      </c>
      <c r="B701" s="976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hidden="1">
      <c r="A702" s="123">
        <v>10</v>
      </c>
      <c r="B702" s="974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hidden="1">
      <c r="A703" s="123">
        <v>10</v>
      </c>
      <c r="B703" s="975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hidden="1">
      <c r="A704" s="123">
        <v>10</v>
      </c>
      <c r="B704" s="976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hidden="1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hidden="1">
      <c r="A706" s="123">
        <v>11</v>
      </c>
      <c r="B706" s="974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hidden="1">
      <c r="A707" s="123">
        <v>11</v>
      </c>
      <c r="B707" s="975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hidden="1">
      <c r="A708" s="123">
        <v>11</v>
      </c>
      <c r="B708" s="976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hidden="1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hidden="1">
      <c r="A710" s="123">
        <v>12</v>
      </c>
      <c r="B710" s="974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hidden="1">
      <c r="A711" s="123">
        <v>12</v>
      </c>
      <c r="B711" s="975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hidden="1">
      <c r="A712" s="123">
        <v>12</v>
      </c>
      <c r="B712" s="975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hidden="1">
      <c r="A713" s="123">
        <v>12</v>
      </c>
      <c r="B713" s="976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hidden="1">
      <c r="A714" s="123">
        <v>13</v>
      </c>
      <c r="B714" s="974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hidden="1">
      <c r="A715" s="123">
        <v>13</v>
      </c>
      <c r="B715" s="976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hidden="1">
      <c r="A716" s="123">
        <v>13</v>
      </c>
      <c r="B716" s="974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hidden="1">
      <c r="A717" s="123">
        <v>13</v>
      </c>
      <c r="B717" s="976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hidden="1">
      <c r="A718" s="123">
        <v>14</v>
      </c>
      <c r="B718" s="974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hidden="1">
      <c r="A719" s="123">
        <v>14</v>
      </c>
      <c r="B719" s="975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hidden="1">
      <c r="A720" s="123">
        <v>14</v>
      </c>
      <c r="B720" s="975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hidden="1">
      <c r="A721" s="123">
        <v>14</v>
      </c>
      <c r="B721" s="975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hidden="1">
      <c r="A722" s="123">
        <v>14</v>
      </c>
      <c r="B722" s="976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hidden="1">
      <c r="A723" s="123">
        <v>14</v>
      </c>
      <c r="B723" s="974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hidden="1">
      <c r="A724" s="123">
        <v>14</v>
      </c>
      <c r="B724" s="975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hidden="1">
      <c r="A725" s="123">
        <v>14</v>
      </c>
      <c r="B725" s="975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hidden="1">
      <c r="A726" s="123">
        <v>14</v>
      </c>
      <c r="B726" s="976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hidden="1">
      <c r="A727" s="123">
        <v>15</v>
      </c>
      <c r="B727" s="974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hidden="1">
      <c r="A728" s="123">
        <v>15</v>
      </c>
      <c r="B728" s="975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hidden="1">
      <c r="A729" s="123">
        <v>15</v>
      </c>
      <c r="B729" s="975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hidden="1">
      <c r="A730" s="123">
        <v>15</v>
      </c>
      <c r="B730" s="975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hidden="1">
      <c r="A731" s="123">
        <v>15</v>
      </c>
      <c r="B731" s="975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hidden="1">
      <c r="A732" s="123">
        <v>15</v>
      </c>
      <c r="B732" s="975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hidden="1">
      <c r="A733" s="123">
        <v>15</v>
      </c>
      <c r="B733" s="975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1101" t="s">
        <v>2821</v>
      </c>
    </row>
    <row r="734" spans="1:14" ht="27" hidden="1">
      <c r="A734" s="123">
        <v>15</v>
      </c>
      <c r="B734" s="975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1102"/>
    </row>
    <row r="735" spans="1:14" hidden="1">
      <c r="A735" s="123">
        <v>15</v>
      </c>
      <c r="B735" s="975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hidden="1">
      <c r="A736" s="123">
        <v>15</v>
      </c>
      <c r="B736" s="975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hidden="1">
      <c r="A737" s="123">
        <v>16</v>
      </c>
      <c r="B737" s="975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hidden="1">
      <c r="A738" s="123">
        <v>16</v>
      </c>
      <c r="B738" s="975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hidden="1">
      <c r="A739" s="123">
        <v>16</v>
      </c>
      <c r="B739" s="975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hidden="1">
      <c r="A740" s="123">
        <v>16</v>
      </c>
      <c r="B740" s="975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hidden="1">
      <c r="A741" s="123">
        <v>16</v>
      </c>
      <c r="B741" s="975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hidden="1">
      <c r="A742" s="123">
        <v>16</v>
      </c>
      <c r="B742" s="975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hidden="1">
      <c r="A743" s="123">
        <v>16</v>
      </c>
      <c r="B743" s="975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hidden="1">
      <c r="A744" s="123">
        <v>16</v>
      </c>
      <c r="B744" s="975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hidden="1">
      <c r="A745" s="231">
        <v>16</v>
      </c>
      <c r="B745" s="976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hidden="1">
      <c r="A746" s="123">
        <v>17</v>
      </c>
      <c r="B746" s="974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hidden="1">
      <c r="A747" s="123">
        <v>17</v>
      </c>
      <c r="B747" s="975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hidden="1">
      <c r="A748" s="123">
        <v>17</v>
      </c>
      <c r="B748" s="975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hidden="1">
      <c r="A749" s="123">
        <v>17</v>
      </c>
      <c r="B749" s="975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hidden="1">
      <c r="A750" s="123">
        <v>17</v>
      </c>
      <c r="B750" s="976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hidden="1">
      <c r="A751" s="123">
        <v>17</v>
      </c>
      <c r="B751" s="974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hidden="1">
      <c r="A752" s="123">
        <v>17</v>
      </c>
      <c r="B752" s="975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hidden="1">
      <c r="A753" s="123">
        <v>17</v>
      </c>
      <c r="B753" s="975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hidden="1">
      <c r="A754" s="123">
        <v>17</v>
      </c>
      <c r="B754" s="975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hidden="1">
      <c r="A755" s="123">
        <v>17</v>
      </c>
      <c r="B755" s="976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hidden="1">
      <c r="A756" s="123">
        <v>18</v>
      </c>
      <c r="B756" s="974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hidden="1">
      <c r="A757" s="123">
        <v>18</v>
      </c>
      <c r="B757" s="975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hidden="1">
      <c r="A758" s="123">
        <v>18</v>
      </c>
      <c r="B758" s="975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hidden="1">
      <c r="A759" s="123">
        <v>18</v>
      </c>
      <c r="B759" s="976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hidden="1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hidden="1">
      <c r="A761" s="123">
        <v>19</v>
      </c>
      <c r="B761" s="974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hidden="1">
      <c r="A762" s="123">
        <v>19</v>
      </c>
      <c r="B762" s="975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hidden="1">
      <c r="A763" s="123">
        <v>19</v>
      </c>
      <c r="B763" s="975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hidden="1">
      <c r="A764" s="123">
        <v>20</v>
      </c>
      <c r="B764" s="975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hidden="1">
      <c r="A765" s="123">
        <v>20</v>
      </c>
      <c r="B765" s="975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hidden="1">
      <c r="A766" s="123">
        <v>20</v>
      </c>
      <c r="B766" s="975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hidden="1">
      <c r="A767" s="123">
        <v>20</v>
      </c>
      <c r="B767" s="975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hidden="1">
      <c r="A768" s="123">
        <v>20</v>
      </c>
      <c r="B768" s="975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hidden="1">
      <c r="A769" s="123">
        <v>20</v>
      </c>
      <c r="B769" s="975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hidden="1">
      <c r="A770" s="231">
        <v>20</v>
      </c>
      <c r="B770" s="976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hidden="1">
      <c r="A771" s="123">
        <v>21</v>
      </c>
      <c r="B771" s="974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hidden="1">
      <c r="A772" s="123">
        <v>21</v>
      </c>
      <c r="B772" s="975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hidden="1">
      <c r="A773" s="123">
        <v>21</v>
      </c>
      <c r="B773" s="976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hidden="1">
      <c r="A774" s="382">
        <v>21</v>
      </c>
      <c r="B774" s="974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hidden="1">
      <c r="A775" s="382">
        <v>21</v>
      </c>
      <c r="B775" s="975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hidden="1">
      <c r="A776" s="123">
        <v>21</v>
      </c>
      <c r="B776" s="976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hidden="1">
      <c r="A777" s="123">
        <v>22</v>
      </c>
      <c r="B777" s="974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hidden="1">
      <c r="A778" s="123">
        <v>22</v>
      </c>
      <c r="B778" s="975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hidden="1">
      <c r="A779" s="123">
        <v>22</v>
      </c>
      <c r="B779" s="975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hidden="1">
      <c r="A780" s="123">
        <v>22</v>
      </c>
      <c r="B780" s="976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hidden="1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hidden="1">
      <c r="A782" s="123">
        <v>23</v>
      </c>
      <c r="B782" s="974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hidden="1">
      <c r="A783" s="123">
        <v>23</v>
      </c>
      <c r="B783" s="975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hidden="1">
      <c r="A784" s="123">
        <v>23</v>
      </c>
      <c r="B784" s="975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hidden="1">
      <c r="A785" s="123">
        <v>23</v>
      </c>
      <c r="B785" s="976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hidden="1">
      <c r="A786" s="123">
        <v>23</v>
      </c>
      <c r="B786" s="974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hidden="1">
      <c r="A787" s="123">
        <v>23</v>
      </c>
      <c r="B787" s="976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hidden="1">
      <c r="A788" s="123">
        <v>24</v>
      </c>
      <c r="B788" s="974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hidden="1" customHeight="1">
      <c r="A789" s="123">
        <v>24</v>
      </c>
      <c r="B789" s="975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hidden="1">
      <c r="A790" s="123">
        <v>24</v>
      </c>
      <c r="B790" s="975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hidden="1">
      <c r="A791" s="123">
        <v>24</v>
      </c>
      <c r="B791" s="976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hidden="1">
      <c r="A792" s="123">
        <v>24</v>
      </c>
      <c r="B792" s="974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hidden="1">
      <c r="A793" s="123">
        <v>24</v>
      </c>
      <c r="B793" s="976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hidden="1">
      <c r="A794" s="123">
        <v>25</v>
      </c>
      <c r="B794" s="977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hidden="1">
      <c r="A795" s="123">
        <v>25</v>
      </c>
      <c r="B795" s="978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hidden="1">
      <c r="A796" s="123">
        <v>25</v>
      </c>
      <c r="B796" s="979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hidden="1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hidden="1">
      <c r="A798" s="123">
        <v>26</v>
      </c>
      <c r="B798" s="974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hidden="1">
      <c r="A799" s="123">
        <v>26</v>
      </c>
      <c r="B799" s="975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hidden="1">
      <c r="A800" s="123">
        <v>26</v>
      </c>
      <c r="B800" s="975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hidden="1">
      <c r="A801" s="123">
        <v>26</v>
      </c>
      <c r="B801" s="975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hidden="1">
      <c r="A802" s="123">
        <v>26</v>
      </c>
      <c r="B802" s="976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hidden="1">
      <c r="A803" s="123">
        <v>26</v>
      </c>
      <c r="B803" s="974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hidden="1">
      <c r="A804" s="123">
        <v>26</v>
      </c>
      <c r="B804" s="975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hidden="1">
      <c r="A805" s="123">
        <v>26</v>
      </c>
      <c r="B805" s="975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hidden="1">
      <c r="A806" s="123">
        <v>26</v>
      </c>
      <c r="B806" s="976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hidden="1">
      <c r="A807" s="123">
        <v>27</v>
      </c>
      <c r="B807" s="974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hidden="1">
      <c r="A808" s="123">
        <v>27</v>
      </c>
      <c r="B808" s="975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hidden="1">
      <c r="A809" s="123">
        <v>27</v>
      </c>
      <c r="B809" s="976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hidden="1">
      <c r="A810" s="123">
        <v>27</v>
      </c>
      <c r="B810" s="974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hidden="1">
      <c r="A811" s="123">
        <v>27</v>
      </c>
      <c r="B811" s="975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hidden="1">
      <c r="A812" s="123">
        <v>27</v>
      </c>
      <c r="B812" s="975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hidden="1">
      <c r="A813" s="123">
        <v>27</v>
      </c>
      <c r="B813" s="976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hidden="1">
      <c r="A814" s="123">
        <v>27</v>
      </c>
      <c r="B814" s="974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hidden="1">
      <c r="A815" s="123">
        <v>27</v>
      </c>
      <c r="B815" s="975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hidden="1">
      <c r="A816" s="123">
        <v>27</v>
      </c>
      <c r="B816" s="975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hidden="1">
      <c r="A817" s="123">
        <v>27</v>
      </c>
      <c r="B817" s="975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hidden="1">
      <c r="A818" s="123">
        <v>27</v>
      </c>
      <c r="B818" s="975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hidden="1">
      <c r="A819" s="123">
        <v>27</v>
      </c>
      <c r="B819" s="976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hidden="1">
      <c r="A820" s="387">
        <v>28</v>
      </c>
      <c r="B820" s="974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hidden="1">
      <c r="A821" s="123">
        <v>28</v>
      </c>
      <c r="B821" s="975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hidden="1">
      <c r="A822" s="123">
        <v>28</v>
      </c>
      <c r="B822" s="975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hidden="1">
      <c r="A823" s="123">
        <v>28</v>
      </c>
      <c r="B823" s="975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hidden="1">
      <c r="A824" s="123">
        <v>28</v>
      </c>
      <c r="B824" s="975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hidden="1">
      <c r="A825" s="123">
        <v>28</v>
      </c>
      <c r="B825" s="975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hidden="1">
      <c r="A826" s="123">
        <v>28</v>
      </c>
      <c r="B826" s="975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hidden="1">
      <c r="A827" s="123">
        <v>28</v>
      </c>
      <c r="B827" s="975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hidden="1">
      <c r="A828" s="123">
        <v>28</v>
      </c>
      <c r="B828" s="976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hidden="1">
      <c r="A829" s="123">
        <v>28</v>
      </c>
      <c r="B829" s="974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hidden="1">
      <c r="A830" s="123">
        <v>28</v>
      </c>
      <c r="B830" s="975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hidden="1">
      <c r="A831" s="123">
        <v>28</v>
      </c>
      <c r="B831" s="975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hidden="1">
      <c r="A832" s="123">
        <v>28</v>
      </c>
      <c r="B832" s="975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hidden="1">
      <c r="A833" s="123">
        <v>28</v>
      </c>
      <c r="B833" s="975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hidden="1">
      <c r="A834" s="123">
        <v>28</v>
      </c>
      <c r="B834" s="976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hidden="1">
      <c r="A835" s="123">
        <v>29</v>
      </c>
      <c r="B835" s="974" t="s">
        <v>3097</v>
      </c>
      <c r="C835" s="148" t="s">
        <v>3079</v>
      </c>
      <c r="D835" s="999" t="s">
        <v>306</v>
      </c>
      <c r="E835" s="999" t="s">
        <v>322</v>
      </c>
      <c r="F835" s="999" t="s">
        <v>307</v>
      </c>
      <c r="G835" s="1004" t="s">
        <v>3051</v>
      </c>
      <c r="H835" s="999" t="s">
        <v>1993</v>
      </c>
      <c r="I835" s="1004" t="s">
        <v>3052</v>
      </c>
      <c r="J835" s="999" t="s">
        <v>664</v>
      </c>
      <c r="K835" s="148" t="s">
        <v>3081</v>
      </c>
      <c r="L835" s="999"/>
      <c r="M835" s="1104" t="s">
        <v>3082</v>
      </c>
      <c r="N835" s="148" t="s">
        <v>3083</v>
      </c>
    </row>
    <row r="836" spans="1:14" hidden="1">
      <c r="A836" s="123">
        <v>29</v>
      </c>
      <c r="B836" s="975"/>
      <c r="C836" s="148" t="s">
        <v>3080</v>
      </c>
      <c r="D836" s="1027"/>
      <c r="E836" s="1027"/>
      <c r="F836" s="1027"/>
      <c r="G836" s="1103"/>
      <c r="H836" s="1027"/>
      <c r="I836" s="1103"/>
      <c r="J836" s="1027"/>
      <c r="K836" s="148" t="s">
        <v>707</v>
      </c>
      <c r="L836" s="1027"/>
      <c r="M836" s="1105"/>
      <c r="N836" s="148"/>
    </row>
    <row r="837" spans="1:14" hidden="1">
      <c r="A837" s="123">
        <v>29</v>
      </c>
      <c r="B837" s="975"/>
      <c r="C837" s="148"/>
      <c r="D837" s="1000"/>
      <c r="E837" s="1000"/>
      <c r="F837" s="1000"/>
      <c r="G837" s="1005"/>
      <c r="H837" s="1000"/>
      <c r="I837" s="1005"/>
      <c r="J837" s="1000"/>
      <c r="K837" s="148"/>
      <c r="L837" s="1000"/>
      <c r="M837" s="1106"/>
      <c r="N837" s="148" t="s">
        <v>3084</v>
      </c>
    </row>
    <row r="838" spans="1:14" hidden="1">
      <c r="A838" s="123">
        <v>29</v>
      </c>
      <c r="B838" s="975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hidden="1">
      <c r="A839" s="123">
        <v>29</v>
      </c>
      <c r="B839" s="976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hidden="1">
      <c r="A840" s="123">
        <v>29</v>
      </c>
      <c r="B840" s="974" t="s">
        <v>21</v>
      </c>
      <c r="C840" s="111" t="s">
        <v>3087</v>
      </c>
      <c r="D840" s="999" t="s">
        <v>311</v>
      </c>
      <c r="E840" s="999" t="s">
        <v>320</v>
      </c>
      <c r="F840" s="1004" t="s">
        <v>2601</v>
      </c>
      <c r="G840" s="1004" t="s">
        <v>3059</v>
      </c>
      <c r="H840" s="1004" t="s">
        <v>3060</v>
      </c>
      <c r="I840" s="1004" t="s">
        <v>3061</v>
      </c>
      <c r="J840" s="1004" t="s">
        <v>702</v>
      </c>
      <c r="K840" s="1004" t="s">
        <v>3062</v>
      </c>
      <c r="L840" s="999" t="s">
        <v>309</v>
      </c>
      <c r="M840" s="1104" t="s">
        <v>1816</v>
      </c>
      <c r="N840" s="999" t="s">
        <v>3088</v>
      </c>
    </row>
    <row r="841" spans="1:14" hidden="1">
      <c r="A841" s="123">
        <v>29</v>
      </c>
      <c r="B841" s="975"/>
      <c r="C841" s="111" t="s">
        <v>3065</v>
      </c>
      <c r="D841" s="1000"/>
      <c r="E841" s="1000"/>
      <c r="F841" s="1005"/>
      <c r="G841" s="1005"/>
      <c r="H841" s="1005"/>
      <c r="I841" s="1005"/>
      <c r="J841" s="1005"/>
      <c r="K841" s="1005"/>
      <c r="L841" s="1000"/>
      <c r="M841" s="1106"/>
      <c r="N841" s="1000"/>
    </row>
    <row r="842" spans="1:14" hidden="1">
      <c r="A842" s="123">
        <v>29</v>
      </c>
      <c r="B842" s="975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hidden="1">
      <c r="A843" s="123">
        <v>29</v>
      </c>
      <c r="B843" s="975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hidden="1">
      <c r="A844" s="123">
        <v>29</v>
      </c>
      <c r="B844" s="975"/>
      <c r="C844" s="111" t="s">
        <v>3079</v>
      </c>
      <c r="D844" s="999" t="s">
        <v>311</v>
      </c>
      <c r="E844" s="999" t="s">
        <v>320</v>
      </c>
      <c r="F844" s="1004" t="s">
        <v>3068</v>
      </c>
      <c r="G844" s="1004" t="s">
        <v>1919</v>
      </c>
      <c r="H844" s="1004" t="s">
        <v>3069</v>
      </c>
      <c r="I844" s="149" t="s">
        <v>3090</v>
      </c>
      <c r="J844" s="1004"/>
      <c r="K844" s="1004" t="s">
        <v>3070</v>
      </c>
      <c r="L844" s="999" t="s">
        <v>309</v>
      </c>
      <c r="M844" s="1107" t="s">
        <v>3092</v>
      </c>
      <c r="N844" s="999" t="s">
        <v>1206</v>
      </c>
    </row>
    <row r="845" spans="1:14" hidden="1">
      <c r="A845" s="123">
        <v>29</v>
      </c>
      <c r="B845" s="975"/>
      <c r="C845" s="111" t="s">
        <v>3089</v>
      </c>
      <c r="D845" s="1000"/>
      <c r="E845" s="1000"/>
      <c r="F845" s="1005"/>
      <c r="G845" s="1005"/>
      <c r="H845" s="1005"/>
      <c r="I845" s="149" t="s">
        <v>3091</v>
      </c>
      <c r="J845" s="1005"/>
      <c r="K845" s="1005"/>
      <c r="L845" s="1000"/>
      <c r="M845" s="1108"/>
      <c r="N845" s="1000"/>
    </row>
    <row r="846" spans="1:14" hidden="1">
      <c r="A846" s="123">
        <v>29</v>
      </c>
      <c r="B846" s="975"/>
      <c r="C846" s="111" t="s">
        <v>3079</v>
      </c>
      <c r="D846" s="999" t="s">
        <v>311</v>
      </c>
      <c r="E846" s="999" t="s">
        <v>320</v>
      </c>
      <c r="F846" s="1004" t="s">
        <v>2601</v>
      </c>
      <c r="G846" s="1004" t="s">
        <v>3059</v>
      </c>
      <c r="H846" s="1004" t="s">
        <v>3060</v>
      </c>
      <c r="I846" s="1004" t="s">
        <v>3071</v>
      </c>
      <c r="J846" s="1004" t="s">
        <v>702</v>
      </c>
      <c r="K846" s="1004" t="s">
        <v>1054</v>
      </c>
      <c r="L846" s="999" t="s">
        <v>309</v>
      </c>
      <c r="M846" s="1104" t="s">
        <v>3094</v>
      </c>
      <c r="N846" s="999" t="s">
        <v>3095</v>
      </c>
    </row>
    <row r="847" spans="1:14" hidden="1">
      <c r="A847" s="123">
        <v>29</v>
      </c>
      <c r="B847" s="975"/>
      <c r="C847" s="111"/>
      <c r="D847" s="1027"/>
      <c r="E847" s="1027"/>
      <c r="F847" s="1103"/>
      <c r="G847" s="1103"/>
      <c r="H847" s="1103"/>
      <c r="I847" s="1103"/>
      <c r="J847" s="1103"/>
      <c r="K847" s="1103"/>
      <c r="L847" s="1027"/>
      <c r="M847" s="1105"/>
      <c r="N847" s="1027"/>
    </row>
    <row r="848" spans="1:14" hidden="1">
      <c r="A848" s="123">
        <v>29</v>
      </c>
      <c r="B848" s="975"/>
      <c r="C848" s="111" t="s">
        <v>3093</v>
      </c>
      <c r="D848" s="1000"/>
      <c r="E848" s="1000"/>
      <c r="F848" s="1005"/>
      <c r="G848" s="1005"/>
      <c r="H848" s="1005"/>
      <c r="I848" s="1005"/>
      <c r="J848" s="1005"/>
      <c r="K848" s="1005"/>
      <c r="L848" s="1000"/>
      <c r="M848" s="1106"/>
      <c r="N848" s="1000"/>
    </row>
    <row r="849" spans="1:14" hidden="1">
      <c r="A849" s="123">
        <v>29</v>
      </c>
      <c r="B849" s="975"/>
      <c r="C849" s="111" t="s">
        <v>3096</v>
      </c>
      <c r="D849" s="999" t="s">
        <v>311</v>
      </c>
      <c r="E849" s="999" t="s">
        <v>320</v>
      </c>
      <c r="F849" s="1004" t="s">
        <v>337</v>
      </c>
      <c r="G849" s="1004" t="s">
        <v>3072</v>
      </c>
      <c r="H849" s="1004" t="s">
        <v>354</v>
      </c>
      <c r="I849" s="1004" t="s">
        <v>310</v>
      </c>
      <c r="J849" s="1004" t="s">
        <v>638</v>
      </c>
      <c r="K849" s="1004" t="s">
        <v>3073</v>
      </c>
      <c r="L849" s="999" t="s">
        <v>309</v>
      </c>
      <c r="M849" s="1104" t="s">
        <v>1816</v>
      </c>
      <c r="N849" s="999" t="s">
        <v>3095</v>
      </c>
    </row>
    <row r="850" spans="1:14" hidden="1">
      <c r="A850" s="123">
        <v>29</v>
      </c>
      <c r="B850" s="976"/>
      <c r="C850" s="111" t="s">
        <v>3089</v>
      </c>
      <c r="D850" s="1000"/>
      <c r="E850" s="1000"/>
      <c r="F850" s="1005"/>
      <c r="G850" s="1005"/>
      <c r="H850" s="1005"/>
      <c r="I850" s="1005"/>
      <c r="J850" s="1005"/>
      <c r="K850" s="1005"/>
      <c r="L850" s="1000"/>
      <c r="M850" s="1106"/>
      <c r="N850" s="1000"/>
    </row>
    <row r="851" spans="1:14" hidden="1">
      <c r="A851" s="123">
        <v>30</v>
      </c>
      <c r="B851" s="1111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hidden="1">
      <c r="A852" s="123">
        <v>30</v>
      </c>
      <c r="B852" s="1112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hidden="1">
      <c r="A853" s="123">
        <v>30</v>
      </c>
      <c r="B853" s="1112"/>
      <c r="C853" s="148" t="s">
        <v>3106</v>
      </c>
      <c r="D853" s="999" t="s">
        <v>306</v>
      </c>
      <c r="E853" s="999" t="s">
        <v>322</v>
      </c>
      <c r="F853" s="999" t="s">
        <v>307</v>
      </c>
      <c r="G853" s="1004" t="s">
        <v>3051</v>
      </c>
      <c r="H853" s="999" t="s">
        <v>1993</v>
      </c>
      <c r="I853" s="1004" t="s">
        <v>3108</v>
      </c>
      <c r="J853" s="999" t="s">
        <v>664</v>
      </c>
      <c r="K853" s="148" t="s">
        <v>3109</v>
      </c>
      <c r="L853" s="999"/>
      <c r="M853" s="1008" t="s">
        <v>3110</v>
      </c>
      <c r="N853" s="999" t="s">
        <v>665</v>
      </c>
    </row>
    <row r="854" spans="1:14" hidden="1">
      <c r="A854" s="123">
        <v>30</v>
      </c>
      <c r="B854" s="1112"/>
      <c r="C854" s="148" t="s">
        <v>3107</v>
      </c>
      <c r="D854" s="1000"/>
      <c r="E854" s="1000"/>
      <c r="F854" s="1000"/>
      <c r="G854" s="1005"/>
      <c r="H854" s="1000"/>
      <c r="I854" s="1005"/>
      <c r="J854" s="1000"/>
      <c r="K854" s="148" t="s">
        <v>655</v>
      </c>
      <c r="L854" s="1000"/>
      <c r="M854" s="1009"/>
      <c r="N854" s="1000"/>
    </row>
    <row r="855" spans="1:14" hidden="1">
      <c r="A855" s="123">
        <v>30</v>
      </c>
      <c r="B855" s="1113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hidden="1">
      <c r="A856" s="123">
        <v>30</v>
      </c>
      <c r="B856" s="974" t="s">
        <v>3116</v>
      </c>
      <c r="C856" s="1109" t="s">
        <v>3117</v>
      </c>
      <c r="D856" s="999" t="s">
        <v>311</v>
      </c>
      <c r="E856" s="999" t="s">
        <v>320</v>
      </c>
      <c r="F856" s="1004" t="s">
        <v>2601</v>
      </c>
      <c r="G856" s="1004" t="s">
        <v>2749</v>
      </c>
      <c r="H856" s="1004" t="s">
        <v>347</v>
      </c>
      <c r="I856" s="1004" t="s">
        <v>3118</v>
      </c>
      <c r="J856" s="1004" t="s">
        <v>638</v>
      </c>
      <c r="K856" s="1004" t="s">
        <v>698</v>
      </c>
      <c r="L856" s="999" t="s">
        <v>309</v>
      </c>
      <c r="M856" s="1008" t="s">
        <v>1810</v>
      </c>
      <c r="N856" s="148" t="s">
        <v>3119</v>
      </c>
    </row>
    <row r="857" spans="1:14" hidden="1">
      <c r="A857" s="123">
        <v>30</v>
      </c>
      <c r="B857" s="975"/>
      <c r="C857" s="1110"/>
      <c r="D857" s="1000"/>
      <c r="E857" s="1000"/>
      <c r="F857" s="1005"/>
      <c r="G857" s="1005"/>
      <c r="H857" s="1005"/>
      <c r="I857" s="1005"/>
      <c r="J857" s="1005"/>
      <c r="K857" s="1005"/>
      <c r="L857" s="1000"/>
      <c r="M857" s="1009"/>
      <c r="N857" s="148" t="s">
        <v>3120</v>
      </c>
    </row>
    <row r="858" spans="1:14" ht="16.5" hidden="1" customHeight="1">
      <c r="A858" s="123">
        <v>30</v>
      </c>
      <c r="B858" s="975"/>
      <c r="C858" s="1109" t="s">
        <v>3117</v>
      </c>
      <c r="D858" s="999" t="s">
        <v>311</v>
      </c>
      <c r="E858" s="999" t="s">
        <v>320</v>
      </c>
      <c r="F858" s="1004" t="s">
        <v>709</v>
      </c>
      <c r="G858" s="149" t="s">
        <v>3121</v>
      </c>
      <c r="H858" s="1004" t="s">
        <v>640</v>
      </c>
      <c r="I858" s="1004" t="s">
        <v>3122</v>
      </c>
      <c r="J858" s="1004"/>
      <c r="K858" s="1004" t="s">
        <v>692</v>
      </c>
      <c r="L858" s="999" t="s">
        <v>309</v>
      </c>
      <c r="M858" s="1008" t="s">
        <v>1535</v>
      </c>
      <c r="N858" s="999" t="s">
        <v>1772</v>
      </c>
    </row>
    <row r="859" spans="1:14" hidden="1">
      <c r="A859" s="123">
        <v>30</v>
      </c>
      <c r="B859" s="975"/>
      <c r="C859" s="1110"/>
      <c r="D859" s="1000"/>
      <c r="E859" s="1000"/>
      <c r="F859" s="1005"/>
      <c r="G859" s="149">
        <v>2651</v>
      </c>
      <c r="H859" s="1005"/>
      <c r="I859" s="1005"/>
      <c r="J859" s="1005"/>
      <c r="K859" s="1005"/>
      <c r="L859" s="1000"/>
      <c r="M859" s="1009"/>
      <c r="N859" s="1000"/>
    </row>
    <row r="860" spans="1:14" hidden="1">
      <c r="A860" s="123">
        <v>30</v>
      </c>
      <c r="B860" s="975"/>
      <c r="C860" s="1109" t="s">
        <v>3123</v>
      </c>
      <c r="D860" s="999" t="s">
        <v>311</v>
      </c>
      <c r="E860" s="999" t="s">
        <v>320</v>
      </c>
      <c r="F860" s="1004" t="s">
        <v>720</v>
      </c>
      <c r="G860" s="1004" t="s">
        <v>1756</v>
      </c>
      <c r="H860" s="1004" t="s">
        <v>347</v>
      </c>
      <c r="I860" s="149" t="s">
        <v>3124</v>
      </c>
      <c r="J860" s="1004"/>
      <c r="K860" s="1004" t="s">
        <v>3126</v>
      </c>
      <c r="L860" s="999" t="s">
        <v>309</v>
      </c>
      <c r="M860" s="1008" t="s">
        <v>1933</v>
      </c>
      <c r="N860" s="999" t="s">
        <v>1206</v>
      </c>
    </row>
    <row r="861" spans="1:14" hidden="1">
      <c r="A861" s="123">
        <v>30</v>
      </c>
      <c r="B861" s="975"/>
      <c r="C861" s="1110"/>
      <c r="D861" s="1000"/>
      <c r="E861" s="1000"/>
      <c r="F861" s="1005"/>
      <c r="G861" s="1005"/>
      <c r="H861" s="1005"/>
      <c r="I861" s="149" t="s">
        <v>3125</v>
      </c>
      <c r="J861" s="1005"/>
      <c r="K861" s="1005"/>
      <c r="L861" s="1000"/>
      <c r="M861" s="1009"/>
      <c r="N861" s="1000"/>
    </row>
    <row r="862" spans="1:14" hidden="1">
      <c r="A862" s="123">
        <v>30</v>
      </c>
      <c r="B862" s="975"/>
      <c r="C862" s="111" t="s">
        <v>3127</v>
      </c>
      <c r="D862" s="999" t="s">
        <v>311</v>
      </c>
      <c r="E862" s="999" t="s">
        <v>320</v>
      </c>
      <c r="F862" s="1004" t="s">
        <v>690</v>
      </c>
      <c r="G862" s="1004" t="s">
        <v>3066</v>
      </c>
      <c r="H862" s="1004" t="s">
        <v>354</v>
      </c>
      <c r="I862" s="1004" t="s">
        <v>3129</v>
      </c>
      <c r="J862" s="1004" t="s">
        <v>638</v>
      </c>
      <c r="K862" s="1004" t="s">
        <v>655</v>
      </c>
      <c r="L862" s="999" t="s">
        <v>309</v>
      </c>
      <c r="M862" s="1008" t="s">
        <v>1535</v>
      </c>
      <c r="N862" s="999" t="s">
        <v>1206</v>
      </c>
    </row>
    <row r="863" spans="1:14" hidden="1">
      <c r="A863" s="123">
        <v>30</v>
      </c>
      <c r="B863" s="975"/>
      <c r="C863" s="111" t="s">
        <v>3128</v>
      </c>
      <c r="D863" s="1000"/>
      <c r="E863" s="1000"/>
      <c r="F863" s="1005"/>
      <c r="G863" s="1005"/>
      <c r="H863" s="1005"/>
      <c r="I863" s="1005"/>
      <c r="J863" s="1005"/>
      <c r="K863" s="1005"/>
      <c r="L863" s="1000"/>
      <c r="M863" s="1009"/>
      <c r="N863" s="1000"/>
    </row>
    <row r="864" spans="1:14" hidden="1">
      <c r="A864" s="123">
        <v>30</v>
      </c>
      <c r="B864" s="975"/>
      <c r="C864" s="111" t="s">
        <v>3130</v>
      </c>
      <c r="D864" s="999" t="s">
        <v>311</v>
      </c>
      <c r="E864" s="999" t="s">
        <v>320</v>
      </c>
      <c r="F864" s="1004" t="s">
        <v>337</v>
      </c>
      <c r="G864" s="1004" t="s">
        <v>3072</v>
      </c>
      <c r="H864" s="1004" t="s">
        <v>354</v>
      </c>
      <c r="I864" s="1004" t="s">
        <v>3131</v>
      </c>
      <c r="J864" s="1004" t="s">
        <v>638</v>
      </c>
      <c r="K864" s="1004" t="s">
        <v>713</v>
      </c>
      <c r="L864" s="999" t="s">
        <v>309</v>
      </c>
      <c r="M864" s="1008" t="s">
        <v>1810</v>
      </c>
      <c r="N864" s="999" t="s">
        <v>1206</v>
      </c>
    </row>
    <row r="865" spans="1:14" hidden="1">
      <c r="A865" s="123">
        <v>30</v>
      </c>
      <c r="B865" s="975"/>
      <c r="C865" s="111" t="s">
        <v>3107</v>
      </c>
      <c r="D865" s="1000"/>
      <c r="E865" s="1000"/>
      <c r="F865" s="1005"/>
      <c r="G865" s="1005"/>
      <c r="H865" s="1005"/>
      <c r="I865" s="1005"/>
      <c r="J865" s="1005"/>
      <c r="K865" s="1005"/>
      <c r="L865" s="1000"/>
      <c r="M865" s="1009"/>
      <c r="N865" s="1000"/>
    </row>
    <row r="866" spans="1:14" ht="25.5" hidden="1">
      <c r="A866" s="123">
        <v>30</v>
      </c>
      <c r="B866" s="975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hidden="1">
      <c r="A867" s="123">
        <v>30</v>
      </c>
      <c r="B867" s="975"/>
      <c r="C867" s="1109" t="s">
        <v>3111</v>
      </c>
      <c r="D867" s="999" t="s">
        <v>311</v>
      </c>
      <c r="E867" s="999" t="s">
        <v>675</v>
      </c>
      <c r="F867" s="1004" t="s">
        <v>660</v>
      </c>
      <c r="G867" s="1004" t="s">
        <v>661</v>
      </c>
      <c r="H867" s="1004" t="s">
        <v>662</v>
      </c>
      <c r="I867" s="149" t="s">
        <v>3134</v>
      </c>
      <c r="J867" s="1004" t="s">
        <v>638</v>
      </c>
      <c r="K867" s="1004" t="s">
        <v>731</v>
      </c>
      <c r="L867" s="999" t="s">
        <v>309</v>
      </c>
      <c r="M867" s="1008" t="s">
        <v>1828</v>
      </c>
      <c r="N867" s="999" t="s">
        <v>3136</v>
      </c>
    </row>
    <row r="868" spans="1:14" hidden="1">
      <c r="A868" s="123">
        <v>30</v>
      </c>
      <c r="B868" s="976"/>
      <c r="C868" s="1110"/>
      <c r="D868" s="1000"/>
      <c r="E868" s="1000"/>
      <c r="F868" s="1005"/>
      <c r="G868" s="1005"/>
      <c r="H868" s="1005"/>
      <c r="I868" s="149" t="s">
        <v>3135</v>
      </c>
      <c r="J868" s="1005"/>
      <c r="K868" s="1005"/>
      <c r="L868" s="1000"/>
      <c r="M868" s="1009"/>
      <c r="N868" s="1000"/>
    </row>
    <row r="869" spans="1:14" hidden="1">
      <c r="A869" s="123">
        <v>31</v>
      </c>
      <c r="B869" s="974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hidden="1" customHeight="1">
      <c r="A870" s="123">
        <v>31</v>
      </c>
      <c r="B870" s="975"/>
      <c r="C870" s="148" t="s">
        <v>3140</v>
      </c>
      <c r="D870" s="999" t="s">
        <v>306</v>
      </c>
      <c r="E870" s="999" t="s">
        <v>322</v>
      </c>
      <c r="F870" s="999" t="s">
        <v>307</v>
      </c>
      <c r="G870" s="1004">
        <v>1566</v>
      </c>
      <c r="H870" s="999" t="s">
        <v>1911</v>
      </c>
      <c r="I870" s="1004" t="s">
        <v>3142</v>
      </c>
      <c r="J870" s="999" t="s">
        <v>664</v>
      </c>
      <c r="K870" s="999" t="s">
        <v>3143</v>
      </c>
      <c r="L870" s="999"/>
      <c r="M870" s="1008" t="s">
        <v>3144</v>
      </c>
      <c r="N870" s="999" t="s">
        <v>665</v>
      </c>
    </row>
    <row r="871" spans="1:14" hidden="1">
      <c r="A871" s="123">
        <v>31</v>
      </c>
      <c r="B871" s="975"/>
      <c r="C871" s="148" t="s">
        <v>3141</v>
      </c>
      <c r="D871" s="1000"/>
      <c r="E871" s="1000"/>
      <c r="F871" s="1000"/>
      <c r="G871" s="1005"/>
      <c r="H871" s="1000"/>
      <c r="I871" s="1005"/>
      <c r="J871" s="1000"/>
      <c r="K871" s="1000"/>
      <c r="L871" s="1000"/>
      <c r="M871" s="1009"/>
      <c r="N871" s="1000"/>
    </row>
    <row r="872" spans="1:14" hidden="1">
      <c r="A872" s="123">
        <v>31</v>
      </c>
      <c r="B872" s="975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hidden="1" customHeight="1">
      <c r="A873" s="123">
        <v>31</v>
      </c>
      <c r="B873" s="975"/>
      <c r="C873" s="388" t="s">
        <v>3140</v>
      </c>
      <c r="D873" s="999" t="s">
        <v>306</v>
      </c>
      <c r="E873" s="999" t="s">
        <v>322</v>
      </c>
      <c r="F873" s="999" t="s">
        <v>307</v>
      </c>
      <c r="G873" s="1004" t="s">
        <v>3147</v>
      </c>
      <c r="H873" s="999" t="s">
        <v>3148</v>
      </c>
      <c r="I873" s="1004" t="s">
        <v>332</v>
      </c>
      <c r="J873" s="999" t="s">
        <v>1534</v>
      </c>
      <c r="K873" s="999" t="s">
        <v>1157</v>
      </c>
      <c r="L873" s="999"/>
      <c r="M873" s="1008" t="s">
        <v>3149</v>
      </c>
      <c r="N873" s="999" t="s">
        <v>425</v>
      </c>
    </row>
    <row r="874" spans="1:14" hidden="1">
      <c r="A874" s="123">
        <v>31</v>
      </c>
      <c r="B874" s="976"/>
      <c r="C874" s="388" t="s">
        <v>3146</v>
      </c>
      <c r="D874" s="1000"/>
      <c r="E874" s="1000"/>
      <c r="F874" s="1000"/>
      <c r="G874" s="1005"/>
      <c r="H874" s="1000"/>
      <c r="I874" s="1005"/>
      <c r="J874" s="1000"/>
      <c r="K874" s="1000"/>
      <c r="L874" s="1000"/>
      <c r="M874" s="1009"/>
      <c r="N874" s="1000"/>
    </row>
    <row r="875" spans="1:14" hidden="1">
      <c r="A875" s="123">
        <v>31</v>
      </c>
      <c r="B875" s="974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hidden="1" customHeight="1">
      <c r="A876" s="123">
        <v>31</v>
      </c>
      <c r="B876" s="975"/>
      <c r="C876" s="999" t="s">
        <v>3128</v>
      </c>
      <c r="D876" s="999" t="s">
        <v>311</v>
      </c>
      <c r="E876" s="999" t="s">
        <v>675</v>
      </c>
      <c r="F876" s="1004" t="s">
        <v>660</v>
      </c>
      <c r="G876" s="1004" t="s">
        <v>661</v>
      </c>
      <c r="H876" s="1004" t="s">
        <v>662</v>
      </c>
      <c r="I876" s="149" t="s">
        <v>3134</v>
      </c>
      <c r="J876" s="1004"/>
      <c r="K876" s="1004" t="s">
        <v>698</v>
      </c>
      <c r="L876" s="999" t="s">
        <v>309</v>
      </c>
      <c r="M876" s="1008" t="s">
        <v>3139</v>
      </c>
      <c r="N876" s="999" t="s">
        <v>3152</v>
      </c>
    </row>
    <row r="877" spans="1:14" hidden="1">
      <c r="A877" s="123">
        <v>31</v>
      </c>
      <c r="B877" s="975"/>
      <c r="C877" s="1000"/>
      <c r="D877" s="1000"/>
      <c r="E877" s="1000"/>
      <c r="F877" s="1005"/>
      <c r="G877" s="1005"/>
      <c r="H877" s="1005"/>
      <c r="I877" s="149" t="s">
        <v>3135</v>
      </c>
      <c r="J877" s="1005"/>
      <c r="K877" s="1005"/>
      <c r="L877" s="1000"/>
      <c r="M877" s="1009"/>
      <c r="N877" s="1000"/>
    </row>
    <row r="878" spans="1:14" ht="16.5" hidden="1" customHeight="1">
      <c r="A878" s="123">
        <v>31</v>
      </c>
      <c r="B878" s="975"/>
      <c r="C878" s="148" t="s">
        <v>3153</v>
      </c>
      <c r="D878" s="999" t="s">
        <v>311</v>
      </c>
      <c r="E878" s="999" t="s">
        <v>320</v>
      </c>
      <c r="F878" s="1004" t="s">
        <v>3068</v>
      </c>
      <c r="G878" s="1004" t="s">
        <v>1919</v>
      </c>
      <c r="H878" s="1004" t="s">
        <v>3069</v>
      </c>
      <c r="I878" s="1004" t="s">
        <v>3154</v>
      </c>
      <c r="J878" s="1004"/>
      <c r="K878" s="1004" t="s">
        <v>3155</v>
      </c>
      <c r="L878" s="999" t="s">
        <v>309</v>
      </c>
      <c r="M878" s="1008" t="s">
        <v>3156</v>
      </c>
      <c r="N878" s="999" t="s">
        <v>3151</v>
      </c>
    </row>
    <row r="879" spans="1:14" hidden="1">
      <c r="A879" s="123">
        <v>31</v>
      </c>
      <c r="B879" s="975"/>
      <c r="C879" s="148" t="s">
        <v>3111</v>
      </c>
      <c r="D879" s="1000"/>
      <c r="E879" s="1000"/>
      <c r="F879" s="1005"/>
      <c r="G879" s="1005"/>
      <c r="H879" s="1005"/>
      <c r="I879" s="1005"/>
      <c r="J879" s="1005"/>
      <c r="K879" s="1005"/>
      <c r="L879" s="1000"/>
      <c r="M879" s="1009"/>
      <c r="N879" s="1000"/>
    </row>
    <row r="880" spans="1:14" hidden="1">
      <c r="A880" s="123">
        <v>31</v>
      </c>
      <c r="B880" s="975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hidden="1">
      <c r="A881" s="123">
        <v>31</v>
      </c>
      <c r="B881" s="975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hidden="1">
      <c r="A882" s="123">
        <v>31</v>
      </c>
      <c r="B882" s="975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hidden="1" customHeight="1">
      <c r="A883" s="123">
        <v>31</v>
      </c>
      <c r="B883" s="975"/>
      <c r="C883" s="111" t="s">
        <v>3166</v>
      </c>
      <c r="D883" s="999" t="s">
        <v>311</v>
      </c>
      <c r="E883" s="999" t="s">
        <v>320</v>
      </c>
      <c r="F883" s="1004" t="s">
        <v>337</v>
      </c>
      <c r="G883" s="1004" t="s">
        <v>3168</v>
      </c>
      <c r="H883" s="1004" t="s">
        <v>3169</v>
      </c>
      <c r="I883" s="1004" t="s">
        <v>3170</v>
      </c>
      <c r="J883" s="1004" t="s">
        <v>3171</v>
      </c>
      <c r="K883" s="1004" t="s">
        <v>3172</v>
      </c>
      <c r="L883" s="999" t="s">
        <v>309</v>
      </c>
      <c r="M883" s="1008" t="s">
        <v>3173</v>
      </c>
      <c r="N883" s="999" t="s">
        <v>3136</v>
      </c>
    </row>
    <row r="884" spans="1:14" hidden="1">
      <c r="A884" s="123">
        <v>31</v>
      </c>
      <c r="B884" s="976"/>
      <c r="C884" s="111" t="s">
        <v>3167</v>
      </c>
      <c r="D884" s="1000"/>
      <c r="E884" s="1000"/>
      <c r="F884" s="1005"/>
      <c r="G884" s="1005"/>
      <c r="H884" s="1005"/>
      <c r="I884" s="1005"/>
      <c r="J884" s="1005"/>
      <c r="K884" s="1005"/>
      <c r="L884" s="1000"/>
      <c r="M884" s="1009"/>
      <c r="N884" s="1000"/>
    </row>
    <row r="885" spans="1:14" ht="27" hidden="1">
      <c r="A885" s="123">
        <v>32</v>
      </c>
      <c r="B885" s="1114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hidden="1">
      <c r="A886" s="123">
        <v>32</v>
      </c>
      <c r="B886" s="1115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hidden="1">
      <c r="A887" s="123">
        <v>32</v>
      </c>
      <c r="B887" s="1115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hidden="1">
      <c r="A888" s="123">
        <v>32</v>
      </c>
      <c r="B888" s="1116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hidden="1">
      <c r="A889" s="123">
        <v>32</v>
      </c>
      <c r="B889" s="1114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hidden="1">
      <c r="A890" s="123">
        <v>32</v>
      </c>
      <c r="B890" s="1115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hidden="1">
      <c r="A891" s="123">
        <v>32</v>
      </c>
      <c r="B891" s="1115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hidden="1">
      <c r="A892" s="123">
        <v>32</v>
      </c>
      <c r="B892" s="1116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hidden="1">
      <c r="A893" s="123">
        <v>33</v>
      </c>
      <c r="B893" s="1114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hidden="1">
      <c r="A894" s="123">
        <v>33</v>
      </c>
      <c r="B894" s="1115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hidden="1">
      <c r="A895" s="123">
        <v>33</v>
      </c>
      <c r="B895" s="1116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hidden="1">
      <c r="A896" s="123">
        <v>33</v>
      </c>
      <c r="B896" s="1114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hidden="1">
      <c r="A897" s="123">
        <v>33</v>
      </c>
      <c r="B897" s="1115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hidden="1">
      <c r="A898" s="123">
        <v>33</v>
      </c>
      <c r="B898" s="1116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hidden="1">
      <c r="A899" s="123">
        <v>34</v>
      </c>
      <c r="B899" s="988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hidden="1">
      <c r="A900" s="123">
        <v>34</v>
      </c>
      <c r="B900" s="989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hidden="1">
      <c r="A901" s="123">
        <v>34</v>
      </c>
      <c r="B901" s="989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hidden="1">
      <c r="A902" s="123">
        <v>34</v>
      </c>
      <c r="B902" s="990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hidden="1">
      <c r="A903" s="123">
        <v>34</v>
      </c>
      <c r="B903" s="988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hidden="1">
      <c r="A904" s="123">
        <v>34</v>
      </c>
      <c r="B904" s="989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hidden="1">
      <c r="A905" s="123">
        <v>34</v>
      </c>
      <c r="B905" s="989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hidden="1">
      <c r="A906" s="123">
        <v>34</v>
      </c>
      <c r="B906" s="989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hidden="1">
      <c r="A907" s="123">
        <v>34</v>
      </c>
      <c r="B907" s="989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hidden="1">
      <c r="A908" s="123">
        <v>34</v>
      </c>
      <c r="B908" s="989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hidden="1">
      <c r="A909" s="123">
        <v>34</v>
      </c>
      <c r="B909" s="989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hidden="1">
      <c r="A910" s="123">
        <v>34</v>
      </c>
      <c r="B910" s="990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hidden="1">
      <c r="A911" s="123">
        <v>35</v>
      </c>
      <c r="B911" s="988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hidden="1">
      <c r="A912" s="123">
        <v>35</v>
      </c>
      <c r="B912" s="989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hidden="1">
      <c r="A913" s="123">
        <v>35</v>
      </c>
      <c r="B913" s="989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hidden="1">
      <c r="A914" s="123">
        <v>35</v>
      </c>
      <c r="B914" s="989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hidden="1">
      <c r="A915" s="123">
        <v>35</v>
      </c>
      <c r="B915" s="989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hidden="1">
      <c r="A916" s="123">
        <v>35</v>
      </c>
      <c r="B916" s="990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hidden="1">
      <c r="A917" s="123">
        <v>35</v>
      </c>
      <c r="B917" s="988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hidden="1">
      <c r="A918" s="123">
        <v>35</v>
      </c>
      <c r="B918" s="989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hidden="1">
      <c r="A919" s="123">
        <v>35</v>
      </c>
      <c r="B919" s="989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hidden="1">
      <c r="A920" s="123">
        <v>35</v>
      </c>
      <c r="B920" s="989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hidden="1">
      <c r="A921" s="123">
        <v>35</v>
      </c>
      <c r="B921" s="989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hidden="1">
      <c r="A922" s="123">
        <v>35</v>
      </c>
      <c r="B922" s="989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hidden="1">
      <c r="A923" s="123">
        <v>35</v>
      </c>
      <c r="B923" s="989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hidden="1">
      <c r="A924" s="123">
        <v>35</v>
      </c>
      <c r="B924" s="989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hidden="1">
      <c r="A925" s="123">
        <v>35</v>
      </c>
      <c r="B925" s="989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hidden="1" customHeight="1">
      <c r="A926" s="123">
        <v>35</v>
      </c>
      <c r="B926" s="990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hidden="1">
      <c r="A927" s="123">
        <v>36</v>
      </c>
      <c r="B927" s="966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hidden="1">
      <c r="A928" s="123">
        <v>36</v>
      </c>
      <c r="B928" s="966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hidden="1">
      <c r="A929" s="123">
        <v>36</v>
      </c>
      <c r="B929" s="966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hidden="1">
      <c r="A930" s="123">
        <v>36</v>
      </c>
      <c r="B930" s="966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hidden="1">
      <c r="A931" s="123">
        <v>36</v>
      </c>
      <c r="B931" s="966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hidden="1">
      <c r="A932" s="123">
        <v>36</v>
      </c>
      <c r="B932" s="966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hidden="1">
      <c r="A933" s="123">
        <v>36</v>
      </c>
      <c r="B933" s="966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hidden="1">
      <c r="A934" s="123">
        <v>36</v>
      </c>
      <c r="B934" s="966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hidden="1">
      <c r="A935" s="123">
        <v>36</v>
      </c>
      <c r="B935" s="966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hidden="1">
      <c r="A936" s="123">
        <v>36</v>
      </c>
      <c r="B936" s="966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hidden="1">
      <c r="A937" s="123">
        <v>36</v>
      </c>
      <c r="B937" s="966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hidden="1">
      <c r="A938" s="123">
        <v>36</v>
      </c>
      <c r="B938" s="966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hidden="1">
      <c r="A939" s="123">
        <v>37</v>
      </c>
      <c r="B939" s="966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hidden="1">
      <c r="A940" s="123">
        <v>37</v>
      </c>
      <c r="B940" s="966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hidden="1">
      <c r="A941" s="123">
        <v>37</v>
      </c>
      <c r="B941" s="966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hidden="1">
      <c r="A942" s="123">
        <v>37</v>
      </c>
      <c r="B942" s="966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hidden="1">
      <c r="A943" s="123">
        <v>37</v>
      </c>
      <c r="B943" s="966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hidden="1">
      <c r="A944" s="123">
        <v>37</v>
      </c>
      <c r="B944" s="966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hidden="1">
      <c r="A945" s="123">
        <v>37</v>
      </c>
      <c r="B945" s="966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hidden="1">
      <c r="A946" s="123">
        <v>37</v>
      </c>
      <c r="B946" s="966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hidden="1">
      <c r="A947" s="123">
        <v>37</v>
      </c>
      <c r="B947" s="966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hidden="1">
      <c r="A948" s="123">
        <v>37</v>
      </c>
      <c r="B948" s="966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hidden="1">
      <c r="A949" s="123">
        <v>37</v>
      </c>
      <c r="B949" s="966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hidden="1">
      <c r="A950" s="123">
        <v>37</v>
      </c>
      <c r="B950" s="966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hidden="1">
      <c r="A951" s="123">
        <v>37</v>
      </c>
      <c r="B951" s="966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hidden="1">
      <c r="A952" s="123">
        <v>37</v>
      </c>
      <c r="B952" s="966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hidden="1">
      <c r="A953" s="123">
        <v>37</v>
      </c>
      <c r="B953" s="966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hidden="1">
      <c r="A954" s="123">
        <v>38</v>
      </c>
      <c r="B954" s="966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hidden="1">
      <c r="A955" s="123">
        <v>38</v>
      </c>
      <c r="B955" s="966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hidden="1">
      <c r="A956" s="123">
        <v>38</v>
      </c>
      <c r="B956" s="966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hidden="1">
      <c r="A957" s="123">
        <v>38</v>
      </c>
      <c r="B957" s="966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hidden="1">
      <c r="A958" s="123">
        <v>38</v>
      </c>
      <c r="B958" s="966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hidden="1">
      <c r="A959" s="123">
        <v>38</v>
      </c>
      <c r="B959" s="966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hidden="1">
      <c r="A960" s="123">
        <v>38</v>
      </c>
      <c r="B960" s="966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hidden="1">
      <c r="A961" s="123">
        <v>38</v>
      </c>
      <c r="B961" s="966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hidden="1">
      <c r="A962" s="123">
        <v>38</v>
      </c>
      <c r="B962" s="966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hidden="1">
      <c r="A963" s="123">
        <v>38</v>
      </c>
      <c r="B963" s="966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hidden="1">
      <c r="A964" s="123">
        <v>38</v>
      </c>
      <c r="B964" s="966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hidden="1">
      <c r="A965" s="123">
        <v>39</v>
      </c>
      <c r="B965" s="966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hidden="1">
      <c r="A966" s="123">
        <v>39</v>
      </c>
      <c r="B966" s="966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hidden="1">
      <c r="A967" s="123">
        <v>39</v>
      </c>
      <c r="B967" s="966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hidden="1">
      <c r="A968" s="123">
        <v>39</v>
      </c>
      <c r="B968" s="966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hidden="1">
      <c r="A969" s="123">
        <v>39</v>
      </c>
      <c r="B969" s="966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hidden="1">
      <c r="A970" s="123">
        <v>39</v>
      </c>
      <c r="B970" s="966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hidden="1">
      <c r="A971" s="123">
        <v>39</v>
      </c>
      <c r="B971" s="966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hidden="1">
      <c r="A972" s="123">
        <v>39</v>
      </c>
      <c r="B972" s="966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hidden="1">
      <c r="A973" s="123">
        <v>39</v>
      </c>
      <c r="B973" s="966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hidden="1">
      <c r="A974" s="123">
        <v>39</v>
      </c>
      <c r="B974" s="966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hidden="1">
      <c r="A975" s="123">
        <v>39</v>
      </c>
      <c r="B975" s="966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hidden="1">
      <c r="A976" s="123">
        <v>40</v>
      </c>
      <c r="B976" s="966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hidden="1">
      <c r="A977" s="123">
        <v>40</v>
      </c>
      <c r="B977" s="966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hidden="1">
      <c r="A978" s="123">
        <v>40</v>
      </c>
      <c r="B978" s="966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hidden="1">
      <c r="A979" s="123">
        <v>40</v>
      </c>
      <c r="B979" s="966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hidden="1">
      <c r="A980" s="123">
        <v>40</v>
      </c>
      <c r="B980" s="966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hidden="1">
      <c r="A981" s="123">
        <v>40</v>
      </c>
      <c r="B981" s="966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hidden="1">
      <c r="A982" s="123">
        <v>40</v>
      </c>
      <c r="B982" s="966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hidden="1">
      <c r="A983" s="123">
        <v>40</v>
      </c>
      <c r="B983" s="966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hidden="1">
      <c r="A984" s="123">
        <v>40</v>
      </c>
      <c r="B984" s="966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hidden="1">
      <c r="A985" s="123">
        <v>41</v>
      </c>
      <c r="B985" s="966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hidden="1">
      <c r="A986" s="123">
        <v>41</v>
      </c>
      <c r="B986" s="966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hidden="1">
      <c r="A987" s="123">
        <v>41</v>
      </c>
      <c r="B987" s="966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hidden="1">
      <c r="A988" s="123">
        <v>41</v>
      </c>
      <c r="B988" s="966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hidden="1">
      <c r="A989" s="123">
        <v>42</v>
      </c>
      <c r="B989" s="966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hidden="1">
      <c r="A990" s="123">
        <v>42</v>
      </c>
      <c r="B990" s="966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hidden="1">
      <c r="A991" s="123">
        <v>42</v>
      </c>
      <c r="B991" s="966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hidden="1">
      <c r="A992" s="123">
        <v>42</v>
      </c>
      <c r="B992" s="966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hidden="1">
      <c r="A993" s="123">
        <v>42</v>
      </c>
      <c r="B993" s="966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hidden="1">
      <c r="A994" s="123">
        <v>42</v>
      </c>
      <c r="B994" s="966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hidden="1">
      <c r="A995" s="123">
        <v>42</v>
      </c>
      <c r="B995" s="966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hidden="1">
      <c r="A996" s="123">
        <v>43</v>
      </c>
      <c r="B996" s="966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hidden="1">
      <c r="A997" s="123">
        <v>43</v>
      </c>
      <c r="B997" s="966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hidden="1">
      <c r="A998" s="123">
        <v>43</v>
      </c>
      <c r="B998" s="966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hidden="1">
      <c r="A999" s="123">
        <v>43</v>
      </c>
      <c r="B999" s="966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hidden="1">
      <c r="A1000" s="123">
        <v>43</v>
      </c>
      <c r="B1000" s="966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hidden="1">
      <c r="A1001" s="123">
        <v>43</v>
      </c>
      <c r="B1001" s="966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hidden="1">
      <c r="A1002" s="123">
        <v>43</v>
      </c>
      <c r="B1002" s="966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hidden="1">
      <c r="A1003" s="123">
        <v>43</v>
      </c>
      <c r="B1003" s="966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hidden="1">
      <c r="A1004" s="123">
        <v>43</v>
      </c>
      <c r="B1004" s="966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hidden="1">
      <c r="A1005" s="123">
        <v>43</v>
      </c>
      <c r="B1005" s="966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hidden="1">
      <c r="A1006" s="123">
        <v>44</v>
      </c>
      <c r="B1006" s="966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hidden="1">
      <c r="A1007" s="123">
        <v>44</v>
      </c>
      <c r="B1007" s="966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hidden="1">
      <c r="A1008" s="123">
        <v>44</v>
      </c>
      <c r="B1008" s="966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hidden="1">
      <c r="A1009" s="123">
        <v>44</v>
      </c>
      <c r="B1009" s="966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hidden="1">
      <c r="A1010" s="123">
        <v>44</v>
      </c>
      <c r="B1010" s="966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hidden="1">
      <c r="A1011" s="123">
        <v>44</v>
      </c>
      <c r="B1011" s="966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hidden="1">
      <c r="A1012" s="123">
        <v>44</v>
      </c>
      <c r="B1012" s="966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hidden="1">
      <c r="A1013" s="123">
        <v>44</v>
      </c>
      <c r="B1013" s="966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hidden="1">
      <c r="A1014" s="123">
        <v>44</v>
      </c>
      <c r="B1014" s="966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hidden="1">
      <c r="A1015" s="123">
        <v>44</v>
      </c>
      <c r="B1015" s="966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hidden="1">
      <c r="A1016" s="123">
        <v>44</v>
      </c>
      <c r="B1016" s="966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hidden="1">
      <c r="A1017" s="123">
        <v>44</v>
      </c>
      <c r="B1017" s="966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hidden="1">
      <c r="A1018" s="123">
        <v>44</v>
      </c>
      <c r="B1018" s="966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hidden="1">
      <c r="A1019" s="123">
        <v>44</v>
      </c>
      <c r="B1019" s="966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hidden="1">
      <c r="A1020" s="123">
        <v>44</v>
      </c>
      <c r="B1020" s="966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hidden="1">
      <c r="A1021" s="123">
        <v>44</v>
      </c>
      <c r="B1021" s="966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hidden="1">
      <c r="A1022" s="123">
        <v>45</v>
      </c>
      <c r="B1022" s="966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hidden="1">
      <c r="A1023" s="123">
        <v>45</v>
      </c>
      <c r="B1023" s="966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hidden="1">
      <c r="A1024" s="123">
        <v>45</v>
      </c>
      <c r="B1024" s="966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hidden="1">
      <c r="A1025" s="123">
        <v>45</v>
      </c>
      <c r="B1025" s="966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hidden="1">
      <c r="A1026" s="123">
        <v>45</v>
      </c>
      <c r="B1026" s="966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hidden="1">
      <c r="A1027" s="123">
        <v>45</v>
      </c>
      <c r="B1027" s="966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hidden="1">
      <c r="A1028" s="123">
        <v>45</v>
      </c>
      <c r="B1028" s="966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hidden="1">
      <c r="A1029" s="123">
        <v>45</v>
      </c>
      <c r="B1029" s="966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hidden="1">
      <c r="A1030" s="123">
        <v>45</v>
      </c>
      <c r="B1030" s="966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hidden="1">
      <c r="A1031" s="123">
        <v>45</v>
      </c>
      <c r="B1031" s="966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hidden="1">
      <c r="A1032" s="123">
        <v>45</v>
      </c>
      <c r="B1032" s="966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hidden="1">
      <c r="A1033" s="123">
        <v>45</v>
      </c>
      <c r="B1033" s="966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hidden="1">
      <c r="A1034" s="123">
        <v>45</v>
      </c>
      <c r="B1034" s="966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hidden="1">
      <c r="A1035" s="123">
        <v>45</v>
      </c>
      <c r="B1035" s="966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hidden="1">
      <c r="A1036" s="123">
        <v>46</v>
      </c>
      <c r="B1036" s="966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hidden="1">
      <c r="A1037" s="123">
        <v>46</v>
      </c>
      <c r="B1037" s="966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hidden="1">
      <c r="A1038" s="123">
        <v>46</v>
      </c>
      <c r="B1038" s="966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hidden="1">
      <c r="A1039" s="123">
        <v>46</v>
      </c>
      <c r="B1039" s="966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hidden="1">
      <c r="A1040" s="123">
        <v>46</v>
      </c>
      <c r="B1040" s="966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hidden="1">
      <c r="A1041" s="123">
        <v>46</v>
      </c>
      <c r="B1041" s="966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hidden="1">
      <c r="A1042" s="123">
        <v>46</v>
      </c>
      <c r="B1042" s="966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hidden="1">
      <c r="A1043" s="123">
        <v>46</v>
      </c>
      <c r="B1043" s="966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hidden="1">
      <c r="A1044" s="123">
        <v>46</v>
      </c>
      <c r="B1044" s="966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hidden="1">
      <c r="A1045" s="123">
        <v>46</v>
      </c>
      <c r="B1045" s="966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hidden="1">
      <c r="A1046" s="123">
        <v>46</v>
      </c>
      <c r="B1046" s="966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hidden="1">
      <c r="A1047" s="123">
        <v>46</v>
      </c>
      <c r="B1047" s="966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hidden="1">
      <c r="A1048" s="123">
        <v>46</v>
      </c>
      <c r="B1048" s="966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hidden="1">
      <c r="A1049" s="123">
        <v>47</v>
      </c>
      <c r="B1049" s="966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hidden="1">
      <c r="A1050" s="123">
        <v>47</v>
      </c>
      <c r="B1050" s="966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hidden="1">
      <c r="A1051" s="123">
        <v>47</v>
      </c>
      <c r="B1051" s="966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hidden="1">
      <c r="A1052" s="123">
        <v>47</v>
      </c>
      <c r="B1052" s="966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hidden="1" customHeight="1">
      <c r="A1053" s="123">
        <v>47</v>
      </c>
      <c r="B1053" s="966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hidden="1">
      <c r="A1054" s="123">
        <v>47</v>
      </c>
      <c r="B1054" s="966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hidden="1">
      <c r="A1055" s="123">
        <v>47</v>
      </c>
      <c r="B1055" s="966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hidden="1">
      <c r="A1056" s="123">
        <v>47</v>
      </c>
      <c r="B1056" s="966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hidden="1">
      <c r="A1057" s="123">
        <v>47</v>
      </c>
      <c r="B1057" s="966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hidden="1">
      <c r="A1058" s="123">
        <v>47</v>
      </c>
      <c r="B1058" s="966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hidden="1">
      <c r="A1059" s="123">
        <v>47</v>
      </c>
      <c r="B1059" s="966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hidden="1">
      <c r="A1060" s="123">
        <v>47</v>
      </c>
      <c r="B1060" s="966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hidden="1">
      <c r="A1061" s="123">
        <v>47</v>
      </c>
      <c r="B1061" s="966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hidden="1">
      <c r="A1062" s="123">
        <v>47</v>
      </c>
      <c r="B1062" s="966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hidden="1">
      <c r="A1063" s="123">
        <v>47</v>
      </c>
      <c r="B1063" s="966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hidden="1">
      <c r="A1064" s="123">
        <v>47</v>
      </c>
      <c r="B1064" s="966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hidden="1">
      <c r="A1065" s="123">
        <v>47</v>
      </c>
      <c r="B1065" s="966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hidden="1">
      <c r="A1066" s="123">
        <v>47</v>
      </c>
      <c r="B1066" s="966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hidden="1">
      <c r="A1067" s="123">
        <v>47</v>
      </c>
      <c r="B1067" s="966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hidden="1">
      <c r="A1068" s="123">
        <v>47</v>
      </c>
      <c r="B1068" s="966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hidden="1">
      <c r="A1069" s="123">
        <v>47</v>
      </c>
      <c r="B1069" s="966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hidden="1">
      <c r="A1070" s="123">
        <v>47</v>
      </c>
      <c r="B1070" s="966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hidden="1">
      <c r="A1071" s="123">
        <v>47</v>
      </c>
      <c r="B1071" s="966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hidden="1">
      <c r="A1072" s="123">
        <v>48</v>
      </c>
      <c r="B1072" s="966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hidden="1">
      <c r="A1073" s="123">
        <v>48</v>
      </c>
      <c r="B1073" s="966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hidden="1">
      <c r="A1074" s="123">
        <v>48</v>
      </c>
      <c r="B1074" s="966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hidden="1">
      <c r="A1075" s="123">
        <v>48</v>
      </c>
      <c r="B1075" s="966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hidden="1">
      <c r="A1076" s="123">
        <v>48</v>
      </c>
      <c r="B1076" s="966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hidden="1">
      <c r="A1077" s="123">
        <v>48</v>
      </c>
      <c r="B1077" s="966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hidden="1">
      <c r="A1078" s="123">
        <v>48</v>
      </c>
      <c r="B1078" s="966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hidden="1">
      <c r="A1079" s="123">
        <v>48</v>
      </c>
      <c r="B1079" s="966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hidden="1">
      <c r="A1080" s="123">
        <v>48</v>
      </c>
      <c r="B1080" s="966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hidden="1">
      <c r="A1081" s="123">
        <v>48</v>
      </c>
      <c r="B1081" s="966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hidden="1">
      <c r="A1082" s="123">
        <v>48</v>
      </c>
      <c r="B1082" s="966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hidden="1">
      <c r="A1083" s="123">
        <v>48</v>
      </c>
      <c r="B1083" s="966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hidden="1">
      <c r="A1084" s="123">
        <v>48</v>
      </c>
      <c r="B1084" s="966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hidden="1">
      <c r="A1085" s="123">
        <v>48</v>
      </c>
      <c r="B1085" s="966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hidden="1">
      <c r="A1086" s="123">
        <v>48</v>
      </c>
      <c r="B1086" s="966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hidden="1">
      <c r="A1087" s="123">
        <v>48</v>
      </c>
      <c r="B1087" s="966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hidden="1">
      <c r="A1088" s="123">
        <v>48</v>
      </c>
      <c r="B1088" s="966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hidden="1">
      <c r="A1089" s="123">
        <v>48</v>
      </c>
      <c r="B1089" s="966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hidden="1">
      <c r="A1090" s="123">
        <v>48</v>
      </c>
      <c r="B1090" s="966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hidden="1">
      <c r="A1091" s="123">
        <v>49</v>
      </c>
      <c r="B1091" s="966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hidden="1">
      <c r="A1092" s="123">
        <v>49</v>
      </c>
      <c r="B1092" s="966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hidden="1">
      <c r="A1093" s="123">
        <v>49</v>
      </c>
      <c r="B1093" s="966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hidden="1">
      <c r="A1094" s="123">
        <v>49</v>
      </c>
      <c r="B1094" s="966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hidden="1">
      <c r="A1095" s="123">
        <v>49</v>
      </c>
      <c r="B1095" s="966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hidden="1">
      <c r="A1096" s="123">
        <v>49</v>
      </c>
      <c r="B1096" s="966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hidden="1">
      <c r="A1097" s="123">
        <v>49</v>
      </c>
      <c r="B1097" s="966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hidden="1">
      <c r="A1098" s="123">
        <v>49</v>
      </c>
      <c r="B1098" s="966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hidden="1" customHeight="1">
      <c r="A1099" s="123">
        <v>49</v>
      </c>
      <c r="B1099" s="966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hidden="1">
      <c r="A1100" s="123">
        <v>49</v>
      </c>
      <c r="B1100" s="966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hidden="1">
      <c r="A1101" s="123">
        <v>49</v>
      </c>
      <c r="B1101" s="966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hidden="1">
      <c r="A1102" s="123">
        <v>49</v>
      </c>
      <c r="B1102" s="966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hidden="1">
      <c r="A1103" s="123">
        <v>49</v>
      </c>
      <c r="B1103" s="966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hidden="1">
      <c r="A1104" s="123">
        <v>49</v>
      </c>
      <c r="B1104" s="966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hidden="1">
      <c r="A1105" s="123">
        <v>49</v>
      </c>
      <c r="B1105" s="966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hidden="1">
      <c r="A1106" s="123">
        <v>49</v>
      </c>
      <c r="B1106" s="966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hidden="1">
      <c r="A1107" s="123">
        <v>49</v>
      </c>
      <c r="B1107" s="966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hidden="1">
      <c r="A1108" s="123">
        <v>49</v>
      </c>
      <c r="B1108" s="966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hidden="1">
      <c r="A1109" s="123">
        <v>49</v>
      </c>
      <c r="B1109" s="966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hidden="1">
      <c r="A1110" s="123">
        <v>49</v>
      </c>
      <c r="B1110" s="966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hidden="1">
      <c r="A1111" s="123">
        <v>49</v>
      </c>
      <c r="B1111" s="966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hidden="1">
      <c r="A1112" s="123">
        <v>49</v>
      </c>
      <c r="B1112" s="966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hidden="1">
      <c r="A1113" s="123">
        <v>49</v>
      </c>
      <c r="B1113" s="966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hidden="1">
      <c r="A1114" s="123">
        <v>49</v>
      </c>
      <c r="B1114" s="966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hidden="1">
      <c r="A1115" s="123">
        <v>50</v>
      </c>
      <c r="B1115" s="966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hidden="1">
      <c r="A1116" s="123">
        <v>50</v>
      </c>
      <c r="B1116" s="966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hidden="1">
      <c r="A1117" s="123">
        <v>50</v>
      </c>
      <c r="B1117" s="966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hidden="1">
      <c r="A1118" s="123">
        <v>50</v>
      </c>
      <c r="B1118" s="966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hidden="1">
      <c r="A1119" s="123">
        <v>50</v>
      </c>
      <c r="B1119" s="966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hidden="1">
      <c r="A1120" s="123">
        <v>50</v>
      </c>
      <c r="B1120" s="966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hidden="1">
      <c r="A1121" s="123">
        <v>50</v>
      </c>
      <c r="B1121" s="966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hidden="1">
      <c r="A1122" s="123">
        <v>50</v>
      </c>
      <c r="B1122" s="966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hidden="1">
      <c r="A1123" s="123">
        <v>50</v>
      </c>
      <c r="B1123" s="966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hidden="1">
      <c r="A1124" s="123">
        <v>50</v>
      </c>
      <c r="B1124" s="966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hidden="1">
      <c r="A1125" s="123">
        <v>50</v>
      </c>
      <c r="B1125" s="966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hidden="1">
      <c r="A1126" s="123">
        <v>50</v>
      </c>
      <c r="B1126" s="966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hidden="1">
      <c r="A1127" s="123">
        <v>50</v>
      </c>
      <c r="B1127" s="966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hidden="1">
      <c r="A1128" s="123">
        <v>50</v>
      </c>
      <c r="B1128" s="966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hidden="1">
      <c r="A1129" s="123">
        <v>50</v>
      </c>
      <c r="B1129" s="966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hidden="1">
      <c r="A1130" s="123">
        <v>50</v>
      </c>
      <c r="B1130" s="966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hidden="1">
      <c r="A1131" s="123">
        <v>50</v>
      </c>
      <c r="B1131" s="966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hidden="1">
      <c r="A1132" s="123">
        <v>51</v>
      </c>
      <c r="B1132" s="966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hidden="1">
      <c r="A1133" s="123">
        <v>51</v>
      </c>
      <c r="B1133" s="966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hidden="1">
      <c r="A1134" s="123">
        <v>51</v>
      </c>
      <c r="B1134" s="966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hidden="1">
      <c r="A1135" s="123">
        <v>51</v>
      </c>
      <c r="B1135" s="966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hidden="1">
      <c r="A1136" s="123">
        <v>51</v>
      </c>
      <c r="B1136" s="966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hidden="1">
      <c r="A1137" s="123">
        <v>51</v>
      </c>
      <c r="B1137" s="966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hidden="1">
      <c r="A1138" s="123">
        <v>51</v>
      </c>
      <c r="B1138" s="966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hidden="1">
      <c r="A1139" s="123">
        <v>51</v>
      </c>
      <c r="B1139" s="966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hidden="1">
      <c r="A1140" s="123">
        <v>51</v>
      </c>
      <c r="B1140" s="966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hidden="1">
      <c r="A1141" s="123">
        <v>51</v>
      </c>
      <c r="B1141" s="966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hidden="1">
      <c r="A1142" s="123">
        <v>51</v>
      </c>
      <c r="B1142" s="966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hidden="1">
      <c r="A1143" s="123">
        <v>51</v>
      </c>
      <c r="B1143" s="966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hidden="1">
      <c r="A1144" s="123">
        <v>51</v>
      </c>
      <c r="B1144" s="966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hidden="1">
      <c r="A1145" s="123">
        <v>51</v>
      </c>
      <c r="B1145" s="966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hidden="1">
      <c r="A1146" s="123">
        <v>51</v>
      </c>
      <c r="B1146" s="966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hidden="1">
      <c r="A1147" s="123">
        <v>51</v>
      </c>
      <c r="B1147" s="966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hidden="1">
      <c r="A1148" s="123">
        <v>51</v>
      </c>
      <c r="B1148" s="966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hidden="1">
      <c r="A1149" s="123">
        <v>51</v>
      </c>
      <c r="B1149" s="966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hidden="1">
      <c r="A1150" s="123">
        <v>52</v>
      </c>
      <c r="B1150" s="966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hidden="1">
      <c r="A1151" s="123">
        <v>52</v>
      </c>
      <c r="B1151" s="966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hidden="1">
      <c r="A1152" s="123">
        <v>52</v>
      </c>
      <c r="B1152" s="966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hidden="1">
      <c r="A1153" s="123">
        <v>52</v>
      </c>
      <c r="B1153" s="966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hidden="1">
      <c r="A1154" s="123">
        <v>52</v>
      </c>
      <c r="B1154" s="966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hidden="1">
      <c r="A1155" s="123">
        <v>52</v>
      </c>
      <c r="B1155" s="966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hidden="1">
      <c r="A1156" s="123">
        <v>52</v>
      </c>
      <c r="B1156" s="966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hidden="1">
      <c r="A1157" s="123">
        <v>52</v>
      </c>
      <c r="B1157" s="966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hidden="1">
      <c r="A1158" s="123">
        <v>52</v>
      </c>
      <c r="B1158" s="966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hidden="1">
      <c r="A1159" s="123">
        <v>52</v>
      </c>
      <c r="B1159" s="966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hidden="1">
      <c r="A1160" s="123">
        <v>52</v>
      </c>
      <c r="B1160" s="966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hidden="1">
      <c r="A1161" s="123">
        <v>52</v>
      </c>
      <c r="B1161" s="966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hidden="1">
      <c r="A1162" s="123">
        <v>52</v>
      </c>
      <c r="B1162" s="966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hidden="1">
      <c r="A1163" s="123">
        <v>52</v>
      </c>
      <c r="B1163" s="966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hidden="1">
      <c r="A1164" s="123">
        <v>52</v>
      </c>
      <c r="B1164" s="966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hidden="1">
      <c r="A1165" s="123">
        <v>52</v>
      </c>
      <c r="B1165" s="966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hidden="1">
      <c r="A1166" s="123">
        <v>52</v>
      </c>
      <c r="B1166" s="966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hidden="1">
      <c r="A1167" s="123">
        <v>52</v>
      </c>
      <c r="B1167" s="966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hidden="1">
      <c r="A1168" s="123">
        <v>52</v>
      </c>
      <c r="B1168" s="966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hidden="1">
      <c r="A1169" s="123">
        <v>53</v>
      </c>
      <c r="B1169" s="966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hidden="1">
      <c r="A1170" s="123">
        <v>53</v>
      </c>
      <c r="B1170" s="966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hidden="1">
      <c r="A1171" s="123">
        <v>53</v>
      </c>
      <c r="B1171" s="966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hidden="1">
      <c r="A1172" s="123">
        <v>53</v>
      </c>
      <c r="B1172" s="966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hidden="1">
      <c r="A1173" s="123">
        <v>53</v>
      </c>
      <c r="B1173" s="966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hidden="1">
      <c r="A1174" s="123">
        <v>53</v>
      </c>
      <c r="B1174" s="966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hidden="1">
      <c r="A1175" s="123">
        <v>53</v>
      </c>
      <c r="B1175" s="966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hidden="1">
      <c r="A1176" s="123">
        <v>53</v>
      </c>
      <c r="B1176" s="966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hidden="1">
      <c r="A1177" s="123">
        <v>53</v>
      </c>
      <c r="B1177" s="966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hidden="1">
      <c r="A1178" s="123">
        <v>53</v>
      </c>
      <c r="B1178" s="966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hidden="1">
      <c r="A1179" s="123">
        <v>53</v>
      </c>
      <c r="B1179" s="966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hidden="1">
      <c r="A1180" s="123">
        <v>53</v>
      </c>
      <c r="B1180" s="966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hidden="1">
      <c r="A1181" s="123">
        <v>53</v>
      </c>
      <c r="B1181" s="966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hidden="1">
      <c r="A1182" s="123">
        <v>53</v>
      </c>
      <c r="B1182" s="966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hidden="1">
      <c r="A1183" s="123">
        <v>53</v>
      </c>
      <c r="B1183" s="966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hidden="1">
      <c r="A1184" s="123">
        <v>53</v>
      </c>
      <c r="B1184" s="966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hidden="1">
      <c r="A1185" s="123">
        <v>1</v>
      </c>
      <c r="B1185" s="966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hidden="1">
      <c r="A1186" s="123">
        <v>1</v>
      </c>
      <c r="B1186" s="966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hidden="1">
      <c r="A1187" s="123">
        <v>1</v>
      </c>
      <c r="B1187" s="966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hidden="1">
      <c r="A1188" s="123">
        <v>1</v>
      </c>
      <c r="B1188" s="966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hidden="1">
      <c r="A1189" s="123">
        <v>2</v>
      </c>
      <c r="B1189" s="949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hidden="1">
      <c r="A1190" s="123">
        <v>2</v>
      </c>
      <c r="B1190" s="949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hidden="1">
      <c r="A1191" s="123">
        <v>2</v>
      </c>
      <c r="B1191" s="949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hidden="1">
      <c r="A1192" s="123">
        <v>2</v>
      </c>
      <c r="B1192" s="949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hidden="1">
      <c r="A1193" s="123">
        <v>2</v>
      </c>
      <c r="B1193" s="949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hidden="1">
      <c r="A1194" s="123">
        <v>2</v>
      </c>
      <c r="B1194" s="949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hidden="1">
      <c r="A1195" s="123">
        <v>2</v>
      </c>
      <c r="B1195" s="949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hidden="1">
      <c r="A1196" s="123">
        <v>2</v>
      </c>
      <c r="B1196" s="949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hidden="1">
      <c r="A1197" s="123">
        <v>2</v>
      </c>
      <c r="B1197" s="949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hidden="1">
      <c r="A1198" s="123">
        <v>2</v>
      </c>
      <c r="B1198" s="949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hidden="1">
      <c r="A1199" s="123">
        <v>2</v>
      </c>
      <c r="B1199" s="949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hidden="1">
      <c r="A1200" s="123">
        <v>2</v>
      </c>
      <c r="B1200" s="949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hidden="1">
      <c r="A1201" s="123">
        <v>2</v>
      </c>
      <c r="B1201" s="949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hidden="1">
      <c r="A1202" s="123">
        <v>2</v>
      </c>
      <c r="B1202" s="949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hidden="1">
      <c r="A1203" s="123">
        <v>2</v>
      </c>
      <c r="B1203" s="949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hidden="1">
      <c r="A1204" s="123">
        <v>2</v>
      </c>
      <c r="B1204" s="949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hidden="1">
      <c r="A1205" s="123">
        <v>2</v>
      </c>
      <c r="B1205" s="949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hidden="1">
      <c r="A1206" s="123">
        <v>2</v>
      </c>
      <c r="B1206" s="949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hidden="1">
      <c r="A1207" s="123">
        <v>2</v>
      </c>
      <c r="B1207" s="949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hidden="1">
      <c r="A1208" s="123">
        <v>2</v>
      </c>
      <c r="B1208" s="949"/>
      <c r="C1208" s="951" t="s">
        <v>5007</v>
      </c>
      <c r="D1208" s="953" t="s">
        <v>311</v>
      </c>
      <c r="E1208" s="953" t="s">
        <v>675</v>
      </c>
      <c r="F1208" s="951" t="s">
        <v>337</v>
      </c>
      <c r="G1208" s="951" t="s">
        <v>353</v>
      </c>
      <c r="H1208" s="951" t="s">
        <v>5008</v>
      </c>
      <c r="I1208" s="476" t="s">
        <v>5009</v>
      </c>
      <c r="J1208" s="951" t="s">
        <v>638</v>
      </c>
      <c r="K1208" s="951" t="s">
        <v>713</v>
      </c>
      <c r="L1208" s="953" t="s">
        <v>309</v>
      </c>
      <c r="M1208" s="957">
        <v>250000</v>
      </c>
      <c r="N1208" s="953" t="s">
        <v>4990</v>
      </c>
    </row>
    <row r="1209" spans="1:14" hidden="1">
      <c r="A1209" s="123">
        <v>2</v>
      </c>
      <c r="B1209" s="949"/>
      <c r="C1209" s="951"/>
      <c r="D1209" s="953"/>
      <c r="E1209" s="953"/>
      <c r="F1209" s="951"/>
      <c r="G1209" s="951"/>
      <c r="H1209" s="951"/>
      <c r="I1209" s="476" t="s">
        <v>5010</v>
      </c>
      <c r="J1209" s="951"/>
      <c r="K1209" s="951"/>
      <c r="L1209" s="953"/>
      <c r="M1209" s="957"/>
      <c r="N1209" s="953"/>
    </row>
    <row r="1210" spans="1:14" hidden="1">
      <c r="A1210" s="123">
        <v>2</v>
      </c>
      <c r="B1210" s="949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hidden="1">
      <c r="A1211" s="123">
        <v>3</v>
      </c>
      <c r="B1211" s="949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hidden="1">
      <c r="A1212" s="123">
        <v>3</v>
      </c>
      <c r="B1212" s="949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hidden="1">
      <c r="A1213" s="123">
        <v>3</v>
      </c>
      <c r="B1213" s="949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hidden="1">
      <c r="A1214" s="123">
        <v>3</v>
      </c>
      <c r="B1214" s="949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hidden="1">
      <c r="A1215" s="123">
        <v>3</v>
      </c>
      <c r="B1215" s="949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hidden="1">
      <c r="A1216" s="123">
        <v>3</v>
      </c>
      <c r="B1216" s="949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hidden="1">
      <c r="A1217" s="123">
        <v>3</v>
      </c>
      <c r="B1217" s="949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hidden="1">
      <c r="A1218" s="123">
        <v>3</v>
      </c>
      <c r="B1218" s="949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hidden="1">
      <c r="A1219" s="123">
        <v>3</v>
      </c>
      <c r="B1219" s="949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hidden="1">
      <c r="A1220" s="123">
        <v>3</v>
      </c>
      <c r="B1220" s="949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hidden="1">
      <c r="A1221" s="123">
        <v>3</v>
      </c>
      <c r="B1221" s="949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hidden="1">
      <c r="A1222" s="123">
        <v>3</v>
      </c>
      <c r="B1222" s="949"/>
      <c r="C1222" s="951" t="s">
        <v>5033</v>
      </c>
      <c r="D1222" s="953" t="s">
        <v>311</v>
      </c>
      <c r="E1222" s="953" t="s">
        <v>675</v>
      </c>
      <c r="F1222" s="149" t="s">
        <v>5034</v>
      </c>
      <c r="G1222" s="149" t="s">
        <v>5036</v>
      </c>
      <c r="H1222" s="951" t="s">
        <v>347</v>
      </c>
      <c r="I1222" s="149" t="s">
        <v>5038</v>
      </c>
      <c r="J1222" s="951"/>
      <c r="K1222" s="951" t="s">
        <v>705</v>
      </c>
      <c r="L1222" s="953" t="s">
        <v>309</v>
      </c>
      <c r="M1222" s="957">
        <v>500000</v>
      </c>
      <c r="N1222" s="953" t="s">
        <v>5032</v>
      </c>
    </row>
    <row r="1223" spans="1:14" hidden="1">
      <c r="A1223" s="123">
        <v>3</v>
      </c>
      <c r="B1223" s="949"/>
      <c r="C1223" s="951"/>
      <c r="D1223" s="953"/>
      <c r="E1223" s="953"/>
      <c r="F1223" s="149" t="s">
        <v>5035</v>
      </c>
      <c r="G1223" s="149" t="s">
        <v>5037</v>
      </c>
      <c r="H1223" s="951"/>
      <c r="I1223" s="149" t="s">
        <v>5039</v>
      </c>
      <c r="J1223" s="951"/>
      <c r="K1223" s="951"/>
      <c r="L1223" s="953"/>
      <c r="M1223" s="957"/>
      <c r="N1223" s="953"/>
    </row>
    <row r="1224" spans="1:14" hidden="1">
      <c r="A1224" s="123">
        <v>3</v>
      </c>
      <c r="B1224" s="949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hidden="1">
      <c r="A1225" s="123">
        <v>3</v>
      </c>
      <c r="B1225" s="949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hidden="1">
      <c r="A1226" s="123">
        <v>3</v>
      </c>
      <c r="B1226" s="949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hidden="1">
      <c r="A1227" s="123">
        <v>3</v>
      </c>
      <c r="B1227" s="949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hidden="1">
      <c r="A1228" s="123">
        <v>3</v>
      </c>
      <c r="B1228" s="949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hidden="1">
      <c r="A1229" s="123">
        <v>4</v>
      </c>
      <c r="B1229" s="949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hidden="1">
      <c r="A1230" s="123">
        <v>4</v>
      </c>
      <c r="B1230" s="949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hidden="1">
      <c r="A1231" s="123">
        <v>4</v>
      </c>
      <c r="B1231" s="949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hidden="1">
      <c r="A1232" s="123">
        <v>4</v>
      </c>
      <c r="B1232" s="949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hidden="1">
      <c r="A1233" s="123">
        <v>4</v>
      </c>
      <c r="B1233" s="949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hidden="1">
      <c r="A1234" s="123">
        <v>4</v>
      </c>
      <c r="B1234" s="949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hidden="1">
      <c r="A1235" s="123">
        <v>4</v>
      </c>
      <c r="B1235" s="949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hidden="1">
      <c r="A1236" s="123">
        <v>4</v>
      </c>
      <c r="B1236" s="949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hidden="1">
      <c r="A1237" s="123">
        <v>4</v>
      </c>
      <c r="B1237" s="949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hidden="1">
      <c r="A1238" s="123">
        <v>4</v>
      </c>
      <c r="B1238" s="949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hidden="1">
      <c r="A1239" s="123">
        <v>4</v>
      </c>
      <c r="B1239" s="949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hidden="1">
      <c r="A1240" s="123">
        <v>4</v>
      </c>
      <c r="B1240" s="949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hidden="1">
      <c r="A1241" s="123">
        <v>4</v>
      </c>
      <c r="B1241" s="949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hidden="1">
      <c r="A1242" s="123">
        <v>4</v>
      </c>
      <c r="B1242" s="949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hidden="1">
      <c r="A1243" s="123">
        <v>5</v>
      </c>
      <c r="B1243" s="949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hidden="1">
      <c r="A1244" s="123">
        <v>5</v>
      </c>
      <c r="B1244" s="949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hidden="1">
      <c r="A1245" s="123">
        <v>5</v>
      </c>
      <c r="B1245" s="949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hidden="1">
      <c r="A1246" s="123">
        <v>5</v>
      </c>
      <c r="B1246" s="949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hidden="1">
      <c r="A1247" s="123">
        <v>5</v>
      </c>
      <c r="B1247" s="949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hidden="1">
      <c r="A1248" s="123">
        <v>5</v>
      </c>
      <c r="B1248" s="949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hidden="1">
      <c r="A1249" s="123">
        <v>5</v>
      </c>
      <c r="B1249" s="949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hidden="1">
      <c r="A1250" s="123">
        <v>5</v>
      </c>
      <c r="B1250" s="949"/>
      <c r="C1250" s="951" t="s">
        <v>5098</v>
      </c>
      <c r="D1250" s="953" t="s">
        <v>311</v>
      </c>
      <c r="E1250" s="953" t="s">
        <v>675</v>
      </c>
      <c r="F1250" s="953" t="s">
        <v>4986</v>
      </c>
      <c r="G1250" s="953">
        <v>1017</v>
      </c>
      <c r="H1250" s="953" t="s">
        <v>347</v>
      </c>
      <c r="I1250" s="149" t="s">
        <v>5099</v>
      </c>
      <c r="J1250" s="951"/>
      <c r="K1250" s="951" t="s">
        <v>692</v>
      </c>
      <c r="L1250" s="953" t="s">
        <v>309</v>
      </c>
      <c r="M1250" s="957">
        <v>500000</v>
      </c>
      <c r="N1250" s="953" t="s">
        <v>5032</v>
      </c>
    </row>
    <row r="1251" spans="1:14" hidden="1">
      <c r="A1251" s="123">
        <v>5</v>
      </c>
      <c r="B1251" s="949"/>
      <c r="C1251" s="951"/>
      <c r="D1251" s="953"/>
      <c r="E1251" s="953"/>
      <c r="F1251" s="953"/>
      <c r="G1251" s="953"/>
      <c r="H1251" s="953"/>
      <c r="I1251" s="149" t="s">
        <v>5100</v>
      </c>
      <c r="J1251" s="951"/>
      <c r="K1251" s="951"/>
      <c r="L1251" s="953"/>
      <c r="M1251" s="957"/>
      <c r="N1251" s="953"/>
    </row>
    <row r="1252" spans="1:14" hidden="1">
      <c r="A1252" s="123">
        <v>5</v>
      </c>
      <c r="B1252" s="949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hidden="1">
      <c r="A1253" s="123">
        <v>5</v>
      </c>
      <c r="B1253" s="949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hidden="1">
      <c r="A1254" s="123">
        <v>5</v>
      </c>
      <c r="B1254" s="949"/>
      <c r="C1254" s="951" t="s">
        <v>5103</v>
      </c>
      <c r="D1254" s="953" t="s">
        <v>311</v>
      </c>
      <c r="E1254" s="953" t="s">
        <v>675</v>
      </c>
      <c r="F1254" s="951" t="s">
        <v>5070</v>
      </c>
      <c r="G1254" s="951">
        <v>3006</v>
      </c>
      <c r="H1254" s="951" t="s">
        <v>347</v>
      </c>
      <c r="I1254" s="476" t="s">
        <v>5104</v>
      </c>
      <c r="J1254" s="951"/>
      <c r="K1254" s="951" t="s">
        <v>705</v>
      </c>
      <c r="L1254" s="953" t="s">
        <v>309</v>
      </c>
      <c r="M1254" s="957">
        <v>500000</v>
      </c>
      <c r="N1254" s="953" t="s">
        <v>5032</v>
      </c>
    </row>
    <row r="1255" spans="1:14" hidden="1">
      <c r="A1255" s="123">
        <v>5</v>
      </c>
      <c r="B1255" s="949"/>
      <c r="C1255" s="951"/>
      <c r="D1255" s="953"/>
      <c r="E1255" s="953"/>
      <c r="F1255" s="951"/>
      <c r="G1255" s="951"/>
      <c r="H1255" s="951"/>
      <c r="I1255" s="476" t="s">
        <v>5105</v>
      </c>
      <c r="J1255" s="951"/>
      <c r="K1255" s="951"/>
      <c r="L1255" s="953"/>
      <c r="M1255" s="957"/>
      <c r="N1255" s="953"/>
    </row>
    <row r="1256" spans="1:14" hidden="1">
      <c r="A1256" s="123">
        <v>5</v>
      </c>
      <c r="B1256" s="949"/>
      <c r="C1256" s="951" t="s">
        <v>5103</v>
      </c>
      <c r="D1256" s="953" t="s">
        <v>311</v>
      </c>
      <c r="E1256" s="953" t="s">
        <v>675</v>
      </c>
      <c r="F1256" s="951" t="s">
        <v>5070</v>
      </c>
      <c r="G1256" s="951">
        <v>3006</v>
      </c>
      <c r="H1256" s="951" t="s">
        <v>347</v>
      </c>
      <c r="I1256" s="476" t="s">
        <v>5104</v>
      </c>
      <c r="J1256" s="951"/>
      <c r="K1256" s="951" t="s">
        <v>4936</v>
      </c>
      <c r="L1256" s="953" t="s">
        <v>309</v>
      </c>
      <c r="M1256" s="957">
        <v>600000</v>
      </c>
      <c r="N1256" s="953" t="s">
        <v>5032</v>
      </c>
    </row>
    <row r="1257" spans="1:14" hidden="1">
      <c r="A1257" s="123">
        <v>5</v>
      </c>
      <c r="B1257" s="949"/>
      <c r="C1257" s="951"/>
      <c r="D1257" s="953"/>
      <c r="E1257" s="953"/>
      <c r="F1257" s="951"/>
      <c r="G1257" s="951"/>
      <c r="H1257" s="951"/>
      <c r="I1257" s="476" t="s">
        <v>5105</v>
      </c>
      <c r="J1257" s="951"/>
      <c r="K1257" s="951"/>
      <c r="L1257" s="953"/>
      <c r="M1257" s="957"/>
      <c r="N1257" s="953"/>
    </row>
    <row r="1258" spans="1:14" hidden="1">
      <c r="A1258" s="123">
        <v>5</v>
      </c>
      <c r="B1258" s="949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hidden="1">
      <c r="A1259" s="123">
        <v>6</v>
      </c>
      <c r="B1259" s="949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hidden="1">
      <c r="A1260" s="123">
        <v>6</v>
      </c>
      <c r="B1260" s="949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hidden="1">
      <c r="A1261" s="123">
        <v>6</v>
      </c>
      <c r="B1261" s="949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hidden="1">
      <c r="A1262" s="123">
        <v>6</v>
      </c>
      <c r="B1262" s="949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hidden="1">
      <c r="A1263" s="123">
        <v>6</v>
      </c>
      <c r="B1263" s="949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hidden="1">
      <c r="A1264" s="123">
        <v>6</v>
      </c>
      <c r="B1264" s="949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hidden="1">
      <c r="A1265" s="123">
        <v>6</v>
      </c>
      <c r="B1265" s="949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hidden="1">
      <c r="A1266" s="123">
        <v>6</v>
      </c>
      <c r="B1266" s="949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hidden="1">
      <c r="A1267" s="123">
        <v>6</v>
      </c>
      <c r="B1267" s="949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hidden="1">
      <c r="A1268" s="123">
        <v>6</v>
      </c>
      <c r="B1268" s="949"/>
      <c r="C1268" s="951" t="s">
        <v>5122</v>
      </c>
      <c r="D1268" s="953" t="s">
        <v>311</v>
      </c>
      <c r="E1268" s="953" t="s">
        <v>675</v>
      </c>
      <c r="F1268" s="149" t="s">
        <v>5123</v>
      </c>
      <c r="G1268" s="475" t="s">
        <v>5125</v>
      </c>
      <c r="H1268" s="389" t="s">
        <v>347</v>
      </c>
      <c r="I1268" s="951" t="s">
        <v>5128</v>
      </c>
      <c r="J1268" s="951" t="s">
        <v>638</v>
      </c>
      <c r="K1268" s="951" t="s">
        <v>692</v>
      </c>
      <c r="L1268" s="953" t="s">
        <v>309</v>
      </c>
      <c r="M1268" s="957">
        <v>500000</v>
      </c>
      <c r="N1268" s="953" t="s">
        <v>1772</v>
      </c>
    </row>
    <row r="1269" spans="1:14" hidden="1">
      <c r="A1269" s="123">
        <v>6</v>
      </c>
      <c r="B1269" s="949"/>
      <c r="C1269" s="951"/>
      <c r="D1269" s="953"/>
      <c r="E1269" s="953"/>
      <c r="F1269" s="149" t="s">
        <v>5124</v>
      </c>
      <c r="G1269" s="475" t="s">
        <v>5126</v>
      </c>
      <c r="H1269" s="389" t="s">
        <v>5127</v>
      </c>
      <c r="I1269" s="951"/>
      <c r="J1269" s="951"/>
      <c r="K1269" s="951"/>
      <c r="L1269" s="953"/>
      <c r="M1269" s="957"/>
      <c r="N1269" s="953"/>
    </row>
    <row r="1270" spans="1:14" ht="24" hidden="1">
      <c r="A1270" s="123">
        <v>6</v>
      </c>
      <c r="B1270" s="949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hidden="1">
      <c r="A1271" s="123">
        <v>6</v>
      </c>
      <c r="B1271" s="949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hidden="1">
      <c r="A1272" s="123">
        <v>7</v>
      </c>
      <c r="B1272" s="949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hidden="1">
      <c r="A1273" s="123">
        <v>7</v>
      </c>
      <c r="B1273" s="949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hidden="1">
      <c r="A1274" s="123">
        <v>7</v>
      </c>
      <c r="B1274" s="949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hidden="1">
      <c r="A1275" s="123">
        <v>7</v>
      </c>
      <c r="B1275" s="949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hidden="1">
      <c r="A1276" s="123">
        <v>7</v>
      </c>
      <c r="B1276" s="949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hidden="1">
      <c r="A1277" s="123">
        <v>7</v>
      </c>
      <c r="B1277" s="949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hidden="1">
      <c r="A1278" s="123">
        <v>7</v>
      </c>
      <c r="B1278" s="949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hidden="1">
      <c r="A1279" s="123">
        <v>7</v>
      </c>
      <c r="B1279" s="949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hidden="1">
      <c r="A1280" s="123">
        <v>7</v>
      </c>
      <c r="B1280" s="949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hidden="1">
      <c r="A1281" s="123">
        <v>8</v>
      </c>
      <c r="B1281" s="949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hidden="1">
      <c r="A1282" s="123">
        <v>8</v>
      </c>
      <c r="B1282" s="949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hidden="1">
      <c r="A1283" s="123">
        <v>8</v>
      </c>
      <c r="B1283" s="949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hidden="1">
      <c r="A1284" s="123">
        <v>8</v>
      </c>
      <c r="B1284" s="949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hidden="1">
      <c r="A1285" s="123">
        <v>8</v>
      </c>
      <c r="B1285" s="949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hidden="1">
      <c r="A1286" s="123">
        <v>8</v>
      </c>
      <c r="B1286" s="949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hidden="1">
      <c r="A1287" s="123">
        <v>8</v>
      </c>
      <c r="B1287" s="949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hidden="1">
      <c r="A1288" s="123">
        <v>8</v>
      </c>
      <c r="B1288" s="949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hidden="1">
      <c r="A1289" s="123">
        <v>8</v>
      </c>
      <c r="B1289" s="949"/>
      <c r="C1289" s="950" t="s">
        <v>5158</v>
      </c>
      <c r="D1289" s="952" t="s">
        <v>311</v>
      </c>
      <c r="E1289" s="952" t="s">
        <v>675</v>
      </c>
      <c r="F1289" s="506" t="s">
        <v>5123</v>
      </c>
      <c r="G1289" s="507" t="s">
        <v>5125</v>
      </c>
      <c r="H1289" s="507" t="s">
        <v>347</v>
      </c>
      <c r="I1289" s="950" t="s">
        <v>5128</v>
      </c>
      <c r="J1289" s="950"/>
      <c r="K1289" s="950" t="s">
        <v>692</v>
      </c>
      <c r="L1289" s="952" t="s">
        <v>309</v>
      </c>
      <c r="M1289" s="956">
        <v>500000</v>
      </c>
      <c r="N1289" s="953" t="s">
        <v>5032</v>
      </c>
    </row>
    <row r="1290" spans="1:14" ht="19.5" hidden="1">
      <c r="A1290" s="123">
        <v>8</v>
      </c>
      <c r="B1290" s="949"/>
      <c r="C1290" s="951"/>
      <c r="D1290" s="953"/>
      <c r="E1290" s="953"/>
      <c r="F1290" s="149" t="s">
        <v>5124</v>
      </c>
      <c r="G1290" s="475" t="s">
        <v>5126</v>
      </c>
      <c r="H1290" s="477" t="s">
        <v>5127</v>
      </c>
      <c r="I1290" s="951"/>
      <c r="J1290" s="951"/>
      <c r="K1290" s="951"/>
      <c r="L1290" s="953"/>
      <c r="M1290" s="957"/>
      <c r="N1290" s="953"/>
    </row>
    <row r="1291" spans="1:14" hidden="1">
      <c r="A1291" s="123">
        <v>8</v>
      </c>
      <c r="B1291" s="949"/>
      <c r="C1291" s="950" t="s">
        <v>5159</v>
      </c>
      <c r="D1291" s="952" t="s">
        <v>311</v>
      </c>
      <c r="E1291" s="952" t="s">
        <v>320</v>
      </c>
      <c r="F1291" s="972" t="s">
        <v>709</v>
      </c>
      <c r="G1291" s="950" t="s">
        <v>3098</v>
      </c>
      <c r="H1291" s="950" t="s">
        <v>3099</v>
      </c>
      <c r="I1291" s="506" t="s">
        <v>5312</v>
      </c>
      <c r="J1291" s="950" t="s">
        <v>638</v>
      </c>
      <c r="K1291" s="950" t="s">
        <v>713</v>
      </c>
      <c r="L1291" s="952" t="s">
        <v>309</v>
      </c>
      <c r="M1291" s="956">
        <v>250000</v>
      </c>
      <c r="N1291" s="953" t="s">
        <v>5032</v>
      </c>
    </row>
    <row r="1292" spans="1:14" hidden="1">
      <c r="A1292" s="123">
        <v>8</v>
      </c>
      <c r="B1292" s="949"/>
      <c r="C1292" s="951"/>
      <c r="D1292" s="953"/>
      <c r="E1292" s="953"/>
      <c r="F1292" s="973"/>
      <c r="G1292" s="951"/>
      <c r="H1292" s="951"/>
      <c r="I1292" s="149" t="s">
        <v>5160</v>
      </c>
      <c r="J1292" s="951"/>
      <c r="K1292" s="951"/>
      <c r="L1292" s="953"/>
      <c r="M1292" s="957"/>
      <c r="N1292" s="953"/>
    </row>
    <row r="1293" spans="1:14" hidden="1">
      <c r="A1293" s="123">
        <v>8</v>
      </c>
      <c r="B1293" s="949"/>
      <c r="C1293" s="950" t="s">
        <v>5161</v>
      </c>
      <c r="D1293" s="952" t="s">
        <v>311</v>
      </c>
      <c r="E1293" s="952" t="s">
        <v>320</v>
      </c>
      <c r="F1293" s="950" t="s">
        <v>337</v>
      </c>
      <c r="G1293" s="950" t="s">
        <v>3168</v>
      </c>
      <c r="H1293" s="950" t="s">
        <v>3057</v>
      </c>
      <c r="I1293" s="506" t="s">
        <v>5313</v>
      </c>
      <c r="J1293" s="950" t="s">
        <v>638</v>
      </c>
      <c r="K1293" s="950" t="s">
        <v>692</v>
      </c>
      <c r="L1293" s="952" t="s">
        <v>309</v>
      </c>
      <c r="M1293" s="956">
        <v>500000</v>
      </c>
      <c r="N1293" s="953" t="s">
        <v>1206</v>
      </c>
    </row>
    <row r="1294" spans="1:14" hidden="1">
      <c r="A1294" s="123">
        <v>8</v>
      </c>
      <c r="B1294" s="949"/>
      <c r="C1294" s="951"/>
      <c r="D1294" s="953"/>
      <c r="E1294" s="953"/>
      <c r="F1294" s="951"/>
      <c r="G1294" s="951"/>
      <c r="H1294" s="951"/>
      <c r="I1294" s="149" t="s">
        <v>5162</v>
      </c>
      <c r="J1294" s="951"/>
      <c r="K1294" s="951"/>
      <c r="L1294" s="953"/>
      <c r="M1294" s="957"/>
      <c r="N1294" s="953"/>
    </row>
    <row r="1295" spans="1:14" hidden="1">
      <c r="A1295" s="123">
        <v>9</v>
      </c>
      <c r="B1295" s="949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hidden="1">
      <c r="A1296" s="123">
        <v>9</v>
      </c>
      <c r="B1296" s="949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hidden="1">
      <c r="A1297" s="123">
        <v>9</v>
      </c>
      <c r="B1297" s="949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hidden="1">
      <c r="A1298" s="123">
        <v>9</v>
      </c>
      <c r="B1298" s="949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hidden="1">
      <c r="A1299" s="123">
        <v>9</v>
      </c>
      <c r="B1299" s="949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hidden="1">
      <c r="A1300" s="123">
        <v>9</v>
      </c>
      <c r="B1300" s="949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hidden="1">
      <c r="A1301" s="123">
        <v>9</v>
      </c>
      <c r="B1301" s="949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hidden="1">
      <c r="A1302" s="123">
        <v>9</v>
      </c>
      <c r="B1302" s="949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hidden="1">
      <c r="A1303" s="123">
        <v>9</v>
      </c>
      <c r="B1303" s="949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hidden="1">
      <c r="A1304" s="123">
        <v>9</v>
      </c>
      <c r="B1304" s="949"/>
      <c r="C1304" s="950" t="s">
        <v>5175</v>
      </c>
      <c r="D1304" s="952" t="s">
        <v>311</v>
      </c>
      <c r="E1304" s="952" t="s">
        <v>320</v>
      </c>
      <c r="F1304" s="950" t="s">
        <v>337</v>
      </c>
      <c r="G1304" s="950" t="s">
        <v>3168</v>
      </c>
      <c r="H1304" s="950" t="s">
        <v>3057</v>
      </c>
      <c r="I1304" s="510" t="s">
        <v>5176</v>
      </c>
      <c r="J1304" s="950" t="s">
        <v>638</v>
      </c>
      <c r="K1304" s="950" t="s">
        <v>713</v>
      </c>
      <c r="L1304" s="952" t="s">
        <v>309</v>
      </c>
      <c r="M1304" s="956">
        <v>250000</v>
      </c>
      <c r="N1304" s="953" t="s">
        <v>5032</v>
      </c>
    </row>
    <row r="1305" spans="1:14" hidden="1">
      <c r="A1305" s="123">
        <v>9</v>
      </c>
      <c r="B1305" s="949"/>
      <c r="C1305" s="951"/>
      <c r="D1305" s="953"/>
      <c r="E1305" s="953"/>
      <c r="F1305" s="951"/>
      <c r="G1305" s="951"/>
      <c r="H1305" s="951"/>
      <c r="I1305" s="476" t="s">
        <v>5177</v>
      </c>
      <c r="J1305" s="951"/>
      <c r="K1305" s="951"/>
      <c r="L1305" s="953"/>
      <c r="M1305" s="957"/>
      <c r="N1305" s="953"/>
    </row>
    <row r="1306" spans="1:14" hidden="1">
      <c r="A1306" s="123">
        <v>9</v>
      </c>
      <c r="B1306" s="949"/>
      <c r="C1306" s="950" t="s">
        <v>5175</v>
      </c>
      <c r="D1306" s="952" t="s">
        <v>311</v>
      </c>
      <c r="E1306" s="952" t="s">
        <v>320</v>
      </c>
      <c r="F1306" s="950" t="s">
        <v>5178</v>
      </c>
      <c r="G1306" s="506" t="s">
        <v>689</v>
      </c>
      <c r="H1306" s="950" t="s">
        <v>5180</v>
      </c>
      <c r="I1306" s="506" t="s">
        <v>5315</v>
      </c>
      <c r="J1306" s="950"/>
      <c r="K1306" s="950" t="s">
        <v>713</v>
      </c>
      <c r="L1306" s="952" t="s">
        <v>309</v>
      </c>
      <c r="M1306" s="956">
        <v>250000</v>
      </c>
      <c r="N1306" s="953" t="s">
        <v>5032</v>
      </c>
    </row>
    <row r="1307" spans="1:14" hidden="1">
      <c r="A1307" s="123">
        <v>9</v>
      </c>
      <c r="B1307" s="949"/>
      <c r="C1307" s="951"/>
      <c r="D1307" s="953"/>
      <c r="E1307" s="953"/>
      <c r="F1307" s="951"/>
      <c r="G1307" s="149" t="s">
        <v>5179</v>
      </c>
      <c r="H1307" s="951"/>
      <c r="I1307" s="149" t="s">
        <v>5181</v>
      </c>
      <c r="J1307" s="951"/>
      <c r="K1307" s="951"/>
      <c r="L1307" s="953"/>
      <c r="M1307" s="957"/>
      <c r="N1307" s="953"/>
    </row>
    <row r="1308" spans="1:14" hidden="1">
      <c r="A1308" s="123">
        <v>9</v>
      </c>
      <c r="B1308" s="949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hidden="1">
      <c r="A1309" s="123">
        <v>9</v>
      </c>
      <c r="B1309" s="949"/>
      <c r="C1309" s="950" t="s">
        <v>5183</v>
      </c>
      <c r="D1309" s="952" t="s">
        <v>311</v>
      </c>
      <c r="E1309" s="952" t="s">
        <v>320</v>
      </c>
      <c r="F1309" s="950" t="s">
        <v>337</v>
      </c>
      <c r="G1309" s="506" t="s">
        <v>3401</v>
      </c>
      <c r="H1309" s="950" t="s">
        <v>5029</v>
      </c>
      <c r="I1309" s="950" t="s">
        <v>5316</v>
      </c>
      <c r="J1309" s="950"/>
      <c r="K1309" s="950" t="s">
        <v>692</v>
      </c>
      <c r="L1309" s="952" t="s">
        <v>309</v>
      </c>
      <c r="M1309" s="956">
        <v>500000</v>
      </c>
      <c r="N1309" s="953" t="s">
        <v>5032</v>
      </c>
    </row>
    <row r="1310" spans="1:14" hidden="1">
      <c r="A1310" s="123">
        <v>9</v>
      </c>
      <c r="B1310" s="949"/>
      <c r="C1310" s="951"/>
      <c r="D1310" s="953"/>
      <c r="E1310" s="953"/>
      <c r="F1310" s="951"/>
      <c r="G1310" s="149" t="s">
        <v>5184</v>
      </c>
      <c r="H1310" s="951"/>
      <c r="I1310" s="951"/>
      <c r="J1310" s="951"/>
      <c r="K1310" s="951"/>
      <c r="L1310" s="953"/>
      <c r="M1310" s="957"/>
      <c r="N1310" s="953"/>
    </row>
    <row r="1311" spans="1:14" ht="24" hidden="1">
      <c r="A1311" s="123">
        <v>9</v>
      </c>
      <c r="B1311" s="949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hidden="1">
      <c r="A1312" s="123">
        <v>9</v>
      </c>
      <c r="B1312" s="949"/>
      <c r="C1312" s="950" t="s">
        <v>5187</v>
      </c>
      <c r="D1312" s="952" t="s">
        <v>311</v>
      </c>
      <c r="E1312" s="952" t="s">
        <v>675</v>
      </c>
      <c r="F1312" s="950" t="s">
        <v>5188</v>
      </c>
      <c r="G1312" s="507" t="s">
        <v>1919</v>
      </c>
      <c r="H1312" s="950" t="s">
        <v>347</v>
      </c>
      <c r="I1312" s="950" t="s">
        <v>5319</v>
      </c>
      <c r="J1312" s="950"/>
      <c r="K1312" s="950" t="s">
        <v>692</v>
      </c>
      <c r="L1312" s="952" t="s">
        <v>309</v>
      </c>
      <c r="M1312" s="970">
        <v>500000</v>
      </c>
      <c r="N1312" s="953" t="s">
        <v>1925</v>
      </c>
    </row>
    <row r="1313" spans="1:14" hidden="1">
      <c r="A1313" s="123">
        <v>9</v>
      </c>
      <c r="B1313" s="949"/>
      <c r="C1313" s="951"/>
      <c r="D1313" s="953"/>
      <c r="E1313" s="953"/>
      <c r="F1313" s="951"/>
      <c r="G1313" s="475" t="s">
        <v>5189</v>
      </c>
      <c r="H1313" s="951"/>
      <c r="I1313" s="951"/>
      <c r="J1313" s="951"/>
      <c r="K1313" s="951"/>
      <c r="L1313" s="953"/>
      <c r="M1313" s="971"/>
      <c r="N1313" s="953"/>
    </row>
    <row r="1314" spans="1:14" hidden="1">
      <c r="A1314" s="123">
        <v>10</v>
      </c>
      <c r="B1314" s="949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hidden="1">
      <c r="A1315" s="123">
        <v>10</v>
      </c>
      <c r="B1315" s="949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hidden="1">
      <c r="A1316" s="123">
        <v>10</v>
      </c>
      <c r="B1316" s="949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hidden="1">
      <c r="A1317" s="123">
        <v>10</v>
      </c>
      <c r="B1317" s="949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hidden="1">
      <c r="A1318" s="123">
        <v>10</v>
      </c>
      <c r="B1318" s="949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hidden="1">
      <c r="A1319" s="123">
        <v>10</v>
      </c>
      <c r="B1319" s="949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hidden="1">
      <c r="A1320" s="123">
        <v>10</v>
      </c>
      <c r="B1320" s="949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hidden="1">
      <c r="A1321" s="123">
        <v>10</v>
      </c>
      <c r="B1321" s="949"/>
      <c r="C1321" s="951" t="s">
        <v>5201</v>
      </c>
      <c r="D1321" s="953" t="s">
        <v>311</v>
      </c>
      <c r="E1321" s="953" t="s">
        <v>320</v>
      </c>
      <c r="F1321" s="951" t="s">
        <v>337</v>
      </c>
      <c r="G1321" s="951" t="s">
        <v>3168</v>
      </c>
      <c r="H1321" s="951" t="s">
        <v>3057</v>
      </c>
      <c r="I1321" s="476" t="s">
        <v>5176</v>
      </c>
      <c r="J1321" s="951" t="s">
        <v>638</v>
      </c>
      <c r="K1321" s="951" t="s">
        <v>705</v>
      </c>
      <c r="L1321" s="953" t="s">
        <v>309</v>
      </c>
      <c r="M1321" s="957">
        <v>500000</v>
      </c>
      <c r="N1321" s="953" t="s">
        <v>1206</v>
      </c>
    </row>
    <row r="1322" spans="1:14" hidden="1">
      <c r="A1322" s="123">
        <v>10</v>
      </c>
      <c r="B1322" s="949"/>
      <c r="C1322" s="951"/>
      <c r="D1322" s="953"/>
      <c r="E1322" s="953"/>
      <c r="F1322" s="951"/>
      <c r="G1322" s="951"/>
      <c r="H1322" s="951"/>
      <c r="I1322" s="476" t="s">
        <v>5177</v>
      </c>
      <c r="J1322" s="951"/>
      <c r="K1322" s="951"/>
      <c r="L1322" s="953"/>
      <c r="M1322" s="957"/>
      <c r="N1322" s="953"/>
    </row>
    <row r="1323" spans="1:14" hidden="1">
      <c r="A1323" s="123">
        <v>10</v>
      </c>
      <c r="B1323" s="949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hidden="1">
      <c r="A1324" s="123">
        <v>10</v>
      </c>
      <c r="B1324" s="949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hidden="1">
      <c r="A1325" s="123">
        <v>10</v>
      </c>
      <c r="B1325" s="949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hidden="1">
      <c r="A1326" s="123">
        <v>10</v>
      </c>
      <c r="B1326" s="949"/>
      <c r="C1326" s="951" t="s">
        <v>5202</v>
      </c>
      <c r="D1326" s="953" t="s">
        <v>311</v>
      </c>
      <c r="E1326" s="953" t="s">
        <v>320</v>
      </c>
      <c r="F1326" s="951" t="s">
        <v>337</v>
      </c>
      <c r="G1326" s="951" t="s">
        <v>3168</v>
      </c>
      <c r="H1326" s="951" t="s">
        <v>3057</v>
      </c>
      <c r="I1326" s="476" t="s">
        <v>5176</v>
      </c>
      <c r="J1326" s="951"/>
      <c r="K1326" s="951" t="s">
        <v>705</v>
      </c>
      <c r="L1326" s="953" t="s">
        <v>309</v>
      </c>
      <c r="M1326" s="957">
        <v>500000</v>
      </c>
      <c r="N1326" s="953" t="s">
        <v>1206</v>
      </c>
    </row>
    <row r="1327" spans="1:14" hidden="1">
      <c r="A1327" s="123">
        <v>10</v>
      </c>
      <c r="B1327" s="949"/>
      <c r="C1327" s="951"/>
      <c r="D1327" s="953"/>
      <c r="E1327" s="953"/>
      <c r="F1327" s="951"/>
      <c r="G1327" s="951"/>
      <c r="H1327" s="951"/>
      <c r="I1327" s="476" t="s">
        <v>5177</v>
      </c>
      <c r="J1327" s="951"/>
      <c r="K1327" s="951"/>
      <c r="L1327" s="953"/>
      <c r="M1327" s="957"/>
      <c r="N1327" s="953"/>
    </row>
    <row r="1328" spans="1:14" ht="25.5" hidden="1">
      <c r="A1328" s="123">
        <v>10</v>
      </c>
      <c r="B1328" s="949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hidden="1">
      <c r="A1329" s="123">
        <v>10</v>
      </c>
      <c r="B1329" s="949"/>
      <c r="C1329" s="950" t="s">
        <v>5209</v>
      </c>
      <c r="D1329" s="952" t="s">
        <v>311</v>
      </c>
      <c r="E1329" s="952" t="s">
        <v>675</v>
      </c>
      <c r="F1329" s="506" t="s">
        <v>5210</v>
      </c>
      <c r="G1329" s="950" t="s">
        <v>5212</v>
      </c>
      <c r="H1329" s="950" t="s">
        <v>662</v>
      </c>
      <c r="I1329" s="950" t="s">
        <v>5321</v>
      </c>
      <c r="J1329" s="950" t="s">
        <v>638</v>
      </c>
      <c r="K1329" s="950" t="s">
        <v>713</v>
      </c>
      <c r="L1329" s="952" t="s">
        <v>309</v>
      </c>
      <c r="M1329" s="956">
        <v>250000</v>
      </c>
      <c r="N1329" s="953" t="s">
        <v>5032</v>
      </c>
    </row>
    <row r="1330" spans="1:14" hidden="1">
      <c r="A1330" s="123">
        <v>10</v>
      </c>
      <c r="B1330" s="949"/>
      <c r="C1330" s="951"/>
      <c r="D1330" s="953"/>
      <c r="E1330" s="953"/>
      <c r="F1330" s="149" t="s">
        <v>5211</v>
      </c>
      <c r="G1330" s="951"/>
      <c r="H1330" s="951"/>
      <c r="I1330" s="951"/>
      <c r="J1330" s="951"/>
      <c r="K1330" s="951"/>
      <c r="L1330" s="953"/>
      <c r="M1330" s="957"/>
      <c r="N1330" s="953"/>
    </row>
    <row r="1331" spans="1:14" hidden="1">
      <c r="A1331" s="123">
        <v>10</v>
      </c>
      <c r="B1331" s="949"/>
      <c r="C1331" s="950" t="s">
        <v>5213</v>
      </c>
      <c r="D1331" s="952" t="s">
        <v>311</v>
      </c>
      <c r="E1331" s="952" t="s">
        <v>675</v>
      </c>
      <c r="F1331" s="950" t="s">
        <v>5214</v>
      </c>
      <c r="G1331" s="507" t="s">
        <v>5126</v>
      </c>
      <c r="H1331" s="954" t="s">
        <v>347</v>
      </c>
      <c r="I1331" s="506" t="s">
        <v>5322</v>
      </c>
      <c r="J1331" s="950"/>
      <c r="K1331" s="950" t="s">
        <v>692</v>
      </c>
      <c r="L1331" s="952" t="s">
        <v>309</v>
      </c>
      <c r="M1331" s="956">
        <v>500000</v>
      </c>
      <c r="N1331" s="953" t="s">
        <v>5032</v>
      </c>
    </row>
    <row r="1332" spans="1:14" hidden="1">
      <c r="A1332" s="123">
        <v>10</v>
      </c>
      <c r="B1332" s="949"/>
      <c r="C1332" s="951"/>
      <c r="D1332" s="953"/>
      <c r="E1332" s="953"/>
      <c r="F1332" s="951"/>
      <c r="G1332" s="475" t="s">
        <v>5215</v>
      </c>
      <c r="H1332" s="955"/>
      <c r="I1332" s="149" t="s">
        <v>5217</v>
      </c>
      <c r="J1332" s="951"/>
      <c r="K1332" s="951"/>
      <c r="L1332" s="953"/>
      <c r="M1332" s="957"/>
      <c r="N1332" s="953"/>
    </row>
    <row r="1333" spans="1:14" hidden="1">
      <c r="A1333" s="123">
        <v>11</v>
      </c>
      <c r="B1333" s="949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hidden="1">
      <c r="A1334" s="123">
        <v>11</v>
      </c>
      <c r="B1334" s="949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hidden="1">
      <c r="A1335" s="123">
        <v>11</v>
      </c>
      <c r="B1335" s="949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hidden="1">
      <c r="A1336" s="123">
        <v>11</v>
      </c>
      <c r="B1336" s="949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hidden="1">
      <c r="A1337" s="123">
        <v>11</v>
      </c>
      <c r="B1337" s="949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hidden="1">
      <c r="A1338" s="123">
        <v>11</v>
      </c>
      <c r="B1338" s="949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hidden="1">
      <c r="A1339" s="123">
        <v>11</v>
      </c>
      <c r="B1339" s="949" t="s">
        <v>5163</v>
      </c>
      <c r="C1339" s="954" t="s">
        <v>5218</v>
      </c>
      <c r="D1339" s="962" t="s">
        <v>311</v>
      </c>
      <c r="E1339" s="962" t="s">
        <v>675</v>
      </c>
      <c r="F1339" s="954" t="s">
        <v>5214</v>
      </c>
      <c r="G1339" s="510" t="s">
        <v>5126</v>
      </c>
      <c r="H1339" s="954" t="s">
        <v>347</v>
      </c>
      <c r="I1339" s="510" t="s">
        <v>5216</v>
      </c>
      <c r="J1339" s="954"/>
      <c r="K1339" s="954" t="s">
        <v>692</v>
      </c>
      <c r="L1339" s="962" t="s">
        <v>309</v>
      </c>
      <c r="M1339" s="968">
        <v>500000</v>
      </c>
      <c r="N1339" s="955" t="s">
        <v>5225</v>
      </c>
    </row>
    <row r="1340" spans="1:14" hidden="1">
      <c r="A1340" s="123">
        <v>11</v>
      </c>
      <c r="B1340" s="949"/>
      <c r="C1340" s="955"/>
      <c r="D1340" s="960"/>
      <c r="E1340" s="960"/>
      <c r="F1340" s="955"/>
      <c r="G1340" s="476" t="s">
        <v>5215</v>
      </c>
      <c r="H1340" s="955"/>
      <c r="I1340" s="476" t="s">
        <v>5217</v>
      </c>
      <c r="J1340" s="955"/>
      <c r="K1340" s="955"/>
      <c r="L1340" s="960"/>
      <c r="M1340" s="969"/>
      <c r="N1340" s="955"/>
    </row>
    <row r="1341" spans="1:14" hidden="1">
      <c r="A1341" s="123">
        <v>11</v>
      </c>
      <c r="B1341" s="949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hidden="1">
      <c r="A1342" s="123">
        <v>11</v>
      </c>
      <c r="B1342" s="949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hidden="1">
      <c r="A1343" s="123">
        <v>11</v>
      </c>
      <c r="B1343" s="949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hidden="1">
      <c r="A1344" s="123">
        <v>12</v>
      </c>
      <c r="B1344" s="949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hidden="1">
      <c r="A1345" s="123">
        <v>12</v>
      </c>
      <c r="B1345" s="949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hidden="1">
      <c r="A1346" s="123">
        <v>12</v>
      </c>
      <c r="B1346" s="949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hidden="1">
      <c r="A1347" s="123">
        <v>12</v>
      </c>
      <c r="B1347" s="949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hidden="1">
      <c r="A1348" s="123">
        <v>12</v>
      </c>
      <c r="B1348" s="949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 hidden="1">
      <c r="A1349" s="123">
        <v>12</v>
      </c>
      <c r="B1349" s="949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hidden="1">
      <c r="A1350" s="123">
        <v>12</v>
      </c>
      <c r="B1350" s="949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hidden="1">
      <c r="A1351" s="123">
        <v>12</v>
      </c>
      <c r="B1351" s="949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hidden="1">
      <c r="A1352" s="123">
        <v>12</v>
      </c>
      <c r="B1352" s="949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hidden="1">
      <c r="A1353" s="123">
        <v>12</v>
      </c>
      <c r="B1353" s="949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 hidden="1">
      <c r="A1354" s="123">
        <v>13</v>
      </c>
      <c r="B1354" s="949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 hidden="1">
      <c r="A1355" s="123">
        <v>13</v>
      </c>
      <c r="B1355" s="949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hidden="1">
      <c r="A1356" s="123">
        <v>13</v>
      </c>
      <c r="B1356" s="949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hidden="1">
      <c r="A1357" s="123">
        <v>13</v>
      </c>
      <c r="B1357" s="949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hidden="1">
      <c r="A1358" s="123">
        <v>13</v>
      </c>
      <c r="B1358" s="949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hidden="1">
      <c r="A1359" s="123">
        <v>13</v>
      </c>
      <c r="B1359" s="949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 hidden="1">
      <c r="A1360" s="123">
        <v>13</v>
      </c>
      <c r="B1360" s="949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>
      <c r="A1361" s="123">
        <v>13</v>
      </c>
      <c r="B1361" s="949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 hidden="1">
      <c r="A1362" s="123">
        <v>13</v>
      </c>
      <c r="B1362" s="949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hidden="1">
      <c r="A1363" s="123">
        <v>13</v>
      </c>
      <c r="B1363" s="949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hidden="1">
      <c r="A1364" s="123">
        <v>13</v>
      </c>
      <c r="B1364" s="949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 hidden="1">
      <c r="A1365" s="123">
        <v>13</v>
      </c>
      <c r="B1365" s="949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 hidden="1">
      <c r="A1366" s="123">
        <v>13</v>
      </c>
      <c r="B1366" s="949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 hidden="1">
      <c r="A1367" s="123">
        <v>13</v>
      </c>
      <c r="B1367" s="949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 hidden="1">
      <c r="A1368" s="123">
        <v>13</v>
      </c>
      <c r="B1368" s="949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 hidden="1">
      <c r="A1369" s="123">
        <v>14</v>
      </c>
      <c r="B1369" s="958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960" t="s">
        <v>5443</v>
      </c>
    </row>
    <row r="1370" spans="1:14" hidden="1">
      <c r="A1370" s="123">
        <v>14</v>
      </c>
      <c r="B1370" s="959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960"/>
    </row>
    <row r="1371" spans="1:14" hidden="1">
      <c r="A1371" s="123">
        <v>14</v>
      </c>
      <c r="B1371" s="959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 hidden="1">
      <c r="A1372" s="123">
        <v>14</v>
      </c>
      <c r="B1372" s="959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 hidden="1">
      <c r="A1373" s="123">
        <v>14</v>
      </c>
      <c r="B1373" s="959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 hidden="1">
      <c r="A1374" s="123">
        <v>14</v>
      </c>
      <c r="B1374" s="959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 hidden="1">
      <c r="A1375" s="123">
        <v>14</v>
      </c>
      <c r="B1375" s="959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 hidden="1">
      <c r="A1376" s="123">
        <v>14</v>
      </c>
      <c r="B1376" s="959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 hidden="1">
      <c r="A1377" s="123">
        <v>14</v>
      </c>
      <c r="B1377" s="961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 hidden="1">
      <c r="A1378" s="123">
        <v>14</v>
      </c>
      <c r="B1378" s="961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 hidden="1">
      <c r="A1379" s="123">
        <v>14</v>
      </c>
      <c r="B1379" s="961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 hidden="1">
      <c r="A1380" s="123">
        <v>14</v>
      </c>
      <c r="B1380" s="961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hidden="1">
      <c r="A1381" s="123">
        <v>14</v>
      </c>
      <c r="B1381" s="961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hidden="1">
      <c r="A1382" s="123">
        <v>14</v>
      </c>
      <c r="B1382" s="961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 hidden="1">
      <c r="A1383" s="123">
        <v>15</v>
      </c>
      <c r="B1383" s="966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hidden="1">
      <c r="A1384" s="123">
        <v>15</v>
      </c>
      <c r="B1384" s="966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 hidden="1">
      <c r="A1385" s="123">
        <v>15</v>
      </c>
      <c r="B1385" s="966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 hidden="1">
      <c r="A1386" s="123">
        <v>15</v>
      </c>
      <c r="B1386" s="966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 hidden="1">
      <c r="A1387" s="123">
        <v>15</v>
      </c>
      <c r="B1387" s="966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hidden="1">
      <c r="A1388" s="123">
        <v>15</v>
      </c>
      <c r="B1388" s="966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 hidden="1">
      <c r="A1389" s="123">
        <v>15</v>
      </c>
      <c r="B1389" s="966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hidden="1">
      <c r="A1390" s="123">
        <v>15</v>
      </c>
      <c r="B1390" s="966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 hidden="1">
      <c r="A1391" s="123">
        <v>15</v>
      </c>
      <c r="B1391" s="966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 hidden="1">
      <c r="A1392" s="123">
        <v>15</v>
      </c>
      <c r="B1392" s="966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 hidden="1">
      <c r="A1393" s="123">
        <v>15</v>
      </c>
      <c r="B1393" s="966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hidden="1" customHeight="1">
      <c r="A1394" s="123">
        <v>15</v>
      </c>
      <c r="B1394" s="966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hidden="1">
      <c r="A1395" s="123">
        <v>15</v>
      </c>
      <c r="B1395" s="966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 hidden="1">
      <c r="A1396" s="123">
        <v>15</v>
      </c>
      <c r="B1396" s="966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hidden="1">
      <c r="A1397" s="123">
        <v>15</v>
      </c>
      <c r="B1397" s="966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hidden="1">
      <c r="A1398" s="123">
        <v>16</v>
      </c>
      <c r="B1398" s="966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 hidden="1">
      <c r="A1399" s="123">
        <v>16</v>
      </c>
      <c r="B1399" s="966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hidden="1">
      <c r="A1400" s="123">
        <v>16</v>
      </c>
      <c r="B1400" s="966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 hidden="1">
      <c r="A1401" s="123">
        <v>16</v>
      </c>
      <c r="B1401" s="966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 hidden="1">
      <c r="A1402" s="123">
        <v>16</v>
      </c>
      <c r="B1402" s="966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 hidden="1">
      <c r="A1403" s="123">
        <v>16</v>
      </c>
      <c r="B1403" s="966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hidden="1">
      <c r="A1404" s="123">
        <v>16</v>
      </c>
      <c r="B1404" s="966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hidden="1">
      <c r="A1405" s="123">
        <v>17</v>
      </c>
      <c r="B1405" s="949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 hidden="1">
      <c r="A1406" s="123">
        <v>17</v>
      </c>
      <c r="B1406" s="949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 hidden="1">
      <c r="A1407" s="123">
        <v>17</v>
      </c>
      <c r="B1407" s="949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>
      <c r="A1408" s="123">
        <v>17</v>
      </c>
      <c r="B1408" s="949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0" t="s">
        <v>5614</v>
      </c>
      <c r="L1408" s="45"/>
      <c r="M1408" s="392">
        <f>250000*4</f>
        <v>1000000</v>
      </c>
      <c r="N1408" s="26"/>
    </row>
    <row r="1409" spans="1:14" ht="26.25" hidden="1" customHeight="1">
      <c r="A1409" s="123">
        <v>17</v>
      </c>
      <c r="B1409" s="949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 hidden="1">
      <c r="A1410" s="123">
        <v>17</v>
      </c>
      <c r="B1410" s="974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 hidden="1">
      <c r="A1411" s="123">
        <v>17</v>
      </c>
      <c r="B1411" s="975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hidden="1">
      <c r="A1412" s="123">
        <v>17</v>
      </c>
      <c r="B1412" s="975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 hidden="1">
      <c r="A1413" s="123">
        <v>17</v>
      </c>
      <c r="B1413" s="975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 hidden="1">
      <c r="A1414" s="123">
        <v>17</v>
      </c>
      <c r="B1414" s="976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 hidden="1">
      <c r="A1415" s="123">
        <v>18</v>
      </c>
      <c r="B1415" s="949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3"/>
    </row>
    <row r="1416" spans="1:14" hidden="1">
      <c r="A1416" s="123">
        <v>18</v>
      </c>
      <c r="B1416" s="949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3"/>
    </row>
    <row r="1417" spans="1:14" hidden="1">
      <c r="A1417" s="123">
        <v>18</v>
      </c>
      <c r="B1417" s="949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 hidden="1">
      <c r="A1418" s="123">
        <v>18</v>
      </c>
      <c r="B1418" s="949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 hidden="1">
      <c r="A1419" s="123">
        <v>18</v>
      </c>
      <c r="B1419" s="949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 hidden="1">
      <c r="A1420" s="123">
        <v>18</v>
      </c>
      <c r="B1420" s="949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 hidden="1">
      <c r="A1421" s="123">
        <v>18</v>
      </c>
      <c r="B1421" s="949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 hidden="1">
      <c r="A1422" s="123">
        <v>18</v>
      </c>
      <c r="B1422" s="949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hidden="1">
      <c r="A1423" s="123">
        <v>18</v>
      </c>
      <c r="B1423" s="949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hidden="1">
      <c r="A1424" s="123">
        <v>18</v>
      </c>
      <c r="B1424" s="949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 hidden="1">
      <c r="A1425" s="123">
        <v>19</v>
      </c>
      <c r="B1425" s="1129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8">
        <v>750000</v>
      </c>
      <c r="N1425" s="670"/>
    </row>
    <row r="1426" spans="1:14">
      <c r="A1426" s="123">
        <v>19</v>
      </c>
      <c r="B1426" s="1129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2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8">
        <v>1500000</v>
      </c>
      <c r="N1426" s="670"/>
    </row>
    <row r="1427" spans="1:14" hidden="1">
      <c r="A1427" s="123">
        <v>19</v>
      </c>
      <c r="B1427" s="1129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8">
        <v>500000</v>
      </c>
      <c r="N1427" s="670"/>
    </row>
    <row r="1428" spans="1:14" hidden="1">
      <c r="A1428" s="123">
        <v>19</v>
      </c>
      <c r="B1428" s="1129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8">
        <v>1000000</v>
      </c>
      <c r="N1428" s="644"/>
    </row>
    <row r="1429" spans="1:14" ht="22.5" hidden="1">
      <c r="A1429" s="123">
        <v>19</v>
      </c>
      <c r="B1429" s="1129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69">
        <v>550000</v>
      </c>
      <c r="N1429" s="641" t="s">
        <v>5700</v>
      </c>
    </row>
    <row r="1430" spans="1:14" hidden="1">
      <c r="A1430" s="123">
        <v>19</v>
      </c>
      <c r="B1430" s="1129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69">
        <v>400000</v>
      </c>
      <c r="N1430" s="641"/>
    </row>
    <row r="1431" spans="1:14" hidden="1">
      <c r="A1431" s="123">
        <v>19</v>
      </c>
      <c r="B1431" s="1129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69">
        <v>500000</v>
      </c>
      <c r="N1431" s="641"/>
    </row>
    <row r="1432" spans="1:14" hidden="1">
      <c r="A1432" s="123">
        <v>19</v>
      </c>
      <c r="B1432" s="1129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69">
        <v>500000</v>
      </c>
      <c r="N1432" s="671"/>
    </row>
    <row r="1433" spans="1:14" ht="24">
      <c r="A1433" s="689">
        <v>20</v>
      </c>
      <c r="B1433" s="974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77">
        <v>1500000</v>
      </c>
      <c r="N1433" s="670"/>
    </row>
    <row r="1434" spans="1:14" hidden="1">
      <c r="A1434" s="689">
        <v>20</v>
      </c>
      <c r="B1434" s="975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77">
        <v>250000</v>
      </c>
      <c r="N1434" s="670"/>
    </row>
    <row r="1435" spans="1:14" ht="24" hidden="1">
      <c r="A1435" s="689">
        <v>20</v>
      </c>
      <c r="B1435" s="975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77">
        <v>500000</v>
      </c>
      <c r="N1435" s="670"/>
    </row>
    <row r="1436" spans="1:14" hidden="1">
      <c r="A1436" s="689">
        <v>20</v>
      </c>
      <c r="B1436" s="975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77">
        <v>250000</v>
      </c>
      <c r="N1436" s="670"/>
    </row>
    <row r="1437" spans="1:14" ht="24" hidden="1">
      <c r="A1437" s="689">
        <v>20</v>
      </c>
      <c r="B1437" s="976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77">
        <v>500000</v>
      </c>
      <c r="N1437" s="644"/>
    </row>
    <row r="1438" spans="1:14" hidden="1">
      <c r="A1438" s="689">
        <v>20</v>
      </c>
      <c r="B1438" s="974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77">
        <v>250000</v>
      </c>
      <c r="N1438" s="641" t="s">
        <v>5869</v>
      </c>
    </row>
    <row r="1439" spans="1:14" hidden="1">
      <c r="A1439" s="689">
        <v>20</v>
      </c>
      <c r="B1439" s="975"/>
      <c r="C1439" s="963" t="s">
        <v>5860</v>
      </c>
      <c r="D1439" s="964" t="s">
        <v>311</v>
      </c>
      <c r="E1439" s="964" t="s">
        <v>320</v>
      </c>
      <c r="F1439" s="965" t="s">
        <v>5188</v>
      </c>
      <c r="G1439" s="658" t="s">
        <v>1919</v>
      </c>
      <c r="H1439" s="965" t="s">
        <v>347</v>
      </c>
      <c r="I1439" s="965" t="s">
        <v>5870</v>
      </c>
      <c r="J1439" s="965"/>
      <c r="K1439" s="965" t="s">
        <v>692</v>
      </c>
      <c r="L1439" s="964" t="s">
        <v>309</v>
      </c>
      <c r="M1439" s="967">
        <v>500000</v>
      </c>
      <c r="N1439" s="1117"/>
    </row>
    <row r="1440" spans="1:14" hidden="1">
      <c r="A1440" s="689">
        <v>20</v>
      </c>
      <c r="B1440" s="975"/>
      <c r="C1440" s="963"/>
      <c r="D1440" s="964"/>
      <c r="E1440" s="964"/>
      <c r="F1440" s="965"/>
      <c r="G1440" s="658" t="s">
        <v>5189</v>
      </c>
      <c r="H1440" s="965"/>
      <c r="I1440" s="965"/>
      <c r="J1440" s="965"/>
      <c r="K1440" s="965"/>
      <c r="L1440" s="964"/>
      <c r="M1440" s="967"/>
      <c r="N1440" s="1117"/>
    </row>
    <row r="1441" spans="1:14" ht="24" hidden="1">
      <c r="A1441" s="689">
        <v>20</v>
      </c>
      <c r="B1441" s="976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77">
        <v>300000</v>
      </c>
      <c r="N1441" s="641"/>
    </row>
    <row r="1442" spans="1:14" hidden="1">
      <c r="A1442" s="689">
        <v>21</v>
      </c>
      <c r="B1442" s="948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77">
        <v>500000</v>
      </c>
      <c r="N1442" s="26"/>
    </row>
    <row r="1443" spans="1:14" hidden="1">
      <c r="A1443" s="689">
        <v>21</v>
      </c>
      <c r="B1443" s="948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77">
        <v>250000</v>
      </c>
      <c r="N1443" s="26"/>
    </row>
    <row r="1444" spans="1:14" ht="24" hidden="1">
      <c r="A1444" s="689">
        <v>21</v>
      </c>
      <c r="B1444" s="948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77">
        <f>250000*2</f>
        <v>500000</v>
      </c>
      <c r="N1444" s="26"/>
    </row>
    <row r="1445" spans="1:14" ht="24" hidden="1">
      <c r="A1445" s="689">
        <v>21</v>
      </c>
      <c r="B1445" s="948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77">
        <f>250000*2</f>
        <v>500000</v>
      </c>
      <c r="N1445" s="26"/>
    </row>
    <row r="1446" spans="1:14" ht="24" hidden="1">
      <c r="A1446" s="689">
        <v>21</v>
      </c>
      <c r="B1446" s="948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77">
        <f>250000*2</f>
        <v>500000</v>
      </c>
      <c r="N1446" s="26"/>
    </row>
    <row r="1447" spans="1:14" hidden="1">
      <c r="A1447" s="689">
        <v>21</v>
      </c>
      <c r="B1447" s="948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77">
        <f>250000*2</f>
        <v>500000</v>
      </c>
      <c r="N1447" s="26"/>
    </row>
    <row r="1448" spans="1:14" hidden="1">
      <c r="A1448" s="691">
        <v>21</v>
      </c>
      <c r="B1448" s="948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4" t="s">
        <v>3447</v>
      </c>
      <c r="L1448" s="646" t="s">
        <v>15</v>
      </c>
      <c r="M1448" s="678">
        <v>500000</v>
      </c>
      <c r="N1448" s="26"/>
    </row>
    <row r="1449" spans="1:14" hidden="1">
      <c r="A1449" s="691">
        <v>21</v>
      </c>
      <c r="B1449" s="948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78">
        <v>300000</v>
      </c>
      <c r="N1449" s="26"/>
    </row>
    <row r="1450" spans="1:14" hidden="1">
      <c r="A1450" s="691">
        <v>21</v>
      </c>
      <c r="B1450" s="948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4" t="s">
        <v>3447</v>
      </c>
      <c r="L1450" s="646" t="s">
        <v>15</v>
      </c>
      <c r="M1450" s="678">
        <v>500000</v>
      </c>
      <c r="N1450" s="26"/>
    </row>
    <row r="1451" spans="1:14" hidden="1">
      <c r="A1451" s="691">
        <v>21</v>
      </c>
      <c r="B1451" s="948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78">
        <v>250000</v>
      </c>
      <c r="N1451" s="26"/>
    </row>
    <row r="1452" spans="1:14" hidden="1">
      <c r="A1452" s="691">
        <v>21</v>
      </c>
      <c r="B1452" s="948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78">
        <v>250000</v>
      </c>
      <c r="N1452" s="26"/>
    </row>
    <row r="1453" spans="1:14" hidden="1">
      <c r="A1453" s="691">
        <v>22</v>
      </c>
      <c r="B1453" s="1118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77">
        <v>250000</v>
      </c>
      <c r="N1453" s="1120" t="s">
        <v>5942</v>
      </c>
    </row>
    <row r="1454" spans="1:14" hidden="1">
      <c r="A1454" s="691">
        <v>22</v>
      </c>
      <c r="B1454" s="1119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4">
        <v>1517</v>
      </c>
      <c r="H1454" s="674" t="s">
        <v>5941</v>
      </c>
      <c r="I1454" s="675" t="s">
        <v>5957</v>
      </c>
      <c r="J1454" s="685" t="s">
        <v>5944</v>
      </c>
      <c r="K1454" s="634" t="s">
        <v>5940</v>
      </c>
      <c r="L1454" s="646"/>
      <c r="M1454" s="677">
        <v>250000</v>
      </c>
      <c r="N1454" s="1121"/>
    </row>
    <row r="1455" spans="1:14" hidden="1">
      <c r="A1455" s="691">
        <v>22</v>
      </c>
      <c r="B1455" s="1119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4" t="s">
        <v>5951</v>
      </c>
      <c r="H1455" s="674" t="s">
        <v>5952</v>
      </c>
      <c r="I1455" s="675" t="s">
        <v>5953</v>
      </c>
      <c r="J1455" s="685" t="s">
        <v>5954</v>
      </c>
      <c r="K1455" s="676" t="s">
        <v>5955</v>
      </c>
      <c r="L1455" s="646"/>
      <c r="M1455" s="677">
        <f>250000*4</f>
        <v>1000000</v>
      </c>
      <c r="N1455" s="686"/>
    </row>
    <row r="1456" spans="1:14" hidden="1">
      <c r="A1456" s="691">
        <v>22</v>
      </c>
      <c r="B1456" s="1119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4">
        <v>1517</v>
      </c>
      <c r="H1456" s="674" t="s">
        <v>5941</v>
      </c>
      <c r="I1456" s="675" t="s">
        <v>5956</v>
      </c>
      <c r="J1456" s="685" t="s">
        <v>5947</v>
      </c>
      <c r="K1456" s="676" t="s">
        <v>5948</v>
      </c>
      <c r="L1456" s="646"/>
      <c r="M1456" s="677">
        <f>250000*2</f>
        <v>500000</v>
      </c>
      <c r="N1456" s="686"/>
    </row>
    <row r="1457" spans="1:14" hidden="1">
      <c r="A1457" s="691">
        <v>22</v>
      </c>
      <c r="B1457" s="1119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4">
        <v>7062</v>
      </c>
      <c r="H1457" s="674" t="s">
        <v>5945</v>
      </c>
      <c r="I1457" s="675" t="s">
        <v>5946</v>
      </c>
      <c r="J1457" s="685" t="s">
        <v>5947</v>
      </c>
      <c r="K1457" s="676" t="s">
        <v>5948</v>
      </c>
      <c r="L1457" s="646"/>
      <c r="M1457" s="677">
        <v>500000</v>
      </c>
      <c r="N1457" s="686"/>
    </row>
    <row r="1458" spans="1:14" hidden="1">
      <c r="A1458" s="691">
        <v>22</v>
      </c>
      <c r="B1458" s="1119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4" t="s">
        <v>5960</v>
      </c>
      <c r="I1458" s="675" t="s">
        <v>5962</v>
      </c>
      <c r="J1458" s="685" t="s">
        <v>5961</v>
      </c>
      <c r="K1458" s="676" t="s">
        <v>5948</v>
      </c>
      <c r="L1458" s="646"/>
      <c r="M1458" s="677">
        <v>500000</v>
      </c>
      <c r="N1458" s="687"/>
    </row>
    <row r="1459" spans="1:14" hidden="1">
      <c r="A1459" s="691">
        <v>22</v>
      </c>
      <c r="B1459" s="1118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1123" t="s">
        <v>3274</v>
      </c>
      <c r="K1459" s="1123" t="s">
        <v>3454</v>
      </c>
      <c r="L1459" s="646" t="s">
        <v>3265</v>
      </c>
      <c r="M1459" s="1125">
        <v>250000</v>
      </c>
      <c r="N1459" s="688" t="s">
        <v>5964</v>
      </c>
    </row>
    <row r="1460" spans="1:14" hidden="1">
      <c r="A1460" s="691">
        <v>22</v>
      </c>
      <c r="B1460" s="1119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1124"/>
      <c r="K1460" s="1124"/>
      <c r="L1460" s="646" t="s">
        <v>3265</v>
      </c>
      <c r="M1460" s="1126"/>
      <c r="N1460" s="688" t="s">
        <v>5965</v>
      </c>
    </row>
    <row r="1461" spans="1:14" hidden="1">
      <c r="A1461" s="691">
        <v>22</v>
      </c>
      <c r="B1461" s="1119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35" t="s">
        <v>5896</v>
      </c>
      <c r="L1461" s="646" t="s">
        <v>3265</v>
      </c>
      <c r="M1461" s="678">
        <v>250000</v>
      </c>
      <c r="N1461" s="688" t="s">
        <v>5967</v>
      </c>
    </row>
    <row r="1462" spans="1:14" hidden="1">
      <c r="A1462" s="691">
        <v>22</v>
      </c>
      <c r="B1462" s="1119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78">
        <v>250000</v>
      </c>
      <c r="N1462" s="688" t="s">
        <v>5973</v>
      </c>
    </row>
    <row r="1463" spans="1:14" hidden="1">
      <c r="A1463" s="691">
        <v>22</v>
      </c>
      <c r="B1463" s="1119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78">
        <v>600000</v>
      </c>
      <c r="N1463" s="688" t="s">
        <v>5968</v>
      </c>
    </row>
    <row r="1464" spans="1:14" hidden="1">
      <c r="A1464" s="691">
        <v>22</v>
      </c>
      <c r="B1464" s="1119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1127" t="s">
        <v>5920</v>
      </c>
      <c r="L1464" s="646" t="s">
        <v>15</v>
      </c>
      <c r="M1464" s="1125">
        <v>500000</v>
      </c>
      <c r="N1464" s="688" t="s">
        <v>5969</v>
      </c>
    </row>
    <row r="1465" spans="1:14" hidden="1">
      <c r="A1465" s="691">
        <v>22</v>
      </c>
      <c r="B1465" s="1122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1128"/>
      <c r="L1465" s="646" t="s">
        <v>15</v>
      </c>
      <c r="M1465" s="1126"/>
      <c r="N1465" s="688" t="s">
        <v>5970</v>
      </c>
    </row>
    <row r="1466" spans="1:14" hidden="1">
      <c r="A1466" s="689">
        <v>23</v>
      </c>
      <c r="B1466" s="948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698" t="s">
        <v>6063</v>
      </c>
      <c r="M1466" s="677">
        <v>250000</v>
      </c>
      <c r="N1466" s="646" t="s">
        <v>5989</v>
      </c>
    </row>
    <row r="1467" spans="1:14" hidden="1">
      <c r="A1467" s="689">
        <v>23</v>
      </c>
      <c r="B1467" s="948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698" t="s">
        <v>6063</v>
      </c>
      <c r="M1467" s="677">
        <f>250000*5</f>
        <v>1250000</v>
      </c>
      <c r="N1467" s="632"/>
    </row>
    <row r="1468" spans="1:14" hidden="1">
      <c r="A1468" s="689">
        <v>23</v>
      </c>
      <c r="B1468" s="948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698" t="s">
        <v>6063</v>
      </c>
      <c r="M1468" s="677">
        <f>250000*2</f>
        <v>500000</v>
      </c>
      <c r="N1468" s="699"/>
    </row>
    <row r="1469" spans="1:14" ht="24" hidden="1">
      <c r="A1469" s="689">
        <v>23</v>
      </c>
      <c r="B1469" s="948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698" t="s">
        <v>6063</v>
      </c>
      <c r="M1469" s="677">
        <f>250000*4</f>
        <v>1000000</v>
      </c>
      <c r="N1469" s="699"/>
    </row>
    <row r="1470" spans="1:14" hidden="1">
      <c r="A1470" s="689">
        <v>23</v>
      </c>
      <c r="B1470" s="948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698" t="s">
        <v>6063</v>
      </c>
      <c r="M1470" s="677">
        <f>250000*3</f>
        <v>750000</v>
      </c>
      <c r="N1470" s="699"/>
    </row>
    <row r="1471" spans="1:14" hidden="1">
      <c r="A1471" s="689">
        <v>23</v>
      </c>
      <c r="B1471" s="948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36" t="s">
        <v>686</v>
      </c>
      <c r="L1471" s="125" t="s">
        <v>15</v>
      </c>
      <c r="M1471" s="678">
        <v>250000</v>
      </c>
      <c r="N1471" s="646" t="s">
        <v>5989</v>
      </c>
    </row>
    <row r="1472" spans="1:14" hidden="1">
      <c r="A1472" s="689">
        <v>23</v>
      </c>
      <c r="B1472" s="948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36" t="s">
        <v>686</v>
      </c>
      <c r="L1472" s="125" t="s">
        <v>15</v>
      </c>
      <c r="M1472" s="678">
        <v>250000</v>
      </c>
      <c r="N1472" s="646" t="s">
        <v>5989</v>
      </c>
    </row>
    <row r="1473" spans="1:14" hidden="1">
      <c r="A1473" s="689">
        <v>23</v>
      </c>
      <c r="B1473" s="948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78">
        <v>300000</v>
      </c>
      <c r="N1473" s="646" t="s">
        <v>5989</v>
      </c>
    </row>
    <row r="1474" spans="1:14" ht="27" hidden="1">
      <c r="A1474" s="689">
        <v>23</v>
      </c>
      <c r="B1474" s="948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1132" t="s">
        <v>90</v>
      </c>
      <c r="K1474" s="1132" t="s">
        <v>6007</v>
      </c>
      <c r="L1474" s="136" t="s">
        <v>15</v>
      </c>
      <c r="M1474" s="1133">
        <v>250000</v>
      </c>
      <c r="N1474" s="646"/>
    </row>
    <row r="1475" spans="1:14" ht="27" hidden="1">
      <c r="A1475" s="689">
        <v>23</v>
      </c>
      <c r="B1475" s="948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1132"/>
      <c r="K1475" s="1132"/>
      <c r="L1475" s="136" t="s">
        <v>15</v>
      </c>
      <c r="M1475" s="1133"/>
      <c r="N1475" s="646"/>
    </row>
    <row r="1476" spans="1:14" hidden="1">
      <c r="A1476" s="689">
        <v>23</v>
      </c>
      <c r="B1476" s="948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78">
        <v>300000</v>
      </c>
      <c r="N1476" s="646"/>
    </row>
    <row r="1477" spans="1:14" hidden="1">
      <c r="A1477" s="689">
        <v>23</v>
      </c>
      <c r="B1477" s="948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78">
        <v>250000</v>
      </c>
      <c r="N1477" s="646"/>
    </row>
    <row r="1478" spans="1:14" hidden="1">
      <c r="A1478" s="689">
        <v>23</v>
      </c>
      <c r="B1478" s="948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78">
        <v>250000</v>
      </c>
      <c r="N1478" s="646"/>
    </row>
    <row r="1479" spans="1:14" hidden="1">
      <c r="A1479" s="689">
        <v>23</v>
      </c>
      <c r="B1479" s="948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78">
        <v>300000</v>
      </c>
      <c r="N1479" s="646"/>
    </row>
    <row r="1480" spans="1:14" hidden="1">
      <c r="A1480" s="689">
        <v>23</v>
      </c>
      <c r="B1480" s="948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78">
        <v>300000</v>
      </c>
      <c r="N1480" s="646"/>
    </row>
    <row r="1481" spans="1:14" hidden="1">
      <c r="A1481" s="689">
        <v>23</v>
      </c>
      <c r="B1481" s="948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78">
        <v>300000</v>
      </c>
      <c r="N1481" s="646"/>
    </row>
    <row r="1482" spans="1:14" hidden="1">
      <c r="A1482" s="689">
        <v>23</v>
      </c>
      <c r="B1482" s="948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78">
        <v>800000</v>
      </c>
      <c r="N1482" s="646"/>
    </row>
    <row r="1483" spans="1:14" hidden="1">
      <c r="A1483" s="689">
        <v>23</v>
      </c>
      <c r="B1483" s="948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78">
        <v>800000</v>
      </c>
      <c r="N1483" s="646"/>
    </row>
    <row r="1484" spans="1:14" hidden="1">
      <c r="A1484" s="689">
        <v>23</v>
      </c>
      <c r="B1484" s="948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78">
        <v>250000</v>
      </c>
      <c r="N1484" s="646"/>
    </row>
    <row r="1485" spans="1:14" hidden="1">
      <c r="A1485" s="689">
        <v>23</v>
      </c>
      <c r="B1485" s="948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78">
        <v>800000</v>
      </c>
      <c r="N1485" s="646"/>
    </row>
    <row r="1486" spans="1:14" hidden="1">
      <c r="A1486" s="689">
        <v>24</v>
      </c>
      <c r="B1486" s="948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698" t="s">
        <v>209</v>
      </c>
      <c r="M1486" s="677">
        <v>250000</v>
      </c>
      <c r="N1486" s="646" t="s">
        <v>6104</v>
      </c>
    </row>
    <row r="1487" spans="1:14" ht="27" hidden="1">
      <c r="A1487" s="689">
        <v>24</v>
      </c>
      <c r="B1487" s="948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698" t="s">
        <v>209</v>
      </c>
      <c r="M1487" s="677">
        <v>750000</v>
      </c>
      <c r="N1487" s="646"/>
    </row>
    <row r="1488" spans="1:14" hidden="1">
      <c r="A1488" s="689">
        <v>24</v>
      </c>
      <c r="B1488" s="948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698" t="s">
        <v>209</v>
      </c>
      <c r="M1488" s="677">
        <v>500000</v>
      </c>
      <c r="N1488" s="632"/>
    </row>
    <row r="1489" spans="1:14" ht="27" hidden="1">
      <c r="A1489" s="689">
        <v>24</v>
      </c>
      <c r="B1489" s="948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698" t="s">
        <v>209</v>
      </c>
      <c r="M1489" s="677">
        <v>500000</v>
      </c>
      <c r="N1489" s="699"/>
    </row>
    <row r="1490" spans="1:14" ht="24" hidden="1">
      <c r="A1490" s="689">
        <v>24</v>
      </c>
      <c r="B1490" s="948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698" t="s">
        <v>209</v>
      </c>
      <c r="M1490" s="677">
        <v>250000</v>
      </c>
      <c r="N1490" s="699"/>
    </row>
    <row r="1491" spans="1:14" ht="24" hidden="1">
      <c r="A1491" s="689">
        <v>24</v>
      </c>
      <c r="B1491" s="948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698" t="s">
        <v>209</v>
      </c>
      <c r="M1491" s="677">
        <v>500000</v>
      </c>
      <c r="N1491" s="699"/>
    </row>
    <row r="1492" spans="1:14" hidden="1">
      <c r="A1492" s="689">
        <v>24</v>
      </c>
      <c r="B1492" s="948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698" t="s">
        <v>209</v>
      </c>
      <c r="M1492" s="677">
        <v>250000</v>
      </c>
      <c r="N1492" s="699"/>
    </row>
    <row r="1493" spans="1:14" hidden="1">
      <c r="A1493" s="689">
        <v>24</v>
      </c>
      <c r="B1493" s="948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78">
        <v>300000</v>
      </c>
      <c r="N1493" s="646" t="s">
        <v>6104</v>
      </c>
    </row>
    <row r="1494" spans="1:14" hidden="1">
      <c r="A1494" s="689">
        <v>24</v>
      </c>
      <c r="B1494" s="948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78">
        <v>300000</v>
      </c>
      <c r="N1494" s="646" t="s">
        <v>6104</v>
      </c>
    </row>
    <row r="1495" spans="1:14" hidden="1">
      <c r="A1495" s="689">
        <v>24</v>
      </c>
      <c r="B1495" s="948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78">
        <v>300000</v>
      </c>
      <c r="N1495" s="646" t="s">
        <v>6104</v>
      </c>
    </row>
    <row r="1496" spans="1:14" hidden="1">
      <c r="A1496" s="689">
        <v>24</v>
      </c>
      <c r="B1496" s="948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78">
        <v>300000</v>
      </c>
      <c r="N1496" s="646" t="s">
        <v>6104</v>
      </c>
    </row>
    <row r="1497" spans="1:14" hidden="1">
      <c r="A1497" s="689">
        <v>24</v>
      </c>
      <c r="B1497" s="948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37" t="s">
        <v>686</v>
      </c>
      <c r="L1497" s="459" t="s">
        <v>15</v>
      </c>
      <c r="M1497" s="678">
        <v>250000</v>
      </c>
      <c r="N1497" s="646" t="s">
        <v>6104</v>
      </c>
    </row>
    <row r="1498" spans="1:14" hidden="1">
      <c r="A1498" s="689">
        <v>24</v>
      </c>
      <c r="B1498" s="948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78">
        <v>500000</v>
      </c>
      <c r="N1498" s="646" t="s">
        <v>6141</v>
      </c>
    </row>
    <row r="1499" spans="1:14" hidden="1">
      <c r="A1499" s="689">
        <v>24</v>
      </c>
      <c r="B1499" s="948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08" t="s">
        <v>3105</v>
      </c>
      <c r="L1499" s="125" t="s">
        <v>15</v>
      </c>
      <c r="M1499" s="678">
        <v>250000</v>
      </c>
      <c r="N1499" s="646" t="s">
        <v>128</v>
      </c>
    </row>
    <row r="1500" spans="1:14" hidden="1">
      <c r="A1500" s="689">
        <v>24</v>
      </c>
      <c r="B1500" s="948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78">
        <v>300000</v>
      </c>
      <c r="N1500" s="646" t="s">
        <v>128</v>
      </c>
    </row>
    <row r="1501" spans="1:14" ht="27" hidden="1">
      <c r="A1501" s="689">
        <v>24</v>
      </c>
      <c r="B1501" s="948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78">
        <v>500000</v>
      </c>
      <c r="N1501" s="646" t="s">
        <v>127</v>
      </c>
    </row>
    <row r="1502" spans="1:14" ht="27" hidden="1">
      <c r="A1502" s="689">
        <v>24</v>
      </c>
      <c r="B1502" s="948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78">
        <v>500000</v>
      </c>
      <c r="N1502" s="646" t="s">
        <v>127</v>
      </c>
    </row>
    <row r="1503" spans="1:14" hidden="1">
      <c r="A1503" s="689">
        <v>24</v>
      </c>
      <c r="B1503" s="948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78">
        <v>300000</v>
      </c>
      <c r="N1503" s="646" t="s">
        <v>128</v>
      </c>
    </row>
    <row r="1504" spans="1:14" ht="40.5" hidden="1">
      <c r="A1504" s="689">
        <v>24</v>
      </c>
      <c r="B1504" s="948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2" t="s">
        <v>6096</v>
      </c>
      <c r="L1504" s="125" t="s">
        <v>15</v>
      </c>
      <c r="M1504" s="678">
        <v>500000</v>
      </c>
      <c r="N1504" s="646" t="s">
        <v>128</v>
      </c>
    </row>
    <row r="1505" spans="1:14" hidden="1">
      <c r="A1505" s="689">
        <v>24</v>
      </c>
      <c r="B1505" s="948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78">
        <v>250000</v>
      </c>
      <c r="N1505" s="646" t="s">
        <v>127</v>
      </c>
    </row>
    <row r="1506" spans="1:14" hidden="1">
      <c r="A1506" s="689">
        <v>24</v>
      </c>
      <c r="B1506" s="948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08" t="s">
        <v>2828</v>
      </c>
      <c r="L1506" s="125" t="s">
        <v>15</v>
      </c>
      <c r="M1506" s="678">
        <v>250000</v>
      </c>
      <c r="N1506" s="646" t="s">
        <v>1192</v>
      </c>
    </row>
    <row r="1507" spans="1:14" hidden="1">
      <c r="A1507" s="689">
        <v>24</v>
      </c>
      <c r="B1507" s="948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78">
        <v>300000</v>
      </c>
      <c r="N1507" s="646" t="s">
        <v>128</v>
      </c>
    </row>
    <row r="1508" spans="1:14" hidden="1">
      <c r="A1508" s="689">
        <v>24</v>
      </c>
      <c r="B1508" s="948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78">
        <v>300000</v>
      </c>
      <c r="N1508" s="646" t="s">
        <v>128</v>
      </c>
    </row>
    <row r="1509" spans="1:14" hidden="1">
      <c r="A1509" s="689">
        <v>25</v>
      </c>
      <c r="B1509" s="1134" t="s">
        <v>20</v>
      </c>
      <c r="C1509" s="640">
        <v>46189</v>
      </c>
      <c r="D1509" s="721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698"/>
      <c r="M1509" s="677">
        <v>250000</v>
      </c>
      <c r="N1509" s="688" t="s">
        <v>6226</v>
      </c>
    </row>
    <row r="1510" spans="1:14" hidden="1">
      <c r="A1510" s="689">
        <v>25</v>
      </c>
      <c r="B1510" s="1135"/>
      <c r="C1510" s="640">
        <v>46192</v>
      </c>
      <c r="D1510" s="721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698"/>
      <c r="M1510" s="677">
        <v>250000</v>
      </c>
      <c r="N1510" s="688" t="s">
        <v>6226</v>
      </c>
    </row>
    <row r="1511" spans="1:14" hidden="1">
      <c r="A1511" s="689">
        <v>25</v>
      </c>
      <c r="B1511" s="1135"/>
      <c r="C1511" s="640">
        <v>46193</v>
      </c>
      <c r="D1511" s="721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698"/>
      <c r="M1511" s="677">
        <v>250000</v>
      </c>
      <c r="N1511" s="688" t="s">
        <v>6226</v>
      </c>
    </row>
    <row r="1512" spans="1:14" ht="24" hidden="1">
      <c r="A1512" s="689">
        <v>25</v>
      </c>
      <c r="B1512" s="1135"/>
      <c r="C1512" s="656" t="s">
        <v>6249</v>
      </c>
      <c r="D1512" s="721" t="s">
        <v>585</v>
      </c>
      <c r="E1512" s="632" t="s">
        <v>298</v>
      </c>
      <c r="F1512" s="633" t="s">
        <v>5254</v>
      </c>
      <c r="G1512" s="725" t="s">
        <v>6250</v>
      </c>
      <c r="H1512" s="722" t="s">
        <v>34</v>
      </c>
      <c r="I1512" s="723" t="s">
        <v>6251</v>
      </c>
      <c r="J1512" s="633" t="s">
        <v>3661</v>
      </c>
      <c r="K1512" s="634" t="s">
        <v>3035</v>
      </c>
      <c r="L1512" s="698"/>
      <c r="M1512" s="677">
        <f>250000*5</f>
        <v>1250000</v>
      </c>
      <c r="N1512" s="688"/>
    </row>
    <row r="1513" spans="1:14" ht="24" hidden="1">
      <c r="A1513" s="689">
        <v>25</v>
      </c>
      <c r="B1513" s="1135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4" t="s">
        <v>6135</v>
      </c>
      <c r="H1513" s="674" t="s">
        <v>1172</v>
      </c>
      <c r="I1513" s="675" t="s">
        <v>1105</v>
      </c>
      <c r="J1513" s="633" t="s">
        <v>1259</v>
      </c>
      <c r="K1513" s="634" t="s">
        <v>3004</v>
      </c>
      <c r="L1513" s="698"/>
      <c r="M1513" s="677">
        <v>750000</v>
      </c>
      <c r="N1513" s="686"/>
    </row>
    <row r="1514" spans="1:14" ht="24" hidden="1">
      <c r="A1514" s="689">
        <v>25</v>
      </c>
      <c r="B1514" s="1135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4" t="s">
        <v>5754</v>
      </c>
      <c r="H1514" s="674" t="s">
        <v>18</v>
      </c>
      <c r="I1514" s="675" t="s">
        <v>6252</v>
      </c>
      <c r="J1514" s="685" t="s">
        <v>812</v>
      </c>
      <c r="K1514" s="676" t="s">
        <v>3004</v>
      </c>
      <c r="L1514" s="698"/>
      <c r="M1514" s="677">
        <v>750000</v>
      </c>
      <c r="N1514" s="686"/>
    </row>
    <row r="1515" spans="1:14" ht="24" hidden="1">
      <c r="A1515" s="689">
        <v>25</v>
      </c>
      <c r="B1515" s="1134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35" t="s">
        <v>641</v>
      </c>
      <c r="L1515" s="632" t="s">
        <v>15</v>
      </c>
      <c r="M1515" s="729">
        <v>500000</v>
      </c>
      <c r="N1515" s="688" t="s">
        <v>582</v>
      </c>
    </row>
    <row r="1516" spans="1:14" hidden="1">
      <c r="A1516" s="689">
        <v>25</v>
      </c>
      <c r="B1516" s="1135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29">
        <v>300000</v>
      </c>
      <c r="N1516" s="688" t="s">
        <v>807</v>
      </c>
    </row>
    <row r="1517" spans="1:14" ht="24" hidden="1">
      <c r="A1517" s="689">
        <v>25</v>
      </c>
      <c r="B1517" s="1135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29">
        <v>500000</v>
      </c>
      <c r="N1517" s="688" t="s">
        <v>582</v>
      </c>
    </row>
    <row r="1518" spans="1:14" hidden="1">
      <c r="A1518" s="689">
        <v>25</v>
      </c>
      <c r="B1518" s="1135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78">
        <v>300000</v>
      </c>
      <c r="N1518" s="688" t="s">
        <v>807</v>
      </c>
    </row>
    <row r="1519" spans="1:14" ht="24" hidden="1">
      <c r="A1519" s="689">
        <v>25</v>
      </c>
      <c r="B1519" s="1135"/>
      <c r="C1519" s="726">
        <v>46197</v>
      </c>
      <c r="D1519" s="632" t="s">
        <v>21</v>
      </c>
      <c r="E1519" s="632" t="s">
        <v>14</v>
      </c>
      <c r="F1519" s="727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3" t="s">
        <v>487</v>
      </c>
      <c r="L1519" s="632" t="s">
        <v>15</v>
      </c>
      <c r="M1519" s="678">
        <v>500000</v>
      </c>
      <c r="N1519" s="688" t="s">
        <v>807</v>
      </c>
    </row>
    <row r="1520" spans="1:14" hidden="1">
      <c r="A1520" s="689">
        <v>25</v>
      </c>
      <c r="B1520" s="1135"/>
      <c r="C1520" s="726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78">
        <v>300000</v>
      </c>
      <c r="N1520" s="688"/>
    </row>
    <row r="1521" spans="1:14" hidden="1">
      <c r="A1521" s="689">
        <v>25</v>
      </c>
      <c r="B1521" s="1135"/>
      <c r="C1521" s="726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78">
        <v>300000</v>
      </c>
      <c r="N1521" s="688"/>
    </row>
    <row r="1522" spans="1:14" ht="24" hidden="1">
      <c r="A1522" s="689">
        <v>25</v>
      </c>
      <c r="B1522" s="1135"/>
      <c r="C1522" s="726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3" t="s">
        <v>6096</v>
      </c>
      <c r="L1522" s="632" t="s">
        <v>15</v>
      </c>
      <c r="M1522" s="678">
        <v>500000</v>
      </c>
      <c r="N1522" s="688"/>
    </row>
    <row r="1523" spans="1:14" hidden="1">
      <c r="A1523" s="689">
        <v>25</v>
      </c>
      <c r="B1523" s="1135"/>
      <c r="C1523" s="726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78">
        <v>300000</v>
      </c>
      <c r="N1523" s="688"/>
    </row>
    <row r="1524" spans="1:14" hidden="1">
      <c r="A1524" s="689">
        <v>25</v>
      </c>
      <c r="B1524" s="1135"/>
      <c r="C1524" s="726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78">
        <v>500000</v>
      </c>
      <c r="N1524" s="688"/>
    </row>
    <row r="1525" spans="1:14" hidden="1">
      <c r="A1525" s="689">
        <v>25</v>
      </c>
      <c r="B1525" s="1135"/>
      <c r="C1525" s="726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4" t="s">
        <v>2838</v>
      </c>
      <c r="L1525" s="632" t="s">
        <v>15</v>
      </c>
      <c r="M1525" s="678">
        <v>500000</v>
      </c>
      <c r="N1525" s="688"/>
    </row>
    <row r="1526" spans="1:14" hidden="1">
      <c r="A1526" s="689">
        <v>25</v>
      </c>
      <c r="B1526" s="1135"/>
      <c r="C1526" s="728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78">
        <v>300000</v>
      </c>
      <c r="N1526" s="688"/>
    </row>
    <row r="1527" spans="1:14" hidden="1">
      <c r="A1527" s="689">
        <v>26</v>
      </c>
      <c r="B1527" s="1134" t="s">
        <v>20</v>
      </c>
      <c r="C1527" s="640">
        <v>46200</v>
      </c>
      <c r="D1527" s="721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35" t="s">
        <v>3454</v>
      </c>
      <c r="L1527" s="698" t="s">
        <v>5610</v>
      </c>
      <c r="M1527" s="677">
        <v>250000</v>
      </c>
      <c r="N1527" s="688" t="s">
        <v>6314</v>
      </c>
    </row>
    <row r="1528" spans="1:14" ht="24" hidden="1">
      <c r="A1528" s="689">
        <v>26</v>
      </c>
      <c r="B1528" s="1135"/>
      <c r="C1528" s="640" t="s">
        <v>6318</v>
      </c>
      <c r="D1528" s="721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35" t="s">
        <v>3828</v>
      </c>
      <c r="L1528" s="698" t="s">
        <v>5610</v>
      </c>
      <c r="M1528" s="677">
        <f>250000*3</f>
        <v>750000</v>
      </c>
      <c r="N1528" s="688"/>
    </row>
    <row r="1529" spans="1:14" ht="24" hidden="1">
      <c r="A1529" s="689">
        <v>26</v>
      </c>
      <c r="B1529" s="1135"/>
      <c r="C1529" s="640" t="s">
        <v>6318</v>
      </c>
      <c r="D1529" s="721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35" t="s">
        <v>3828</v>
      </c>
      <c r="L1529" s="698" t="s">
        <v>5610</v>
      </c>
      <c r="M1529" s="677">
        <f>250000*3</f>
        <v>750000</v>
      </c>
      <c r="N1529" s="688"/>
    </row>
    <row r="1530" spans="1:14" ht="24" hidden="1">
      <c r="A1530" s="689">
        <v>26</v>
      </c>
      <c r="B1530" s="1135"/>
      <c r="C1530" s="640" t="s">
        <v>6320</v>
      </c>
      <c r="D1530" s="721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698" t="s">
        <v>5610</v>
      </c>
      <c r="M1530" s="677">
        <v>250000</v>
      </c>
      <c r="N1530" s="688"/>
    </row>
    <row r="1531" spans="1:14" ht="24" hidden="1">
      <c r="A1531" s="689">
        <v>26</v>
      </c>
      <c r="B1531" s="1135"/>
      <c r="C1531" s="640" t="s">
        <v>6320</v>
      </c>
      <c r="D1531" s="721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698" t="s">
        <v>5610</v>
      </c>
      <c r="M1531" s="677">
        <f>250000*4</f>
        <v>1000000</v>
      </c>
      <c r="N1531" s="688"/>
    </row>
    <row r="1532" spans="1:14" ht="24" hidden="1">
      <c r="A1532" s="689">
        <v>26</v>
      </c>
      <c r="B1532" s="1135"/>
      <c r="C1532" s="656" t="s">
        <v>6322</v>
      </c>
      <c r="D1532" s="721" t="s">
        <v>19</v>
      </c>
      <c r="E1532" s="632" t="s">
        <v>25</v>
      </c>
      <c r="F1532" s="633" t="s">
        <v>5838</v>
      </c>
      <c r="G1532" s="674" t="s">
        <v>6250</v>
      </c>
      <c r="H1532" s="674" t="s">
        <v>6323</v>
      </c>
      <c r="I1532" s="675" t="s">
        <v>3876</v>
      </c>
      <c r="J1532" s="633" t="s">
        <v>5944</v>
      </c>
      <c r="K1532" s="735" t="s">
        <v>3702</v>
      </c>
      <c r="L1532" s="698" t="s">
        <v>5610</v>
      </c>
      <c r="M1532" s="677">
        <f>250000*2</f>
        <v>500000</v>
      </c>
      <c r="N1532" s="686"/>
    </row>
    <row r="1533" spans="1:14" hidden="1">
      <c r="A1533" s="689">
        <v>26</v>
      </c>
      <c r="B1533" s="948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3" t="s">
        <v>684</v>
      </c>
      <c r="L1533" s="136" t="s">
        <v>15</v>
      </c>
      <c r="M1533" s="729">
        <v>500000</v>
      </c>
      <c r="N1533" s="688" t="s">
        <v>6314</v>
      </c>
    </row>
    <row r="1534" spans="1:14" hidden="1">
      <c r="A1534" s="689">
        <v>26</v>
      </c>
      <c r="B1534" s="948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29">
        <v>300000</v>
      </c>
      <c r="N1534" s="688" t="s">
        <v>807</v>
      </c>
    </row>
    <row r="1535" spans="1:14" hidden="1">
      <c r="A1535" s="689">
        <v>26</v>
      </c>
      <c r="B1535" s="948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29">
        <v>300000</v>
      </c>
      <c r="N1535" s="688" t="s">
        <v>807</v>
      </c>
    </row>
    <row r="1536" spans="1:14" hidden="1">
      <c r="A1536" s="689">
        <v>26</v>
      </c>
      <c r="B1536" s="948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29">
        <v>500000</v>
      </c>
      <c r="N1536" s="688" t="s">
        <v>807</v>
      </c>
    </row>
    <row r="1537" spans="1:14" hidden="1">
      <c r="A1537" s="689">
        <v>26</v>
      </c>
      <c r="B1537" s="948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78">
        <v>500000</v>
      </c>
      <c r="N1537" s="688" t="s">
        <v>807</v>
      </c>
    </row>
    <row r="1538" spans="1:14" hidden="1">
      <c r="A1538" s="689">
        <v>26</v>
      </c>
      <c r="B1538" s="948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78">
        <v>300000</v>
      </c>
      <c r="N1538" s="688" t="s">
        <v>807</v>
      </c>
    </row>
    <row r="1539" spans="1:14" hidden="1">
      <c r="A1539" s="689">
        <v>26</v>
      </c>
      <c r="B1539" s="948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3" t="s">
        <v>3454</v>
      </c>
      <c r="L1539" s="136" t="s">
        <v>15</v>
      </c>
      <c r="M1539" s="678">
        <v>250000</v>
      </c>
      <c r="N1539" s="688" t="s">
        <v>807</v>
      </c>
    </row>
    <row r="1540" spans="1:14" hidden="1">
      <c r="A1540" s="689">
        <v>26</v>
      </c>
      <c r="B1540" s="948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3" t="s">
        <v>2828</v>
      </c>
      <c r="L1540" s="136" t="s">
        <v>15</v>
      </c>
      <c r="M1540" s="678">
        <v>250000</v>
      </c>
      <c r="N1540" s="688" t="s">
        <v>807</v>
      </c>
    </row>
    <row r="1541" spans="1:14" hidden="1">
      <c r="A1541" s="691">
        <v>27</v>
      </c>
      <c r="B1541" s="948" t="s">
        <v>20</v>
      </c>
      <c r="C1541" s="640">
        <v>46207</v>
      </c>
      <c r="D1541" s="721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698" t="s">
        <v>6431</v>
      </c>
      <c r="M1541" s="677">
        <v>250000</v>
      </c>
      <c r="N1541" s="688" t="s">
        <v>6423</v>
      </c>
    </row>
    <row r="1542" spans="1:14" hidden="1">
      <c r="A1542" s="691">
        <v>27</v>
      </c>
      <c r="B1542" s="948"/>
      <c r="C1542" s="640" t="s">
        <v>6443</v>
      </c>
      <c r="D1542" s="721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698" t="s">
        <v>6431</v>
      </c>
      <c r="M1542" s="677">
        <f>250000*2</f>
        <v>500000</v>
      </c>
      <c r="N1542" s="688"/>
    </row>
    <row r="1543" spans="1:14" hidden="1">
      <c r="A1543" s="691">
        <v>27</v>
      </c>
      <c r="B1543" s="948"/>
      <c r="C1543" s="640" t="s">
        <v>6452</v>
      </c>
      <c r="D1543" s="721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698" t="s">
        <v>6431</v>
      </c>
      <c r="M1543" s="677">
        <f>250000*3</f>
        <v>750000</v>
      </c>
      <c r="N1543" s="688"/>
    </row>
    <row r="1544" spans="1:14" hidden="1">
      <c r="A1544" s="691">
        <v>27</v>
      </c>
      <c r="B1544" s="948"/>
      <c r="C1544" s="640" t="s">
        <v>6452</v>
      </c>
      <c r="D1544" s="721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35" t="s">
        <v>6451</v>
      </c>
      <c r="L1544" s="698" t="s">
        <v>6431</v>
      </c>
      <c r="M1544" s="677">
        <f>250000*3</f>
        <v>750000</v>
      </c>
      <c r="N1544" s="688"/>
    </row>
    <row r="1545" spans="1:14" hidden="1">
      <c r="A1545" s="691">
        <v>27</v>
      </c>
      <c r="B1545" s="948"/>
      <c r="C1545" s="640" t="s">
        <v>6443</v>
      </c>
      <c r="D1545" s="721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35" t="s">
        <v>6455</v>
      </c>
      <c r="L1545" s="698" t="s">
        <v>6431</v>
      </c>
      <c r="M1545" s="677">
        <f>250000*2</f>
        <v>500000</v>
      </c>
      <c r="N1545" s="688"/>
    </row>
    <row r="1546" spans="1:14" hidden="1">
      <c r="A1546" s="691">
        <v>27</v>
      </c>
      <c r="B1546" s="948"/>
      <c r="C1546" s="656" t="s">
        <v>6452</v>
      </c>
      <c r="D1546" s="721" t="s">
        <v>6424</v>
      </c>
      <c r="E1546" s="632" t="s">
        <v>6425</v>
      </c>
      <c r="F1546" s="633" t="s">
        <v>6426</v>
      </c>
      <c r="G1546" s="674" t="s">
        <v>6440</v>
      </c>
      <c r="H1546" s="674" t="s">
        <v>6441</v>
      </c>
      <c r="I1546" s="675" t="s">
        <v>6457</v>
      </c>
      <c r="J1546" s="633" t="s">
        <v>6429</v>
      </c>
      <c r="K1546" s="735" t="s">
        <v>6451</v>
      </c>
      <c r="L1546" s="698" t="s">
        <v>6431</v>
      </c>
      <c r="M1546" s="677">
        <f>250000*3</f>
        <v>750000</v>
      </c>
      <c r="N1546" s="686"/>
    </row>
    <row r="1547" spans="1:14" hidden="1">
      <c r="A1547" s="691">
        <v>27</v>
      </c>
      <c r="B1547" s="948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29">
        <v>300000</v>
      </c>
      <c r="N1547" s="688" t="s">
        <v>6435</v>
      </c>
    </row>
    <row r="1548" spans="1:14" hidden="1">
      <c r="A1548" s="691">
        <v>27</v>
      </c>
      <c r="B1548" s="948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75" t="s">
        <v>6348</v>
      </c>
      <c r="L1548" s="646" t="s">
        <v>6349</v>
      </c>
      <c r="M1548" s="729">
        <v>250000</v>
      </c>
      <c r="N1548" s="688" t="s">
        <v>6423</v>
      </c>
    </row>
    <row r="1549" spans="1:14" hidden="1">
      <c r="A1549" s="691">
        <v>27</v>
      </c>
      <c r="B1549" s="948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29">
        <v>250000</v>
      </c>
      <c r="N1549" s="688" t="s">
        <v>6437</v>
      </c>
    </row>
    <row r="1550" spans="1:14" hidden="1">
      <c r="A1550" s="691">
        <v>27</v>
      </c>
      <c r="B1550" s="948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0" t="s">
        <v>6347</v>
      </c>
      <c r="K1550" s="632" t="s">
        <v>6410</v>
      </c>
      <c r="L1550" s="632" t="s">
        <v>6349</v>
      </c>
      <c r="M1550" s="752">
        <v>250000</v>
      </c>
      <c r="N1550" s="688" t="s">
        <v>6437</v>
      </c>
    </row>
    <row r="1551" spans="1:14" hidden="1">
      <c r="A1551" s="691">
        <v>27</v>
      </c>
      <c r="B1551" s="948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0"/>
      <c r="K1551" s="632" t="s">
        <v>6413</v>
      </c>
      <c r="L1551" s="632" t="s">
        <v>6349</v>
      </c>
      <c r="M1551" s="752">
        <v>500000</v>
      </c>
      <c r="N1551" s="688" t="s">
        <v>6437</v>
      </c>
    </row>
    <row r="1552" spans="1:14" hidden="1">
      <c r="A1552" s="691">
        <v>27</v>
      </c>
      <c r="B1552" s="948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78">
        <v>300000</v>
      </c>
      <c r="N1552" s="688" t="s">
        <v>6438</v>
      </c>
    </row>
    <row r="1553" spans="1:14" hidden="1">
      <c r="A1553" s="691">
        <v>27</v>
      </c>
      <c r="B1553" s="948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0" t="s">
        <v>6347</v>
      </c>
      <c r="K1553" s="1140" t="s">
        <v>6410</v>
      </c>
      <c r="L1553" s="632" t="s">
        <v>6349</v>
      </c>
      <c r="M1553" s="1125">
        <v>250000</v>
      </c>
      <c r="N1553" s="688" t="s">
        <v>6437</v>
      </c>
    </row>
    <row r="1554" spans="1:14" hidden="1">
      <c r="A1554" s="691">
        <v>27</v>
      </c>
      <c r="B1554" s="948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0" t="s">
        <v>6347</v>
      </c>
      <c r="K1554" s="1141"/>
      <c r="L1554" s="632" t="s">
        <v>15</v>
      </c>
      <c r="M1554" s="1126"/>
      <c r="N1554" s="688" t="s">
        <v>6438</v>
      </c>
    </row>
    <row r="1555" spans="1:14" hidden="1">
      <c r="A1555" s="691">
        <v>27</v>
      </c>
      <c r="B1555" s="948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2" t="s">
        <v>6348</v>
      </c>
      <c r="L1555" s="632" t="s">
        <v>6349</v>
      </c>
      <c r="M1555" s="678">
        <v>250000</v>
      </c>
      <c r="N1555" s="688" t="s">
        <v>6438</v>
      </c>
    </row>
    <row r="1556" spans="1:14" hidden="1">
      <c r="A1556" s="691">
        <v>27</v>
      </c>
      <c r="B1556" s="948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78">
        <v>300000</v>
      </c>
      <c r="N1556" s="688" t="s">
        <v>6436</v>
      </c>
    </row>
    <row r="1557" spans="1:14" hidden="1">
      <c r="A1557" s="689">
        <v>28</v>
      </c>
      <c r="B1557" s="1134" t="s">
        <v>20</v>
      </c>
      <c r="C1557" s="640">
        <v>46214</v>
      </c>
      <c r="D1557" s="721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35" t="s">
        <v>6525</v>
      </c>
      <c r="L1557" s="698" t="s">
        <v>6526</v>
      </c>
      <c r="M1557" s="677">
        <v>250000</v>
      </c>
      <c r="N1557" s="688" t="s">
        <v>6521</v>
      </c>
    </row>
    <row r="1558" spans="1:14" hidden="1">
      <c r="A1558" s="689">
        <v>28</v>
      </c>
      <c r="B1558" s="1135"/>
      <c r="C1558" s="640">
        <v>46216</v>
      </c>
      <c r="D1558" s="721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35" t="s">
        <v>2828</v>
      </c>
      <c r="L1558" s="698" t="s">
        <v>6526</v>
      </c>
      <c r="M1558" s="677">
        <f>250000*2</f>
        <v>500000</v>
      </c>
      <c r="N1558" s="688"/>
    </row>
    <row r="1559" spans="1:14" ht="24" hidden="1">
      <c r="A1559" s="689">
        <v>28</v>
      </c>
      <c r="B1559" s="1135"/>
      <c r="C1559" s="640" t="s">
        <v>6554</v>
      </c>
      <c r="D1559" s="721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35" t="s">
        <v>3004</v>
      </c>
      <c r="L1559" s="698" t="s">
        <v>6526</v>
      </c>
      <c r="M1559" s="677">
        <f>250000*3</f>
        <v>750000</v>
      </c>
      <c r="N1559" s="688"/>
    </row>
    <row r="1560" spans="1:14" ht="24" hidden="1">
      <c r="A1560" s="689">
        <v>28</v>
      </c>
      <c r="B1560" s="1135"/>
      <c r="C1560" s="640" t="s">
        <v>6555</v>
      </c>
      <c r="D1560" s="721" t="s">
        <v>6522</v>
      </c>
      <c r="E1560" s="632" t="s">
        <v>1638</v>
      </c>
      <c r="F1560" s="633" t="s">
        <v>6523</v>
      </c>
      <c r="G1560" s="674" t="s">
        <v>6250</v>
      </c>
      <c r="H1560" s="674" t="s">
        <v>6323</v>
      </c>
      <c r="I1560" s="634" t="s">
        <v>378</v>
      </c>
      <c r="J1560" s="633" t="s">
        <v>737</v>
      </c>
      <c r="K1560" s="634" t="s">
        <v>5852</v>
      </c>
      <c r="L1560" s="698" t="s">
        <v>6526</v>
      </c>
      <c r="M1560" s="677">
        <f>250000*2</f>
        <v>500000</v>
      </c>
      <c r="N1560" s="686"/>
    </row>
    <row r="1561" spans="1:14" hidden="1">
      <c r="A1561" s="689">
        <v>28</v>
      </c>
      <c r="B1561" s="1134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29">
        <v>250000</v>
      </c>
      <c r="N1561" s="688" t="s">
        <v>6521</v>
      </c>
    </row>
    <row r="1562" spans="1:14" hidden="1">
      <c r="A1562" s="689">
        <v>28</v>
      </c>
      <c r="B1562" s="1135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3" t="s">
        <v>2828</v>
      </c>
      <c r="L1562" s="136" t="s">
        <v>15</v>
      </c>
      <c r="M1562" s="729">
        <v>250000</v>
      </c>
      <c r="N1562" s="688" t="s">
        <v>6521</v>
      </c>
    </row>
    <row r="1563" spans="1:14" ht="27" hidden="1">
      <c r="A1563" s="689">
        <v>28</v>
      </c>
      <c r="B1563" s="1135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1136" t="s">
        <v>686</v>
      </c>
      <c r="L1563" s="125" t="s">
        <v>15</v>
      </c>
      <c r="M1563" s="1125">
        <v>250000</v>
      </c>
      <c r="N1563" s="688" t="s">
        <v>393</v>
      </c>
    </row>
    <row r="1564" spans="1:14" hidden="1">
      <c r="A1564" s="689">
        <v>28</v>
      </c>
      <c r="B1564" s="1135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1137"/>
      <c r="L1564" s="125" t="s">
        <v>15</v>
      </c>
      <c r="M1564" s="1139"/>
      <c r="N1564" s="688" t="s">
        <v>128</v>
      </c>
    </row>
    <row r="1565" spans="1:14" ht="27" hidden="1">
      <c r="A1565" s="689">
        <v>28</v>
      </c>
      <c r="B1565" s="1135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1138"/>
      <c r="L1565" s="125" t="s">
        <v>15</v>
      </c>
      <c r="M1565" s="1126"/>
      <c r="N1565" s="688" t="s">
        <v>393</v>
      </c>
    </row>
    <row r="1566" spans="1:14" hidden="1">
      <c r="A1566" s="689">
        <v>28</v>
      </c>
      <c r="B1566" s="1135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2">
        <v>300000</v>
      </c>
      <c r="N1566" s="688" t="s">
        <v>128</v>
      </c>
    </row>
    <row r="1567" spans="1:14" hidden="1">
      <c r="A1567" s="689">
        <v>28</v>
      </c>
      <c r="B1567" s="1135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29">
        <v>300000</v>
      </c>
      <c r="N1567" s="688" t="s">
        <v>128</v>
      </c>
    </row>
    <row r="1568" spans="1:14" hidden="1">
      <c r="A1568" s="689">
        <v>28</v>
      </c>
      <c r="B1568" s="1135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29">
        <v>300000</v>
      </c>
      <c r="N1568" s="688" t="s">
        <v>128</v>
      </c>
    </row>
    <row r="1569" spans="1:14" hidden="1">
      <c r="A1569" s="689">
        <v>28</v>
      </c>
      <c r="B1569" s="1135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76" t="s">
        <v>2828</v>
      </c>
      <c r="L1569" s="125" t="s">
        <v>15</v>
      </c>
      <c r="M1569" s="678">
        <v>250000</v>
      </c>
      <c r="N1569" s="688" t="s">
        <v>6530</v>
      </c>
    </row>
    <row r="1570" spans="1:14" hidden="1">
      <c r="A1570" s="689">
        <v>29</v>
      </c>
      <c r="B1570" s="753" t="s">
        <v>20</v>
      </c>
      <c r="C1570" s="640" t="s">
        <v>6607</v>
      </c>
      <c r="D1570" s="721" t="s">
        <v>19</v>
      </c>
      <c r="E1570" s="632" t="s">
        <v>25</v>
      </c>
      <c r="F1570" s="633" t="s">
        <v>5254</v>
      </c>
      <c r="G1570" s="766" t="s">
        <v>6250</v>
      </c>
      <c r="H1570" s="766" t="s">
        <v>6323</v>
      </c>
      <c r="I1570" s="634" t="s">
        <v>6609</v>
      </c>
      <c r="J1570" s="633" t="s">
        <v>168</v>
      </c>
      <c r="K1570" s="735" t="s">
        <v>6610</v>
      </c>
      <c r="L1570" s="698" t="s">
        <v>209</v>
      </c>
      <c r="M1570" s="677">
        <f>250000*4</f>
        <v>1000000</v>
      </c>
      <c r="N1570" s="646"/>
    </row>
    <row r="1571" spans="1:14" hidden="1">
      <c r="A1571" s="689">
        <v>29</v>
      </c>
      <c r="B1571" s="1118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1136" t="s">
        <v>1113</v>
      </c>
      <c r="L1571" s="125" t="s">
        <v>15</v>
      </c>
      <c r="M1571" s="1125">
        <v>750000</v>
      </c>
      <c r="N1571" s="1144" t="s">
        <v>6608</v>
      </c>
    </row>
    <row r="1572" spans="1:14" hidden="1">
      <c r="A1572" s="689">
        <v>29</v>
      </c>
      <c r="B1572" s="1119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1138"/>
      <c r="L1572" s="125" t="s">
        <v>15</v>
      </c>
      <c r="M1572" s="1126"/>
      <c r="N1572" s="1145"/>
    </row>
    <row r="1573" spans="1:14" ht="27" hidden="1">
      <c r="A1573" s="689">
        <v>29</v>
      </c>
      <c r="B1573" s="1119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29">
        <v>250000</v>
      </c>
      <c r="N1573" s="646" t="s">
        <v>6612</v>
      </c>
    </row>
    <row r="1574" spans="1:14" ht="27" hidden="1">
      <c r="A1574" s="689">
        <v>29</v>
      </c>
      <c r="B1574" s="1119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2">
        <v>250000</v>
      </c>
      <c r="N1574" s="646" t="s">
        <v>6613</v>
      </c>
    </row>
    <row r="1575" spans="1:14" hidden="1">
      <c r="A1575" s="689">
        <v>29</v>
      </c>
      <c r="B1575" s="1119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2">
        <v>500000</v>
      </c>
      <c r="N1575" s="646" t="s">
        <v>6614</v>
      </c>
    </row>
    <row r="1576" spans="1:14" ht="27" hidden="1">
      <c r="A1576" s="689">
        <v>29</v>
      </c>
      <c r="B1576" s="1119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1146" t="s">
        <v>41</v>
      </c>
      <c r="L1576" s="136" t="s">
        <v>15</v>
      </c>
      <c r="M1576" s="1125">
        <v>250000</v>
      </c>
      <c r="N1576" s="646" t="s">
        <v>6615</v>
      </c>
    </row>
    <row r="1577" spans="1:14" hidden="1">
      <c r="A1577" s="689">
        <v>29</v>
      </c>
      <c r="B1577" s="1119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1147"/>
      <c r="L1577" s="136" t="s">
        <v>15</v>
      </c>
      <c r="M1577" s="1126"/>
      <c r="N1577" s="646" t="s">
        <v>6616</v>
      </c>
    </row>
    <row r="1578" spans="1:14" hidden="1">
      <c r="A1578" s="689">
        <v>29</v>
      </c>
      <c r="B1578" s="1119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29">
        <v>300000</v>
      </c>
      <c r="N1578" s="646" t="s">
        <v>6617</v>
      </c>
    </row>
    <row r="1579" spans="1:14" hidden="1">
      <c r="A1579" s="689">
        <v>29</v>
      </c>
      <c r="B1579" s="1119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08" t="s">
        <v>2828</v>
      </c>
      <c r="L1579" s="136" t="s">
        <v>15</v>
      </c>
      <c r="M1579" s="729">
        <v>250000</v>
      </c>
      <c r="N1579" s="646" t="s">
        <v>6611</v>
      </c>
    </row>
    <row r="1580" spans="1:14" hidden="1">
      <c r="A1580" s="689">
        <v>29</v>
      </c>
      <c r="B1580" s="1119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29">
        <v>250000</v>
      </c>
      <c r="N1580" s="646" t="s">
        <v>6619</v>
      </c>
    </row>
    <row r="1581" spans="1:14" hidden="1">
      <c r="A1581" s="689">
        <v>29</v>
      </c>
      <c r="B1581" s="1119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1136" t="s">
        <v>686</v>
      </c>
      <c r="L1581" s="125" t="s">
        <v>15</v>
      </c>
      <c r="M1581" s="1125">
        <v>250000</v>
      </c>
      <c r="N1581" s="646" t="s">
        <v>6737</v>
      </c>
    </row>
    <row r="1582" spans="1:14" hidden="1">
      <c r="A1582" s="689">
        <v>29</v>
      </c>
      <c r="B1582" s="1119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1138"/>
      <c r="L1582" s="125" t="s">
        <v>15</v>
      </c>
      <c r="M1582" s="1126"/>
      <c r="N1582" s="646" t="s">
        <v>6620</v>
      </c>
    </row>
    <row r="1583" spans="1:14" hidden="1">
      <c r="A1583" s="689">
        <v>29</v>
      </c>
      <c r="B1583" s="1119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1136" t="s">
        <v>686</v>
      </c>
      <c r="L1583" s="125" t="s">
        <v>15</v>
      </c>
      <c r="M1583" s="1125">
        <v>250000</v>
      </c>
      <c r="N1583" s="646" t="s">
        <v>6737</v>
      </c>
    </row>
    <row r="1584" spans="1:14" hidden="1">
      <c r="A1584" s="689">
        <v>29</v>
      </c>
      <c r="B1584" s="1119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1138"/>
      <c r="L1584" s="125" t="s">
        <v>15</v>
      </c>
      <c r="M1584" s="1126"/>
      <c r="N1584" s="646" t="s">
        <v>6621</v>
      </c>
    </row>
    <row r="1585" spans="1:14" hidden="1">
      <c r="A1585" s="689">
        <v>30</v>
      </c>
      <c r="B1585" s="948" t="s">
        <v>20</v>
      </c>
      <c r="C1585" s="399">
        <v>46230</v>
      </c>
      <c r="D1585" s="721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698"/>
      <c r="M1585" s="677">
        <v>250000</v>
      </c>
      <c r="N1585" s="646"/>
    </row>
    <row r="1586" spans="1:14" ht="24" hidden="1">
      <c r="A1586" s="689">
        <v>30</v>
      </c>
      <c r="B1586" s="948"/>
      <c r="C1586" s="640" t="s">
        <v>6655</v>
      </c>
      <c r="D1586" s="721" t="s">
        <v>6657</v>
      </c>
      <c r="E1586" s="632" t="s">
        <v>6658</v>
      </c>
      <c r="F1586" s="633" t="s">
        <v>6660</v>
      </c>
      <c r="G1586" s="708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698"/>
      <c r="M1586" s="677">
        <v>500000</v>
      </c>
      <c r="N1586" s="646"/>
    </row>
    <row r="1587" spans="1:14" hidden="1">
      <c r="A1587" s="689">
        <v>30</v>
      </c>
      <c r="B1587" s="948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2">
        <v>300000</v>
      </c>
      <c r="N1587" s="646" t="s">
        <v>6653</v>
      </c>
    </row>
    <row r="1588" spans="1:14" hidden="1">
      <c r="A1588" s="689">
        <v>30</v>
      </c>
      <c r="B1588" s="948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2">
        <v>250000</v>
      </c>
      <c r="N1588" s="769"/>
    </row>
    <row r="1589" spans="1:14" hidden="1">
      <c r="A1589" s="689">
        <v>30</v>
      </c>
      <c r="B1589" s="948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2">
        <v>550000</v>
      </c>
      <c r="N1589" s="646"/>
    </row>
    <row r="1590" spans="1:14" hidden="1">
      <c r="A1590" s="689">
        <v>30</v>
      </c>
      <c r="B1590" s="948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2">
        <v>250000</v>
      </c>
      <c r="N1590" s="646"/>
    </row>
    <row r="1591" spans="1:14" hidden="1">
      <c r="A1591" s="689">
        <v>30</v>
      </c>
      <c r="B1591" s="948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2">
        <v>250000</v>
      </c>
      <c r="N1591" s="646"/>
    </row>
    <row r="1592" spans="1:14" hidden="1">
      <c r="A1592" s="689">
        <v>30</v>
      </c>
      <c r="B1592" s="948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2">
        <v>250000</v>
      </c>
      <c r="N1592" s="646"/>
    </row>
    <row r="1593" spans="1:14" hidden="1">
      <c r="A1593" s="689">
        <v>31</v>
      </c>
      <c r="B1593" s="770" t="s">
        <v>20</v>
      </c>
      <c r="C1593" s="399" t="s">
        <v>6719</v>
      </c>
      <c r="D1593" s="721" t="s">
        <v>124</v>
      </c>
      <c r="E1593" s="632" t="s">
        <v>151</v>
      </c>
      <c r="F1593" s="633" t="s">
        <v>5254</v>
      </c>
      <c r="G1593" s="734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698"/>
      <c r="M1593" s="677">
        <f>250000*3</f>
        <v>750000</v>
      </c>
      <c r="N1593" s="646"/>
    </row>
    <row r="1594" spans="1:14" hidden="1">
      <c r="A1594" s="689">
        <v>31</v>
      </c>
      <c r="B1594" s="948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2">
        <v>250000</v>
      </c>
      <c r="N1594" s="1144" t="s">
        <v>6721</v>
      </c>
    </row>
    <row r="1595" spans="1:14" hidden="1">
      <c r="A1595" s="689">
        <v>31</v>
      </c>
      <c r="B1595" s="948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2">
        <v>250000</v>
      </c>
      <c r="N1595" s="1148"/>
    </row>
    <row r="1596" spans="1:14" hidden="1">
      <c r="A1596" s="689">
        <v>31</v>
      </c>
      <c r="B1596" s="948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2">
        <v>550000</v>
      </c>
      <c r="N1596" s="1148"/>
    </row>
    <row r="1597" spans="1:14" hidden="1">
      <c r="A1597" s="689">
        <v>31</v>
      </c>
      <c r="B1597" s="948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2">
        <v>250000</v>
      </c>
      <c r="N1597" s="1148"/>
    </row>
    <row r="1598" spans="1:14" hidden="1">
      <c r="A1598" s="689">
        <v>31</v>
      </c>
      <c r="B1598" s="948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2">
        <v>250000</v>
      </c>
      <c r="N1598" s="1145"/>
    </row>
    <row r="1599" spans="1:14" hidden="1">
      <c r="A1599" s="689">
        <v>31</v>
      </c>
      <c r="B1599" s="948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2">
        <v>300000</v>
      </c>
      <c r="N1599" s="646" t="s">
        <v>127</v>
      </c>
    </row>
    <row r="1600" spans="1:14" ht="27" hidden="1">
      <c r="A1600" s="689">
        <v>32</v>
      </c>
      <c r="B1600" s="948" t="s">
        <v>20</v>
      </c>
      <c r="C1600" s="399" t="s">
        <v>6815</v>
      </c>
      <c r="D1600" s="721" t="s">
        <v>219</v>
      </c>
      <c r="E1600" s="632" t="s">
        <v>151</v>
      </c>
      <c r="F1600" s="633" t="s">
        <v>5254</v>
      </c>
      <c r="G1600" s="645" t="s">
        <v>6816</v>
      </c>
      <c r="H1600" s="645" t="s">
        <v>263</v>
      </c>
      <c r="I1600" s="634" t="s">
        <v>6817</v>
      </c>
      <c r="J1600" s="633" t="s">
        <v>737</v>
      </c>
      <c r="K1600" s="634" t="s">
        <v>3035</v>
      </c>
      <c r="L1600" s="698" t="s">
        <v>6818</v>
      </c>
      <c r="M1600" s="677">
        <f>250000*5</f>
        <v>1250000</v>
      </c>
      <c r="N1600" s="26"/>
    </row>
    <row r="1601" spans="1:14" ht="27" hidden="1">
      <c r="A1601" s="689">
        <v>32</v>
      </c>
      <c r="B1601" s="948"/>
      <c r="C1601" s="399" t="s">
        <v>6821</v>
      </c>
      <c r="D1601" s="721" t="s">
        <v>219</v>
      </c>
      <c r="E1601" s="632" t="s">
        <v>151</v>
      </c>
      <c r="F1601" s="633" t="s">
        <v>5254</v>
      </c>
      <c r="G1601" s="734" t="s">
        <v>5847</v>
      </c>
      <c r="H1601" s="645" t="s">
        <v>6819</v>
      </c>
      <c r="I1601" s="634" t="s">
        <v>6823</v>
      </c>
      <c r="J1601" s="633" t="s">
        <v>6825</v>
      </c>
      <c r="K1601" s="634" t="s">
        <v>3702</v>
      </c>
      <c r="L1601" s="698" t="s">
        <v>6818</v>
      </c>
      <c r="M1601" s="677">
        <f>250000*2</f>
        <v>500000</v>
      </c>
      <c r="N1601" s="26"/>
    </row>
    <row r="1602" spans="1:14" ht="27" hidden="1">
      <c r="A1602" s="689">
        <v>32</v>
      </c>
      <c r="B1602" s="948"/>
      <c r="C1602" s="399" t="s">
        <v>6822</v>
      </c>
      <c r="D1602" s="721" t="s">
        <v>219</v>
      </c>
      <c r="E1602" s="632" t="s">
        <v>151</v>
      </c>
      <c r="F1602" s="633" t="s">
        <v>5254</v>
      </c>
      <c r="G1602" s="734">
        <v>308</v>
      </c>
      <c r="H1602" s="645" t="s">
        <v>6820</v>
      </c>
      <c r="I1602" s="634" t="s">
        <v>6824</v>
      </c>
      <c r="J1602" s="633" t="s">
        <v>168</v>
      </c>
      <c r="K1602" s="634" t="s">
        <v>4943</v>
      </c>
      <c r="L1602" s="698" t="s">
        <v>6818</v>
      </c>
      <c r="M1602" s="677">
        <f>250000*3</f>
        <v>750000</v>
      </c>
      <c r="N1602" s="26"/>
    </row>
    <row r="1603" spans="1:14" ht="27" hidden="1">
      <c r="A1603" s="689">
        <v>32</v>
      </c>
      <c r="B1603" s="948"/>
      <c r="C1603" s="399" t="s">
        <v>6828</v>
      </c>
      <c r="D1603" s="721" t="s">
        <v>219</v>
      </c>
      <c r="E1603" s="632" t="s">
        <v>151</v>
      </c>
      <c r="F1603" s="633" t="s">
        <v>5254</v>
      </c>
      <c r="G1603" s="734">
        <v>308</v>
      </c>
      <c r="H1603" s="645" t="s">
        <v>6820</v>
      </c>
      <c r="I1603" s="634" t="s">
        <v>6829</v>
      </c>
      <c r="J1603" s="633" t="s">
        <v>90</v>
      </c>
      <c r="K1603" s="634" t="s">
        <v>6830</v>
      </c>
      <c r="L1603" s="698"/>
      <c r="M1603" s="677">
        <f>250000*3</f>
        <v>750000</v>
      </c>
      <c r="N1603" s="26"/>
    </row>
    <row r="1604" spans="1:14" hidden="1">
      <c r="A1604" s="689">
        <v>32</v>
      </c>
      <c r="B1604" s="948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6826</v>
      </c>
      <c r="J1604" s="31" t="s">
        <v>168</v>
      </c>
      <c r="K1604" s="31" t="s">
        <v>6783</v>
      </c>
      <c r="L1604" s="125" t="s">
        <v>15</v>
      </c>
      <c r="M1604" s="752">
        <v>250000</v>
      </c>
      <c r="N1604" s="26"/>
    </row>
    <row r="1605" spans="1:14" hidden="1">
      <c r="A1605" s="689">
        <v>32</v>
      </c>
      <c r="B1605" s="948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6827</v>
      </c>
      <c r="J1605" s="31" t="s">
        <v>168</v>
      </c>
      <c r="K1605" s="31" t="s">
        <v>6783</v>
      </c>
      <c r="L1605" s="125" t="s">
        <v>15</v>
      </c>
      <c r="M1605" s="752">
        <v>250000</v>
      </c>
      <c r="N1605" s="26"/>
    </row>
    <row r="1606" spans="1:14" hidden="1">
      <c r="A1606" s="689">
        <v>32</v>
      </c>
      <c r="B1606" s="948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2">
        <v>250000</v>
      </c>
      <c r="N1606" s="26"/>
    </row>
    <row r="1607" spans="1:14" ht="27" hidden="1">
      <c r="A1607" s="689">
        <v>32</v>
      </c>
      <c r="B1607" s="948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2">
        <v>250000</v>
      </c>
      <c r="N1607" s="26"/>
    </row>
    <row r="1608" spans="1:14" hidden="1">
      <c r="A1608" s="689">
        <v>32</v>
      </c>
      <c r="B1608" s="948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2">
        <v>500000</v>
      </c>
      <c r="N1608" s="26"/>
    </row>
    <row r="1609" spans="1:14" ht="27" hidden="1">
      <c r="A1609" s="689">
        <v>32</v>
      </c>
      <c r="B1609" s="948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6831</v>
      </c>
      <c r="J1609" s="31"/>
      <c r="K1609" s="31" t="s">
        <v>6778</v>
      </c>
      <c r="L1609" s="277" t="s">
        <v>6779</v>
      </c>
      <c r="M1609" s="752">
        <v>300000</v>
      </c>
      <c r="N1609" s="26"/>
    </row>
    <row r="1610" spans="1:14" ht="27" hidden="1">
      <c r="A1610" s="689">
        <v>32</v>
      </c>
      <c r="B1610" s="948"/>
      <c r="C1610" s="369">
        <v>46249</v>
      </c>
      <c r="D1610" s="4" t="s">
        <v>21</v>
      </c>
      <c r="E1610" s="4" t="s">
        <v>14</v>
      </c>
      <c r="F1610" s="31" t="s">
        <v>6811</v>
      </c>
      <c r="G1610" s="31" t="s">
        <v>6812</v>
      </c>
      <c r="H1610" s="16" t="s">
        <v>6806</v>
      </c>
      <c r="I1610" s="193" t="s">
        <v>6814</v>
      </c>
      <c r="J1610" s="31" t="s">
        <v>6813</v>
      </c>
      <c r="K1610" s="31" t="s">
        <v>641</v>
      </c>
      <c r="L1610" s="277" t="s">
        <v>6779</v>
      </c>
      <c r="M1610" s="752">
        <v>500000</v>
      </c>
      <c r="N1610" s="26"/>
    </row>
    <row r="1611" spans="1:14" ht="24" hidden="1">
      <c r="A1611" s="689">
        <v>33</v>
      </c>
      <c r="B1611" s="948" t="s">
        <v>307</v>
      </c>
      <c r="C1611" s="645" t="s">
        <v>6902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6903</v>
      </c>
      <c r="I1611" s="647" t="s">
        <v>6904</v>
      </c>
      <c r="J1611" s="647" t="s">
        <v>664</v>
      </c>
      <c r="K1611" s="647" t="s">
        <v>5769</v>
      </c>
      <c r="L1611" s="646" t="s">
        <v>324</v>
      </c>
      <c r="M1611" s="677">
        <v>1000000</v>
      </c>
      <c r="N1611" s="646"/>
    </row>
    <row r="1612" spans="1:14" ht="24" hidden="1">
      <c r="A1612" s="689">
        <v>33</v>
      </c>
      <c r="B1612" s="948"/>
      <c r="C1612" s="645" t="s">
        <v>6905</v>
      </c>
      <c r="D1612" s="637" t="s">
        <v>306</v>
      </c>
      <c r="E1612" s="637" t="s">
        <v>322</v>
      </c>
      <c r="F1612" s="647" t="s">
        <v>5400</v>
      </c>
      <c r="G1612" s="734" t="s">
        <v>6893</v>
      </c>
      <c r="H1612" s="645" t="s">
        <v>329</v>
      </c>
      <c r="I1612" s="647" t="s">
        <v>6906</v>
      </c>
      <c r="J1612" s="647" t="s">
        <v>1534</v>
      </c>
      <c r="K1612" s="647" t="s">
        <v>3101</v>
      </c>
      <c r="L1612" s="646" t="s">
        <v>324</v>
      </c>
      <c r="M1612" s="677">
        <v>500000</v>
      </c>
      <c r="N1612" s="646"/>
    </row>
    <row r="1613" spans="1:14" ht="24" hidden="1">
      <c r="A1613" s="689">
        <v>33</v>
      </c>
      <c r="B1613" s="948"/>
      <c r="C1613" s="645" t="s">
        <v>6907</v>
      </c>
      <c r="D1613" s="637" t="s">
        <v>306</v>
      </c>
      <c r="E1613" s="637" t="s">
        <v>322</v>
      </c>
      <c r="F1613" s="647" t="s">
        <v>5400</v>
      </c>
      <c r="G1613" s="734" t="s">
        <v>5766</v>
      </c>
      <c r="H1613" s="645" t="s">
        <v>6908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77">
        <v>500000</v>
      </c>
      <c r="N1613" s="646"/>
    </row>
    <row r="1614" spans="1:14" hidden="1">
      <c r="A1614" s="689">
        <v>33</v>
      </c>
      <c r="B1614" s="948" t="s">
        <v>311</v>
      </c>
      <c r="C1614" s="645" t="s">
        <v>6909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6910</v>
      </c>
      <c r="J1614" s="645" t="s">
        <v>5447</v>
      </c>
      <c r="K1614" s="645" t="s">
        <v>713</v>
      </c>
      <c r="L1614" s="646" t="s">
        <v>309</v>
      </c>
      <c r="M1614" s="677">
        <v>250000</v>
      </c>
      <c r="N1614" s="646" t="s">
        <v>1206</v>
      </c>
    </row>
    <row r="1615" spans="1:14" hidden="1">
      <c r="A1615" s="689">
        <v>33</v>
      </c>
      <c r="B1615" s="948"/>
      <c r="C1615" s="645" t="s">
        <v>6909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6911</v>
      </c>
      <c r="J1615" s="645"/>
      <c r="K1615" s="645" t="s">
        <v>6912</v>
      </c>
      <c r="L1615" s="646" t="s">
        <v>309</v>
      </c>
      <c r="M1615" s="677">
        <v>550000</v>
      </c>
      <c r="N1615" s="646" t="s">
        <v>726</v>
      </c>
    </row>
    <row r="1616" spans="1:14" hidden="1">
      <c r="A1616" s="689">
        <v>33</v>
      </c>
      <c r="B1616" s="948"/>
      <c r="C1616" s="645" t="s">
        <v>6913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6914</v>
      </c>
      <c r="J1616" s="645"/>
      <c r="K1616" s="645" t="s">
        <v>6912</v>
      </c>
      <c r="L1616" s="646" t="s">
        <v>309</v>
      </c>
      <c r="M1616" s="677">
        <v>550000</v>
      </c>
      <c r="N1616" s="646" t="s">
        <v>726</v>
      </c>
    </row>
    <row r="1617" spans="1:14" hidden="1">
      <c r="A1617" s="689">
        <v>33</v>
      </c>
      <c r="B1617" s="948"/>
      <c r="C1617" s="645" t="s">
        <v>6913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6915</v>
      </c>
      <c r="I1617" s="645" t="s">
        <v>6910</v>
      </c>
      <c r="J1617" s="645" t="s">
        <v>5447</v>
      </c>
      <c r="K1617" s="645" t="s">
        <v>713</v>
      </c>
      <c r="L1617" s="646" t="s">
        <v>309</v>
      </c>
      <c r="M1617" s="677">
        <v>250000</v>
      </c>
      <c r="N1617" s="646" t="s">
        <v>1206</v>
      </c>
    </row>
    <row r="1618" spans="1:14" hidden="1">
      <c r="A1618" s="689">
        <v>33</v>
      </c>
      <c r="B1618" s="948"/>
      <c r="C1618" s="645" t="s">
        <v>6916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6843</v>
      </c>
      <c r="J1618" s="645"/>
      <c r="K1618" s="645" t="s">
        <v>6917</v>
      </c>
      <c r="L1618" s="646" t="s">
        <v>309</v>
      </c>
      <c r="M1618" s="677">
        <v>500000</v>
      </c>
      <c r="N1618" s="646" t="s">
        <v>726</v>
      </c>
    </row>
    <row r="1619" spans="1:14" hidden="1">
      <c r="A1619" s="689">
        <v>33</v>
      </c>
      <c r="B1619" s="948"/>
      <c r="C1619" s="645" t="s">
        <v>6916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6910</v>
      </c>
      <c r="J1619" s="645" t="s">
        <v>5447</v>
      </c>
      <c r="K1619" s="645" t="s">
        <v>713</v>
      </c>
      <c r="L1619" s="646" t="s">
        <v>309</v>
      </c>
      <c r="M1619" s="677">
        <v>250000</v>
      </c>
      <c r="N1619" s="646" t="s">
        <v>1206</v>
      </c>
    </row>
    <row r="1620" spans="1:14" hidden="1">
      <c r="A1620" s="689">
        <v>33</v>
      </c>
      <c r="B1620" s="948"/>
      <c r="C1620" s="645" t="s">
        <v>6918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6919</v>
      </c>
      <c r="J1620" s="645" t="s">
        <v>5447</v>
      </c>
      <c r="K1620" s="645" t="s">
        <v>6920</v>
      </c>
      <c r="L1620" s="646" t="s">
        <v>309</v>
      </c>
      <c r="M1620" s="677">
        <v>250000</v>
      </c>
      <c r="N1620" s="646" t="s">
        <v>726</v>
      </c>
    </row>
    <row r="1621" spans="1:14" hidden="1">
      <c r="A1621" s="689">
        <v>33</v>
      </c>
      <c r="B1621" s="948"/>
      <c r="C1621" s="645" t="s">
        <v>6918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6885</v>
      </c>
      <c r="J1621" s="645"/>
      <c r="K1621" s="645" t="s">
        <v>692</v>
      </c>
      <c r="L1621" s="646" t="s">
        <v>309</v>
      </c>
      <c r="M1621" s="677">
        <v>500000</v>
      </c>
      <c r="N1621" s="646" t="s">
        <v>1206</v>
      </c>
    </row>
    <row r="1622" spans="1:14" ht="27" hidden="1">
      <c r="A1622" s="803">
        <v>34</v>
      </c>
      <c r="B1622" s="948" t="s">
        <v>20</v>
      </c>
      <c r="C1622" s="369" t="s">
        <v>6888</v>
      </c>
      <c r="D1622" s="721" t="s">
        <v>49</v>
      </c>
      <c r="E1622" s="632" t="s">
        <v>25</v>
      </c>
      <c r="F1622" s="633" t="s">
        <v>5254</v>
      </c>
      <c r="G1622" s="787">
        <v>7065</v>
      </c>
      <c r="H1622" s="787" t="s">
        <v>6889</v>
      </c>
      <c r="I1622" s="789" t="s">
        <v>3020</v>
      </c>
      <c r="J1622" s="633" t="s">
        <v>168</v>
      </c>
      <c r="K1622" s="789" t="s">
        <v>3035</v>
      </c>
      <c r="L1622" s="698" t="s">
        <v>209</v>
      </c>
      <c r="M1622" s="788">
        <f>250000*5</f>
        <v>1250000</v>
      </c>
      <c r="N1622" s="646"/>
    </row>
    <row r="1623" spans="1:14" ht="27" hidden="1">
      <c r="A1623" s="803">
        <v>34</v>
      </c>
      <c r="B1623" s="948"/>
      <c r="C1623" s="369" t="s">
        <v>6891</v>
      </c>
      <c r="D1623" s="721" t="s">
        <v>5524</v>
      </c>
      <c r="E1623" s="632" t="s">
        <v>25</v>
      </c>
      <c r="F1623" s="633" t="s">
        <v>5254</v>
      </c>
      <c r="G1623" s="787">
        <v>2688</v>
      </c>
      <c r="H1623" s="787" t="s">
        <v>18</v>
      </c>
      <c r="I1623" s="789" t="s">
        <v>6890</v>
      </c>
      <c r="J1623" s="633" t="s">
        <v>168</v>
      </c>
      <c r="K1623" s="772" t="s">
        <v>3004</v>
      </c>
      <c r="L1623" s="698" t="s">
        <v>4875</v>
      </c>
      <c r="M1623" s="788">
        <f>250000*3</f>
        <v>750000</v>
      </c>
      <c r="N1623" s="646"/>
    </row>
    <row r="1624" spans="1:14" ht="27" hidden="1">
      <c r="A1624" s="803">
        <v>34</v>
      </c>
      <c r="B1624" s="948"/>
      <c r="C1624" s="369" t="s">
        <v>6892</v>
      </c>
      <c r="D1624" s="721" t="s">
        <v>49</v>
      </c>
      <c r="E1624" s="632" t="s">
        <v>25</v>
      </c>
      <c r="F1624" s="633" t="s">
        <v>5254</v>
      </c>
      <c r="G1624" s="787">
        <v>7062</v>
      </c>
      <c r="H1624" s="787" t="s">
        <v>143</v>
      </c>
      <c r="I1624" s="789" t="s">
        <v>1105</v>
      </c>
      <c r="J1624" s="633" t="s">
        <v>1259</v>
      </c>
      <c r="K1624" s="772" t="s">
        <v>3716</v>
      </c>
      <c r="L1624" s="698" t="s">
        <v>209</v>
      </c>
      <c r="M1624" s="788">
        <f>250000*4</f>
        <v>1000000</v>
      </c>
      <c r="N1624" s="646"/>
    </row>
    <row r="1625" spans="1:14" hidden="1">
      <c r="A1625" s="803">
        <v>34</v>
      </c>
      <c r="B1625" s="948" t="s">
        <v>21</v>
      </c>
      <c r="C1625" s="369">
        <v>46258</v>
      </c>
      <c r="D1625" s="4" t="s">
        <v>21</v>
      </c>
      <c r="E1625" s="4" t="s">
        <v>70</v>
      </c>
      <c r="F1625" s="786" t="s">
        <v>78</v>
      </c>
      <c r="G1625" s="786" t="s">
        <v>3833</v>
      </c>
      <c r="H1625" s="16" t="s">
        <v>207</v>
      </c>
      <c r="I1625" s="791" t="s">
        <v>6878</v>
      </c>
      <c r="J1625" s="786" t="s">
        <v>202</v>
      </c>
      <c r="K1625" s="786" t="s">
        <v>6880</v>
      </c>
      <c r="L1625" s="125" t="s">
        <v>15</v>
      </c>
      <c r="M1625" s="752">
        <v>300000</v>
      </c>
      <c r="N1625" s="646" t="s">
        <v>127</v>
      </c>
    </row>
    <row r="1626" spans="1:14" ht="27" hidden="1">
      <c r="A1626" s="803">
        <v>34</v>
      </c>
      <c r="B1626" s="948"/>
      <c r="C1626" s="369">
        <v>46258</v>
      </c>
      <c r="D1626" s="4" t="s">
        <v>21</v>
      </c>
      <c r="E1626" s="4" t="s">
        <v>14</v>
      </c>
      <c r="F1626" s="786" t="s">
        <v>211</v>
      </c>
      <c r="G1626" s="786" t="s">
        <v>2916</v>
      </c>
      <c r="H1626" s="16" t="s">
        <v>2917</v>
      </c>
      <c r="I1626" s="791" t="s">
        <v>6887</v>
      </c>
      <c r="J1626" s="786" t="s">
        <v>6520</v>
      </c>
      <c r="K1626" s="786" t="s">
        <v>2838</v>
      </c>
      <c r="L1626" s="125" t="s">
        <v>15</v>
      </c>
      <c r="M1626" s="752">
        <v>500000</v>
      </c>
      <c r="N1626" s="646" t="s">
        <v>583</v>
      </c>
    </row>
    <row r="1627" spans="1:14" hidden="1">
      <c r="A1627" s="803">
        <v>34</v>
      </c>
      <c r="B1627" s="948"/>
      <c r="C1627" s="369">
        <v>46258</v>
      </c>
      <c r="D1627" s="4" t="s">
        <v>21</v>
      </c>
      <c r="E1627" s="4" t="s">
        <v>14</v>
      </c>
      <c r="F1627" s="786" t="s">
        <v>149</v>
      </c>
      <c r="G1627" s="786" t="s">
        <v>3415</v>
      </c>
      <c r="H1627" s="16" t="s">
        <v>23</v>
      </c>
      <c r="I1627" s="791" t="s">
        <v>6883</v>
      </c>
      <c r="J1627" s="786"/>
      <c r="K1627" s="786" t="s">
        <v>6870</v>
      </c>
      <c r="L1627" s="125" t="s">
        <v>15</v>
      </c>
      <c r="M1627" s="752">
        <v>500000</v>
      </c>
      <c r="N1627" s="646" t="s">
        <v>128</v>
      </c>
    </row>
    <row r="1628" spans="1:14" hidden="1">
      <c r="A1628" s="803">
        <v>34</v>
      </c>
      <c r="B1628" s="948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6864</v>
      </c>
      <c r="J1628" s="786"/>
      <c r="K1628" s="786" t="s">
        <v>6870</v>
      </c>
      <c r="L1628" s="125" t="s">
        <v>15</v>
      </c>
      <c r="M1628" s="752">
        <v>500000</v>
      </c>
      <c r="N1628" s="646" t="s">
        <v>128</v>
      </c>
    </row>
    <row r="1629" spans="1:14" hidden="1">
      <c r="A1629" s="803">
        <v>34</v>
      </c>
      <c r="B1629" s="948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6868</v>
      </c>
      <c r="J1629" s="791" t="s">
        <v>6871</v>
      </c>
      <c r="K1629" s="786" t="s">
        <v>641</v>
      </c>
      <c r="L1629" s="125" t="s">
        <v>15</v>
      </c>
      <c r="M1629" s="752">
        <v>500000</v>
      </c>
      <c r="N1629" s="646" t="s">
        <v>128</v>
      </c>
    </row>
    <row r="1630" spans="1:14" hidden="1">
      <c r="A1630" s="803">
        <v>34</v>
      </c>
      <c r="B1630" s="948"/>
      <c r="C1630" s="369">
        <v>46261</v>
      </c>
      <c r="D1630" s="4" t="s">
        <v>21</v>
      </c>
      <c r="E1630" s="4" t="s">
        <v>70</v>
      </c>
      <c r="F1630" s="786" t="s">
        <v>1787</v>
      </c>
      <c r="G1630" s="786" t="s">
        <v>2978</v>
      </c>
      <c r="H1630" s="16" t="s">
        <v>40</v>
      </c>
      <c r="I1630" s="791" t="s">
        <v>396</v>
      </c>
      <c r="J1630" s="786" t="s">
        <v>1948</v>
      </c>
      <c r="K1630" s="791" t="s">
        <v>686</v>
      </c>
      <c r="L1630" s="125" t="s">
        <v>15</v>
      </c>
      <c r="M1630" s="752">
        <v>250000</v>
      </c>
      <c r="N1630" s="646" t="s">
        <v>128</v>
      </c>
    </row>
    <row r="1631" spans="1:14" hidden="1">
      <c r="A1631" s="803">
        <v>34</v>
      </c>
      <c r="B1631" s="948"/>
      <c r="C1631" s="369">
        <v>46262</v>
      </c>
      <c r="D1631" s="4" t="s">
        <v>64</v>
      </c>
      <c r="E1631" s="4" t="s">
        <v>17</v>
      </c>
      <c r="F1631" s="786" t="s">
        <v>100</v>
      </c>
      <c r="G1631" s="786" t="s">
        <v>6666</v>
      </c>
      <c r="H1631" s="16" t="s">
        <v>207</v>
      </c>
      <c r="I1631" s="791" t="s">
        <v>6867</v>
      </c>
      <c r="J1631" s="786"/>
      <c r="K1631" s="404" t="s">
        <v>641</v>
      </c>
      <c r="L1631" s="125" t="s">
        <v>15</v>
      </c>
      <c r="M1631" s="752">
        <v>500000</v>
      </c>
      <c r="N1631" s="646" t="s">
        <v>127</v>
      </c>
    </row>
    <row r="1632" spans="1:14" hidden="1">
      <c r="A1632" s="803">
        <v>35</v>
      </c>
      <c r="B1632" s="948" t="s">
        <v>20</v>
      </c>
      <c r="C1632" s="399">
        <v>46263</v>
      </c>
      <c r="D1632" s="721" t="s">
        <v>6707</v>
      </c>
      <c r="E1632" s="632" t="s">
        <v>1604</v>
      </c>
      <c r="F1632" s="633" t="s">
        <v>5254</v>
      </c>
      <c r="G1632" s="794" t="s">
        <v>5754</v>
      </c>
      <c r="H1632" s="794" t="s">
        <v>18</v>
      </c>
      <c r="I1632" s="797" t="s">
        <v>3402</v>
      </c>
      <c r="J1632" s="633" t="s">
        <v>2172</v>
      </c>
      <c r="K1632" s="772" t="s">
        <v>2828</v>
      </c>
      <c r="L1632" s="698" t="s">
        <v>475</v>
      </c>
      <c r="M1632" s="795">
        <v>250000</v>
      </c>
      <c r="N1632" s="646" t="s">
        <v>7020</v>
      </c>
    </row>
    <row r="1633" spans="1:14" hidden="1">
      <c r="A1633" s="803">
        <v>35</v>
      </c>
      <c r="B1633" s="948"/>
      <c r="C1633" s="399" t="s">
        <v>7017</v>
      </c>
      <c r="D1633" s="721" t="s">
        <v>6707</v>
      </c>
      <c r="E1633" s="632" t="s">
        <v>1604</v>
      </c>
      <c r="F1633" s="633" t="s">
        <v>5254</v>
      </c>
      <c r="G1633" s="794">
        <v>7065</v>
      </c>
      <c r="H1633" s="794" t="s">
        <v>7018</v>
      </c>
      <c r="I1633" s="797" t="s">
        <v>3020</v>
      </c>
      <c r="J1633" s="633" t="s">
        <v>1629</v>
      </c>
      <c r="K1633" s="735" t="s">
        <v>7019</v>
      </c>
      <c r="L1633" s="698" t="s">
        <v>475</v>
      </c>
      <c r="M1633" s="795">
        <f>250000*5</f>
        <v>1250000</v>
      </c>
      <c r="N1633" s="646"/>
    </row>
    <row r="1634" spans="1:14" hidden="1">
      <c r="A1634" s="803">
        <v>35</v>
      </c>
      <c r="B1634" s="948"/>
      <c r="C1634" s="399" t="s">
        <v>7021</v>
      </c>
      <c r="D1634" s="721" t="s">
        <v>6707</v>
      </c>
      <c r="E1634" s="632" t="s">
        <v>1604</v>
      </c>
      <c r="F1634" s="633" t="s">
        <v>5254</v>
      </c>
      <c r="G1634" s="794" t="s">
        <v>5754</v>
      </c>
      <c r="H1634" s="794" t="s">
        <v>18</v>
      </c>
      <c r="I1634" s="797" t="s">
        <v>3402</v>
      </c>
      <c r="J1634" s="633" t="s">
        <v>2172</v>
      </c>
      <c r="K1634" s="772" t="s">
        <v>2838</v>
      </c>
      <c r="L1634" s="698" t="s">
        <v>475</v>
      </c>
      <c r="M1634" s="795">
        <v>500000</v>
      </c>
      <c r="N1634" s="646"/>
    </row>
    <row r="1635" spans="1:14" hidden="1">
      <c r="A1635" s="803">
        <v>35</v>
      </c>
      <c r="B1635" s="948"/>
      <c r="C1635" s="399" t="s">
        <v>7022</v>
      </c>
      <c r="D1635" s="721" t="s">
        <v>6707</v>
      </c>
      <c r="E1635" s="632" t="s">
        <v>1604</v>
      </c>
      <c r="F1635" s="633" t="s">
        <v>5254</v>
      </c>
      <c r="G1635" s="794" t="s">
        <v>6075</v>
      </c>
      <c r="H1635" s="794" t="s">
        <v>6071</v>
      </c>
      <c r="I1635" s="797" t="s">
        <v>3402</v>
      </c>
      <c r="J1635" s="633" t="s">
        <v>2172</v>
      </c>
      <c r="K1635" s="772" t="s">
        <v>2838</v>
      </c>
      <c r="L1635" s="698" t="s">
        <v>475</v>
      </c>
      <c r="M1635" s="795">
        <v>500000</v>
      </c>
      <c r="N1635" s="646"/>
    </row>
    <row r="1636" spans="1:14" hidden="1">
      <c r="A1636" s="803">
        <v>35</v>
      </c>
      <c r="B1636" s="948" t="s">
        <v>21</v>
      </c>
      <c r="C1636" s="198">
        <v>46261</v>
      </c>
      <c r="D1636" s="3" t="s">
        <v>21</v>
      </c>
      <c r="E1636" s="3" t="s">
        <v>14</v>
      </c>
      <c r="F1636" s="454" t="s">
        <v>6927</v>
      </c>
      <c r="G1636" s="454" t="s">
        <v>3589</v>
      </c>
      <c r="H1636" s="459" t="s">
        <v>6929</v>
      </c>
      <c r="I1636" s="453" t="s">
        <v>6930</v>
      </c>
      <c r="J1636" s="454" t="s">
        <v>202</v>
      </c>
      <c r="K1636" s="453" t="s">
        <v>4225</v>
      </c>
      <c r="L1636" s="136" t="s">
        <v>15</v>
      </c>
      <c r="M1636" s="752">
        <v>300000</v>
      </c>
      <c r="N1636" s="1144" t="s">
        <v>7020</v>
      </c>
    </row>
    <row r="1637" spans="1:14" hidden="1">
      <c r="A1637" s="803">
        <v>35</v>
      </c>
      <c r="B1637" s="948"/>
      <c r="C1637" s="399">
        <v>46262</v>
      </c>
      <c r="D1637" s="3" t="s">
        <v>21</v>
      </c>
      <c r="E1637" s="3" t="s">
        <v>14</v>
      </c>
      <c r="F1637" s="454" t="s">
        <v>6927</v>
      </c>
      <c r="G1637" s="454" t="s">
        <v>3589</v>
      </c>
      <c r="H1637" s="459" t="s">
        <v>6929</v>
      </c>
      <c r="I1637" s="453" t="s">
        <v>6930</v>
      </c>
      <c r="J1637" s="454" t="s">
        <v>202</v>
      </c>
      <c r="K1637" s="453" t="s">
        <v>7346</v>
      </c>
      <c r="L1637" s="136" t="s">
        <v>15</v>
      </c>
      <c r="M1637" s="752">
        <v>800000</v>
      </c>
      <c r="N1637" s="1145"/>
    </row>
    <row r="1638" spans="1:14" hidden="1">
      <c r="A1638" s="803">
        <v>35</v>
      </c>
      <c r="B1638" s="948"/>
      <c r="C1638" s="399">
        <v>46265</v>
      </c>
      <c r="D1638" s="4" t="s">
        <v>138</v>
      </c>
      <c r="E1638" s="4" t="s">
        <v>14</v>
      </c>
      <c r="F1638" s="796" t="s">
        <v>107</v>
      </c>
      <c r="G1638" s="796">
        <v>179</v>
      </c>
      <c r="H1638" s="16" t="s">
        <v>1721</v>
      </c>
      <c r="I1638" s="799" t="s">
        <v>7008</v>
      </c>
      <c r="J1638" s="796" t="s">
        <v>4168</v>
      </c>
      <c r="K1638" s="796" t="s">
        <v>7348</v>
      </c>
      <c r="L1638" s="277" t="s">
        <v>15</v>
      </c>
      <c r="M1638" s="752">
        <v>500000</v>
      </c>
      <c r="N1638" s="646" t="s">
        <v>7023</v>
      </c>
    </row>
    <row r="1639" spans="1:14" hidden="1">
      <c r="A1639" s="803">
        <v>35</v>
      </c>
      <c r="B1639" s="948"/>
      <c r="C1639" s="399">
        <v>46265</v>
      </c>
      <c r="D1639" s="3" t="s">
        <v>21</v>
      </c>
      <c r="E1639" s="3" t="s">
        <v>14</v>
      </c>
      <c r="F1639" s="454" t="s">
        <v>211</v>
      </c>
      <c r="G1639" s="454" t="s">
        <v>2916</v>
      </c>
      <c r="H1639" s="459" t="s">
        <v>2917</v>
      </c>
      <c r="I1639" s="453" t="s">
        <v>1314</v>
      </c>
      <c r="J1639" s="453" t="s">
        <v>1948</v>
      </c>
      <c r="K1639" s="458" t="s">
        <v>2828</v>
      </c>
      <c r="L1639" s="136" t="s">
        <v>15</v>
      </c>
      <c r="M1639" s="752">
        <v>250000</v>
      </c>
      <c r="N1639" s="646" t="s">
        <v>1651</v>
      </c>
    </row>
    <row r="1640" spans="1:14" hidden="1">
      <c r="A1640" s="803">
        <v>35</v>
      </c>
      <c r="B1640" s="948"/>
      <c r="C1640" s="399">
        <v>46266</v>
      </c>
      <c r="D1640" s="4" t="s">
        <v>21</v>
      </c>
      <c r="E1640" s="4" t="s">
        <v>14</v>
      </c>
      <c r="F1640" s="796" t="s">
        <v>140</v>
      </c>
      <c r="G1640" s="796" t="s">
        <v>2959</v>
      </c>
      <c r="H1640" s="16" t="s">
        <v>1492</v>
      </c>
      <c r="I1640" s="799" t="s">
        <v>6949</v>
      </c>
      <c r="J1640" s="796" t="s">
        <v>1948</v>
      </c>
      <c r="K1640" s="708" t="s">
        <v>686</v>
      </c>
      <c r="L1640" s="125" t="s">
        <v>15</v>
      </c>
      <c r="M1640" s="752">
        <v>250000</v>
      </c>
      <c r="N1640" s="646" t="s">
        <v>5508</v>
      </c>
    </row>
    <row r="1641" spans="1:14" hidden="1">
      <c r="A1641" s="803">
        <v>35</v>
      </c>
      <c r="B1641" s="948"/>
      <c r="C1641" s="399">
        <v>46267</v>
      </c>
      <c r="D1641" s="4" t="s">
        <v>21</v>
      </c>
      <c r="E1641" s="4" t="s">
        <v>14</v>
      </c>
      <c r="F1641" s="796" t="s">
        <v>140</v>
      </c>
      <c r="G1641" s="796" t="s">
        <v>2959</v>
      </c>
      <c r="H1641" s="16" t="s">
        <v>143</v>
      </c>
      <c r="I1641" s="799" t="s">
        <v>6949</v>
      </c>
      <c r="J1641" s="796"/>
      <c r="K1641" s="708" t="s">
        <v>641</v>
      </c>
      <c r="L1641" s="125" t="s">
        <v>15</v>
      </c>
      <c r="M1641" s="752">
        <v>500000</v>
      </c>
      <c r="N1641" s="646" t="s">
        <v>5508</v>
      </c>
    </row>
    <row r="1642" spans="1:14" ht="27" hidden="1">
      <c r="A1642" s="803">
        <v>35</v>
      </c>
      <c r="B1642" s="948"/>
      <c r="C1642" s="399">
        <v>46268</v>
      </c>
      <c r="D1642" s="3" t="s">
        <v>21</v>
      </c>
      <c r="E1642" s="3" t="s">
        <v>17</v>
      </c>
      <c r="F1642" s="453" t="s">
        <v>6517</v>
      </c>
      <c r="G1642" s="454" t="s">
        <v>2653</v>
      </c>
      <c r="H1642" s="459" t="s">
        <v>102</v>
      </c>
      <c r="I1642" s="453" t="s">
        <v>6990</v>
      </c>
      <c r="J1642" s="453" t="s">
        <v>126</v>
      </c>
      <c r="K1642" s="884" t="s">
        <v>2828</v>
      </c>
      <c r="L1642" s="136" t="s">
        <v>15</v>
      </c>
      <c r="M1642" s="752">
        <v>250000</v>
      </c>
      <c r="N1642" s="646" t="s">
        <v>3904</v>
      </c>
    </row>
    <row r="1643" spans="1:14" hidden="1">
      <c r="A1643" s="803">
        <v>35</v>
      </c>
      <c r="B1643" s="948"/>
      <c r="C1643" s="399">
        <v>46268</v>
      </c>
      <c r="D1643" s="4" t="s">
        <v>21</v>
      </c>
      <c r="E1643" s="4" t="s">
        <v>14</v>
      </c>
      <c r="F1643" s="796" t="s">
        <v>140</v>
      </c>
      <c r="G1643" s="796" t="s">
        <v>2959</v>
      </c>
      <c r="H1643" s="16" t="s">
        <v>1895</v>
      </c>
      <c r="I1643" s="799" t="s">
        <v>6949</v>
      </c>
      <c r="J1643" s="796"/>
      <c r="K1643" s="708" t="s">
        <v>641</v>
      </c>
      <c r="L1643" s="125" t="s">
        <v>15</v>
      </c>
      <c r="M1643" s="752">
        <v>500000</v>
      </c>
      <c r="N1643" s="646" t="s">
        <v>5508</v>
      </c>
    </row>
    <row r="1644" spans="1:14" ht="27" hidden="1">
      <c r="A1644" s="803">
        <v>35</v>
      </c>
      <c r="B1644" s="948"/>
      <c r="C1644" s="399">
        <v>46269</v>
      </c>
      <c r="D1644" s="3" t="s">
        <v>21</v>
      </c>
      <c r="E1644" s="3" t="s">
        <v>17</v>
      </c>
      <c r="F1644" s="454" t="s">
        <v>5632</v>
      </c>
      <c r="G1644" s="453" t="s">
        <v>6995</v>
      </c>
      <c r="H1644" s="459" t="s">
        <v>23</v>
      </c>
      <c r="I1644" s="453" t="s">
        <v>6994</v>
      </c>
      <c r="J1644" s="453" t="s">
        <v>126</v>
      </c>
      <c r="K1644" s="454" t="s">
        <v>2828</v>
      </c>
      <c r="L1644" s="136" t="s">
        <v>15</v>
      </c>
      <c r="M1644" s="752">
        <v>250000</v>
      </c>
      <c r="N1644" s="646" t="s">
        <v>3904</v>
      </c>
    </row>
    <row r="1645" spans="1:14" ht="27" hidden="1">
      <c r="A1645" s="803">
        <v>35</v>
      </c>
      <c r="B1645" s="948"/>
      <c r="C1645" s="399">
        <v>46269</v>
      </c>
      <c r="D1645" s="3" t="s">
        <v>21</v>
      </c>
      <c r="E1645" s="3" t="s">
        <v>14</v>
      </c>
      <c r="F1645" s="454" t="s">
        <v>1787</v>
      </c>
      <c r="G1645" s="454" t="s">
        <v>2978</v>
      </c>
      <c r="H1645" s="459" t="s">
        <v>23</v>
      </c>
      <c r="I1645" s="453" t="s">
        <v>7001</v>
      </c>
      <c r="J1645" s="454" t="s">
        <v>1948</v>
      </c>
      <c r="K1645" s="708" t="s">
        <v>641</v>
      </c>
      <c r="L1645" s="125" t="s">
        <v>15</v>
      </c>
      <c r="M1645" s="752">
        <v>500000</v>
      </c>
      <c r="N1645" s="646" t="s">
        <v>5508</v>
      </c>
    </row>
    <row r="1646" spans="1:14" hidden="1">
      <c r="A1646" s="803">
        <v>36</v>
      </c>
      <c r="B1646" s="948" t="s">
        <v>20</v>
      </c>
      <c r="C1646" s="369">
        <v>46270</v>
      </c>
      <c r="D1646" s="721" t="s">
        <v>6707</v>
      </c>
      <c r="E1646" s="632" t="s">
        <v>25</v>
      </c>
      <c r="F1646" s="633" t="s">
        <v>5254</v>
      </c>
      <c r="G1646" s="807" t="s">
        <v>7080</v>
      </c>
      <c r="H1646" s="807" t="s">
        <v>7081</v>
      </c>
      <c r="I1646" s="815" t="s">
        <v>3715</v>
      </c>
      <c r="J1646" s="633" t="s">
        <v>4918</v>
      </c>
      <c r="K1646" s="772" t="s">
        <v>3775</v>
      </c>
      <c r="L1646" s="698" t="s">
        <v>1356</v>
      </c>
      <c r="M1646" s="810">
        <f>250000</f>
        <v>250000</v>
      </c>
      <c r="N1646" s="646" t="s">
        <v>7090</v>
      </c>
    </row>
    <row r="1647" spans="1:14" hidden="1">
      <c r="A1647" s="803">
        <v>36</v>
      </c>
      <c r="B1647" s="948"/>
      <c r="C1647" s="369" t="s">
        <v>7079</v>
      </c>
      <c r="D1647" s="721" t="s">
        <v>6707</v>
      </c>
      <c r="E1647" s="632" t="s">
        <v>25</v>
      </c>
      <c r="F1647" s="633" t="s">
        <v>5254</v>
      </c>
      <c r="G1647" s="807" t="s">
        <v>7080</v>
      </c>
      <c r="H1647" s="807" t="s">
        <v>7081</v>
      </c>
      <c r="I1647" s="815" t="s">
        <v>3715</v>
      </c>
      <c r="J1647" s="633" t="s">
        <v>4918</v>
      </c>
      <c r="K1647" s="772" t="s">
        <v>4944</v>
      </c>
      <c r="L1647" s="698" t="s">
        <v>1356</v>
      </c>
      <c r="M1647" s="810">
        <f>250000*3</f>
        <v>750000</v>
      </c>
      <c r="N1647" s="646"/>
    </row>
    <row r="1648" spans="1:14" ht="27" hidden="1">
      <c r="A1648" s="803">
        <v>36</v>
      </c>
      <c r="B1648" s="948"/>
      <c r="C1648" s="369" t="s">
        <v>7082</v>
      </c>
      <c r="D1648" s="721" t="s">
        <v>6707</v>
      </c>
      <c r="E1648" s="632" t="s">
        <v>25</v>
      </c>
      <c r="F1648" s="633" t="s">
        <v>5254</v>
      </c>
      <c r="G1648" s="807" t="s">
        <v>7080</v>
      </c>
      <c r="H1648" s="807" t="s">
        <v>3758</v>
      </c>
      <c r="I1648" s="815" t="s">
        <v>3715</v>
      </c>
      <c r="J1648" s="633" t="s">
        <v>4918</v>
      </c>
      <c r="K1648" s="772" t="s">
        <v>3702</v>
      </c>
      <c r="L1648" s="698" t="s">
        <v>1356</v>
      </c>
      <c r="M1648" s="810">
        <f>250000*2</f>
        <v>500000</v>
      </c>
      <c r="N1648" s="646"/>
    </row>
    <row r="1649" spans="1:14" hidden="1">
      <c r="A1649" s="803">
        <v>36</v>
      </c>
      <c r="B1649" s="948"/>
      <c r="C1649" s="369" t="s">
        <v>7084</v>
      </c>
      <c r="D1649" s="721" t="s">
        <v>6707</v>
      </c>
      <c r="E1649" s="632" t="s">
        <v>25</v>
      </c>
      <c r="F1649" s="633" t="s">
        <v>5254</v>
      </c>
      <c r="G1649" s="807">
        <v>7065</v>
      </c>
      <c r="H1649" s="807" t="s">
        <v>6889</v>
      </c>
      <c r="I1649" s="815" t="s">
        <v>3743</v>
      </c>
      <c r="J1649" s="633" t="s">
        <v>3748</v>
      </c>
      <c r="K1649" s="735" t="s">
        <v>7083</v>
      </c>
      <c r="L1649" s="698" t="s">
        <v>1356</v>
      </c>
      <c r="M1649" s="810">
        <f>250000*2</f>
        <v>500000</v>
      </c>
      <c r="N1649" s="646"/>
    </row>
    <row r="1650" spans="1:14" hidden="1">
      <c r="A1650" s="803">
        <v>36</v>
      </c>
      <c r="B1650" s="948"/>
      <c r="C1650" s="369" t="s">
        <v>7085</v>
      </c>
      <c r="D1650" s="721" t="s">
        <v>6707</v>
      </c>
      <c r="E1650" s="632" t="s">
        <v>25</v>
      </c>
      <c r="F1650" s="633" t="s">
        <v>5254</v>
      </c>
      <c r="G1650" s="807">
        <v>7065</v>
      </c>
      <c r="H1650" s="807" t="s">
        <v>7018</v>
      </c>
      <c r="I1650" s="815" t="s">
        <v>3743</v>
      </c>
      <c r="J1650" s="633" t="s">
        <v>3748</v>
      </c>
      <c r="K1650" s="735" t="s">
        <v>7086</v>
      </c>
      <c r="L1650" s="698" t="s">
        <v>1356</v>
      </c>
      <c r="M1650" s="810">
        <f>250000*3</f>
        <v>750000</v>
      </c>
      <c r="N1650" s="646"/>
    </row>
    <row r="1651" spans="1:14" hidden="1">
      <c r="A1651" s="803">
        <v>36</v>
      </c>
      <c r="B1651" s="948"/>
      <c r="C1651" s="369" t="s">
        <v>7089</v>
      </c>
      <c r="D1651" s="721" t="s">
        <v>6707</v>
      </c>
      <c r="E1651" s="632" t="s">
        <v>25</v>
      </c>
      <c r="F1651" s="633" t="s">
        <v>5254</v>
      </c>
      <c r="G1651" s="807" t="s">
        <v>6448</v>
      </c>
      <c r="H1651" s="807" t="s">
        <v>7087</v>
      </c>
      <c r="I1651" s="815" t="s">
        <v>7088</v>
      </c>
      <c r="J1651" s="633" t="s">
        <v>3748</v>
      </c>
      <c r="K1651" s="772" t="s">
        <v>3716</v>
      </c>
      <c r="L1651" s="698" t="s">
        <v>1356</v>
      </c>
      <c r="M1651" s="810">
        <f>250000*4</f>
        <v>1000000</v>
      </c>
      <c r="N1651" s="646"/>
    </row>
    <row r="1652" spans="1:14" ht="21" hidden="1">
      <c r="A1652" s="803">
        <v>36</v>
      </c>
      <c r="B1652" s="948" t="s">
        <v>21</v>
      </c>
      <c r="C1652" s="369">
        <v>46269</v>
      </c>
      <c r="D1652" s="3" t="s">
        <v>21</v>
      </c>
      <c r="E1652" s="3" t="s">
        <v>14</v>
      </c>
      <c r="F1652" s="454" t="s">
        <v>1787</v>
      </c>
      <c r="G1652" s="454" t="s">
        <v>2978</v>
      </c>
      <c r="H1652" s="459" t="s">
        <v>23</v>
      </c>
      <c r="I1652" s="453" t="s">
        <v>7076</v>
      </c>
      <c r="J1652" s="454"/>
      <c r="K1652" s="708" t="s">
        <v>641</v>
      </c>
      <c r="L1652" s="125" t="s">
        <v>15</v>
      </c>
      <c r="M1652" s="752">
        <v>500000</v>
      </c>
      <c r="N1652" s="819" t="s">
        <v>7077</v>
      </c>
    </row>
    <row r="1653" spans="1:14" hidden="1">
      <c r="A1653" s="803">
        <v>36</v>
      </c>
      <c r="B1653" s="948"/>
      <c r="C1653" s="369">
        <v>46272</v>
      </c>
      <c r="D1653" s="4" t="s">
        <v>21</v>
      </c>
      <c r="E1653" s="4" t="s">
        <v>14</v>
      </c>
      <c r="F1653" s="806" t="s">
        <v>140</v>
      </c>
      <c r="G1653" s="806" t="s">
        <v>2959</v>
      </c>
      <c r="H1653" s="16" t="s">
        <v>143</v>
      </c>
      <c r="I1653" s="817" t="s">
        <v>6949</v>
      </c>
      <c r="J1653" s="806" t="s">
        <v>90</v>
      </c>
      <c r="K1653" s="708" t="s">
        <v>3708</v>
      </c>
      <c r="L1653" s="125" t="s">
        <v>15</v>
      </c>
      <c r="M1653" s="752">
        <v>250000</v>
      </c>
      <c r="N1653" s="805" t="s">
        <v>5969</v>
      </c>
    </row>
    <row r="1654" spans="1:14" hidden="1">
      <c r="A1654" s="803">
        <v>36</v>
      </c>
      <c r="B1654" s="948"/>
      <c r="C1654" s="369">
        <v>46273</v>
      </c>
      <c r="D1654" s="4" t="s">
        <v>21</v>
      </c>
      <c r="E1654" s="4" t="s">
        <v>14</v>
      </c>
      <c r="F1654" s="806" t="s">
        <v>140</v>
      </c>
      <c r="G1654" s="806" t="s">
        <v>2959</v>
      </c>
      <c r="H1654" s="16" t="s">
        <v>143</v>
      </c>
      <c r="I1654" s="817" t="s">
        <v>6949</v>
      </c>
      <c r="J1654" s="806" t="s">
        <v>90</v>
      </c>
      <c r="K1654" s="1149" t="s">
        <v>3708</v>
      </c>
      <c r="L1654" s="125" t="s">
        <v>15</v>
      </c>
      <c r="M1654" s="1125">
        <v>250000</v>
      </c>
      <c r="N1654" s="646" t="s">
        <v>5969</v>
      </c>
    </row>
    <row r="1655" spans="1:14" hidden="1">
      <c r="A1655" s="803">
        <v>36</v>
      </c>
      <c r="B1655" s="948"/>
      <c r="C1655" s="369">
        <v>46273</v>
      </c>
      <c r="D1655" s="4" t="s">
        <v>21</v>
      </c>
      <c r="E1655" s="4" t="s">
        <v>14</v>
      </c>
      <c r="F1655" s="806" t="s">
        <v>107</v>
      </c>
      <c r="G1655" s="806" t="s">
        <v>2959</v>
      </c>
      <c r="H1655" s="16" t="s">
        <v>3742</v>
      </c>
      <c r="I1655" s="817" t="s">
        <v>7046</v>
      </c>
      <c r="J1655" s="806" t="s">
        <v>90</v>
      </c>
      <c r="K1655" s="1138"/>
      <c r="L1655" s="125" t="s">
        <v>15</v>
      </c>
      <c r="M1655" s="1126"/>
      <c r="N1655" s="646" t="s">
        <v>3779</v>
      </c>
    </row>
    <row r="1656" spans="1:14" hidden="1">
      <c r="A1656" s="803">
        <v>36</v>
      </c>
      <c r="B1656" s="948"/>
      <c r="C1656" s="369">
        <v>46274</v>
      </c>
      <c r="D1656" s="3" t="s">
        <v>21</v>
      </c>
      <c r="E1656" s="3" t="s">
        <v>14</v>
      </c>
      <c r="F1656" s="454" t="s">
        <v>211</v>
      </c>
      <c r="G1656" s="454" t="s">
        <v>2916</v>
      </c>
      <c r="H1656" s="459" t="s">
        <v>2917</v>
      </c>
      <c r="I1656" s="817" t="s">
        <v>7039</v>
      </c>
      <c r="J1656" s="806" t="s">
        <v>7040</v>
      </c>
      <c r="K1656" s="817" t="s">
        <v>2828</v>
      </c>
      <c r="L1656" s="125" t="s">
        <v>1356</v>
      </c>
      <c r="M1656" s="752">
        <v>250000</v>
      </c>
      <c r="N1656" s="646" t="s">
        <v>7078</v>
      </c>
    </row>
    <row r="1657" spans="1:14" hidden="1">
      <c r="A1657" s="803">
        <v>36</v>
      </c>
      <c r="B1657" s="948"/>
      <c r="C1657" s="369">
        <v>46274</v>
      </c>
      <c r="D1657" s="4" t="s">
        <v>21</v>
      </c>
      <c r="E1657" s="4" t="s">
        <v>14</v>
      </c>
      <c r="F1657" s="806" t="s">
        <v>107</v>
      </c>
      <c r="G1657" s="806" t="s">
        <v>2959</v>
      </c>
      <c r="H1657" s="16" t="s">
        <v>3742</v>
      </c>
      <c r="I1657" s="817" t="s">
        <v>7045</v>
      </c>
      <c r="J1657" s="806" t="s">
        <v>90</v>
      </c>
      <c r="K1657" s="1149" t="s">
        <v>3708</v>
      </c>
      <c r="L1657" s="125" t="s">
        <v>15</v>
      </c>
      <c r="M1657" s="1125">
        <v>250000</v>
      </c>
      <c r="N1657" s="646" t="s">
        <v>3779</v>
      </c>
    </row>
    <row r="1658" spans="1:14" hidden="1">
      <c r="A1658" s="803">
        <v>36</v>
      </c>
      <c r="B1658" s="948"/>
      <c r="C1658" s="369">
        <v>46274</v>
      </c>
      <c r="D1658" s="4" t="s">
        <v>21</v>
      </c>
      <c r="E1658" s="4" t="s">
        <v>14</v>
      </c>
      <c r="F1658" s="806" t="s">
        <v>107</v>
      </c>
      <c r="G1658" s="806" t="s">
        <v>2959</v>
      </c>
      <c r="H1658" s="16" t="s">
        <v>3728</v>
      </c>
      <c r="I1658" s="817" t="s">
        <v>7072</v>
      </c>
      <c r="J1658" s="806" t="s">
        <v>90</v>
      </c>
      <c r="K1658" s="1138"/>
      <c r="L1658" s="125" t="s">
        <v>15</v>
      </c>
      <c r="M1658" s="1126"/>
      <c r="N1658" s="646" t="s">
        <v>3779</v>
      </c>
    </row>
    <row r="1659" spans="1:14" hidden="1">
      <c r="A1659" s="835">
        <v>36</v>
      </c>
      <c r="B1659" s="948"/>
      <c r="C1659" s="369">
        <v>46276</v>
      </c>
      <c r="D1659" s="4" t="s">
        <v>21</v>
      </c>
      <c r="E1659" s="4" t="s">
        <v>14</v>
      </c>
      <c r="F1659" s="806" t="s">
        <v>1787</v>
      </c>
      <c r="G1659" s="806" t="s">
        <v>2978</v>
      </c>
      <c r="H1659" s="16" t="s">
        <v>23</v>
      </c>
      <c r="I1659" s="817" t="s">
        <v>7071</v>
      </c>
      <c r="J1659" s="806"/>
      <c r="K1659" s="708" t="s">
        <v>4907</v>
      </c>
      <c r="L1659" s="125" t="s">
        <v>15</v>
      </c>
      <c r="M1659" s="752">
        <v>500000</v>
      </c>
      <c r="N1659" s="646" t="s">
        <v>5969</v>
      </c>
    </row>
    <row r="1660" spans="1:14" hidden="1">
      <c r="A1660" s="836">
        <v>37</v>
      </c>
      <c r="B1660" s="1130" t="s">
        <v>20</v>
      </c>
      <c r="C1660" s="399">
        <v>46277</v>
      </c>
      <c r="D1660" s="721" t="s">
        <v>6707</v>
      </c>
      <c r="E1660" s="632" t="s">
        <v>151</v>
      </c>
      <c r="F1660" s="633" t="s">
        <v>5254</v>
      </c>
      <c r="G1660" s="822" t="s">
        <v>6075</v>
      </c>
      <c r="H1660" s="822" t="s">
        <v>145</v>
      </c>
      <c r="I1660" s="826" t="s">
        <v>1105</v>
      </c>
      <c r="J1660" s="633" t="s">
        <v>1259</v>
      </c>
      <c r="K1660" s="772" t="s">
        <v>2828</v>
      </c>
      <c r="L1660" s="698" t="s">
        <v>209</v>
      </c>
      <c r="M1660" s="823">
        <v>250000</v>
      </c>
      <c r="N1660" s="646" t="s">
        <v>7170</v>
      </c>
    </row>
    <row r="1661" spans="1:14" ht="27" hidden="1">
      <c r="A1661" s="836">
        <v>37</v>
      </c>
      <c r="B1661" s="1130"/>
      <c r="C1661" s="399" t="s">
        <v>7169</v>
      </c>
      <c r="D1661" s="721" t="s">
        <v>6707</v>
      </c>
      <c r="E1661" s="632" t="s">
        <v>151</v>
      </c>
      <c r="F1661" s="633" t="s">
        <v>5254</v>
      </c>
      <c r="G1661" s="822" t="s">
        <v>6075</v>
      </c>
      <c r="H1661" s="822" t="s">
        <v>145</v>
      </c>
      <c r="I1661" s="826" t="s">
        <v>1105</v>
      </c>
      <c r="J1661" s="633" t="s">
        <v>1259</v>
      </c>
      <c r="K1661" s="772" t="s">
        <v>2838</v>
      </c>
      <c r="L1661" s="698" t="s">
        <v>209</v>
      </c>
      <c r="M1661" s="823">
        <v>500000</v>
      </c>
      <c r="N1661" s="646"/>
    </row>
    <row r="1662" spans="1:14" hidden="1">
      <c r="A1662" s="836">
        <v>37</v>
      </c>
      <c r="B1662" s="1130"/>
      <c r="C1662" s="399">
        <v>46281</v>
      </c>
      <c r="D1662" s="721" t="s">
        <v>6707</v>
      </c>
      <c r="E1662" s="632" t="s">
        <v>151</v>
      </c>
      <c r="F1662" s="633" t="s">
        <v>5254</v>
      </c>
      <c r="G1662" s="822" t="s">
        <v>6315</v>
      </c>
      <c r="H1662" s="822" t="s">
        <v>361</v>
      </c>
      <c r="I1662" s="826" t="s">
        <v>6316</v>
      </c>
      <c r="J1662" s="633" t="s">
        <v>1259</v>
      </c>
      <c r="K1662" s="772" t="s">
        <v>2828</v>
      </c>
      <c r="L1662" s="698" t="s">
        <v>209</v>
      </c>
      <c r="M1662" s="823">
        <v>250000</v>
      </c>
      <c r="N1662" s="646"/>
    </row>
    <row r="1663" spans="1:14" ht="27" hidden="1">
      <c r="A1663" s="836">
        <v>37</v>
      </c>
      <c r="B1663" s="1130"/>
      <c r="C1663" s="399" t="s">
        <v>7172</v>
      </c>
      <c r="D1663" s="721" t="s">
        <v>6707</v>
      </c>
      <c r="E1663" s="632" t="s">
        <v>151</v>
      </c>
      <c r="F1663" s="633" t="s">
        <v>5254</v>
      </c>
      <c r="G1663" s="822" t="s">
        <v>6315</v>
      </c>
      <c r="H1663" s="822" t="s">
        <v>264</v>
      </c>
      <c r="I1663" s="826" t="s">
        <v>6316</v>
      </c>
      <c r="J1663" s="633" t="s">
        <v>1259</v>
      </c>
      <c r="K1663" s="772" t="s">
        <v>2838</v>
      </c>
      <c r="L1663" s="698" t="s">
        <v>209</v>
      </c>
      <c r="M1663" s="823">
        <v>500000</v>
      </c>
      <c r="N1663" s="646"/>
    </row>
    <row r="1664" spans="1:14" ht="27" hidden="1">
      <c r="A1664" s="836">
        <v>37</v>
      </c>
      <c r="B1664" s="1130"/>
      <c r="C1664" s="399" t="s">
        <v>7171</v>
      </c>
      <c r="D1664" s="721" t="s">
        <v>6707</v>
      </c>
      <c r="E1664" s="632" t="s">
        <v>151</v>
      </c>
      <c r="F1664" s="633" t="s">
        <v>5254</v>
      </c>
      <c r="G1664" s="822" t="s">
        <v>5754</v>
      </c>
      <c r="H1664" s="822" t="s">
        <v>125</v>
      </c>
      <c r="I1664" s="826" t="s">
        <v>216</v>
      </c>
      <c r="J1664" s="633" t="s">
        <v>168</v>
      </c>
      <c r="K1664" s="772" t="s">
        <v>3004</v>
      </c>
      <c r="L1664" s="698" t="s">
        <v>209</v>
      </c>
      <c r="M1664" s="823">
        <v>750000</v>
      </c>
      <c r="N1664" s="646"/>
    </row>
    <row r="1665" spans="1:14" ht="27" hidden="1">
      <c r="A1665" s="836">
        <v>37</v>
      </c>
      <c r="B1665" s="1131"/>
      <c r="C1665" s="843" t="s">
        <v>7172</v>
      </c>
      <c r="D1665" s="841" t="s">
        <v>6707</v>
      </c>
      <c r="E1665" s="632" t="s">
        <v>151</v>
      </c>
      <c r="F1665" s="633" t="s">
        <v>5254</v>
      </c>
      <c r="G1665" s="822">
        <v>7065</v>
      </c>
      <c r="H1665" s="822" t="s">
        <v>6889</v>
      </c>
      <c r="I1665" s="826" t="s">
        <v>7174</v>
      </c>
      <c r="J1665" s="633" t="s">
        <v>168</v>
      </c>
      <c r="K1665" s="772" t="s">
        <v>2838</v>
      </c>
      <c r="L1665" s="698" t="s">
        <v>209</v>
      </c>
      <c r="M1665" s="823">
        <v>500000</v>
      </c>
      <c r="N1665" s="646"/>
    </row>
    <row r="1666" spans="1:14" ht="27" hidden="1">
      <c r="A1666" s="836">
        <v>37</v>
      </c>
      <c r="B1666" s="1130"/>
      <c r="C1666" s="842" t="s">
        <v>7173</v>
      </c>
      <c r="D1666" s="721" t="s">
        <v>6707</v>
      </c>
      <c r="E1666" s="632" t="s">
        <v>151</v>
      </c>
      <c r="F1666" s="633" t="s">
        <v>5254</v>
      </c>
      <c r="G1666" s="822">
        <v>7065</v>
      </c>
      <c r="H1666" s="822" t="s">
        <v>1391</v>
      </c>
      <c r="I1666" s="826" t="s">
        <v>378</v>
      </c>
      <c r="J1666" s="633" t="s">
        <v>168</v>
      </c>
      <c r="K1666" s="735" t="s">
        <v>3035</v>
      </c>
      <c r="L1666" s="698" t="s">
        <v>209</v>
      </c>
      <c r="M1666" s="823">
        <v>1250000</v>
      </c>
      <c r="N1666" s="646"/>
    </row>
    <row r="1667" spans="1:14" hidden="1">
      <c r="A1667" s="836">
        <v>37</v>
      </c>
      <c r="B1667" s="1130" t="s">
        <v>21</v>
      </c>
      <c r="C1667" s="399">
        <v>46279</v>
      </c>
      <c r="D1667" s="4" t="s">
        <v>64</v>
      </c>
      <c r="E1667" s="4" t="s">
        <v>14</v>
      </c>
      <c r="F1667" s="824" t="s">
        <v>107</v>
      </c>
      <c r="G1667" s="824" t="s">
        <v>3386</v>
      </c>
      <c r="H1667" s="16" t="s">
        <v>1721</v>
      </c>
      <c r="I1667" s="828" t="s">
        <v>230</v>
      </c>
      <c r="J1667" s="824" t="s">
        <v>90</v>
      </c>
      <c r="K1667" s="708" t="s">
        <v>686</v>
      </c>
      <c r="L1667" s="125" t="s">
        <v>66</v>
      </c>
      <c r="M1667" s="752">
        <v>250000</v>
      </c>
      <c r="N1667" s="646" t="s">
        <v>128</v>
      </c>
    </row>
    <row r="1668" spans="1:14" hidden="1">
      <c r="A1668" s="836">
        <v>37</v>
      </c>
      <c r="B1668" s="1130"/>
      <c r="C1668" s="399">
        <v>46279</v>
      </c>
      <c r="D1668" s="4" t="s">
        <v>21</v>
      </c>
      <c r="E1668" s="4" t="s">
        <v>77</v>
      </c>
      <c r="F1668" s="824" t="s">
        <v>78</v>
      </c>
      <c r="G1668" s="824">
        <v>7060</v>
      </c>
      <c r="H1668" s="16" t="s">
        <v>71</v>
      </c>
      <c r="I1668" s="828" t="s">
        <v>7147</v>
      </c>
      <c r="J1668" s="824" t="s">
        <v>6312</v>
      </c>
      <c r="K1668" s="824" t="s">
        <v>41</v>
      </c>
      <c r="L1668" s="125" t="s">
        <v>66</v>
      </c>
      <c r="M1668" s="825">
        <v>250000</v>
      </c>
      <c r="N1668" s="646" t="s">
        <v>127</v>
      </c>
    </row>
    <row r="1669" spans="1:14" hidden="1">
      <c r="A1669" s="836">
        <v>37</v>
      </c>
      <c r="B1669" s="1130"/>
      <c r="C1669" s="399">
        <v>46280</v>
      </c>
      <c r="D1669" s="4" t="s">
        <v>64</v>
      </c>
      <c r="E1669" s="4" t="s">
        <v>14</v>
      </c>
      <c r="F1669" s="824" t="s">
        <v>107</v>
      </c>
      <c r="G1669" s="824" t="s">
        <v>3386</v>
      </c>
      <c r="H1669" s="16" t="s">
        <v>1721</v>
      </c>
      <c r="I1669" s="828" t="s">
        <v>7133</v>
      </c>
      <c r="J1669" s="824" t="s">
        <v>90</v>
      </c>
      <c r="K1669" s="824" t="s">
        <v>3075</v>
      </c>
      <c r="L1669" s="125" t="s">
        <v>66</v>
      </c>
      <c r="M1669" s="752">
        <v>300000</v>
      </c>
      <c r="N1669" s="646" t="s">
        <v>128</v>
      </c>
    </row>
    <row r="1670" spans="1:14" ht="27" hidden="1">
      <c r="A1670" s="836">
        <v>37</v>
      </c>
      <c r="B1670" s="1130"/>
      <c r="C1670" s="399">
        <v>46281</v>
      </c>
      <c r="D1670" s="4" t="s">
        <v>64</v>
      </c>
      <c r="E1670" s="4" t="s">
        <v>70</v>
      </c>
      <c r="F1670" s="824" t="s">
        <v>7138</v>
      </c>
      <c r="G1670" s="824" t="s">
        <v>3415</v>
      </c>
      <c r="H1670" s="16" t="s">
        <v>40</v>
      </c>
      <c r="I1670" s="828" t="s">
        <v>7160</v>
      </c>
      <c r="J1670" s="824"/>
      <c r="K1670" s="828" t="s">
        <v>487</v>
      </c>
      <c r="L1670" s="125" t="s">
        <v>66</v>
      </c>
      <c r="M1670" s="825">
        <v>500000</v>
      </c>
      <c r="N1670" s="646" t="s">
        <v>393</v>
      </c>
    </row>
    <row r="1671" spans="1:14" hidden="1">
      <c r="A1671" s="836">
        <v>37</v>
      </c>
      <c r="B1671" s="1130"/>
      <c r="C1671" s="399">
        <v>46282</v>
      </c>
      <c r="D1671" s="4" t="s">
        <v>21</v>
      </c>
      <c r="E1671" s="4" t="s">
        <v>14</v>
      </c>
      <c r="F1671" s="824" t="s">
        <v>1787</v>
      </c>
      <c r="G1671" s="824" t="s">
        <v>2978</v>
      </c>
      <c r="H1671" s="16" t="s">
        <v>67</v>
      </c>
      <c r="I1671" s="16" t="s">
        <v>7161</v>
      </c>
      <c r="J1671" s="824" t="s">
        <v>90</v>
      </c>
      <c r="K1671" s="708" t="s">
        <v>686</v>
      </c>
      <c r="L1671" s="125" t="s">
        <v>66</v>
      </c>
      <c r="M1671" s="825">
        <v>250000</v>
      </c>
      <c r="N1671" s="646" t="s">
        <v>393</v>
      </c>
    </row>
    <row r="1672" spans="1:14" hidden="1">
      <c r="A1672" s="836">
        <v>37</v>
      </c>
      <c r="B1672" s="1130"/>
      <c r="C1672" s="399">
        <v>46282</v>
      </c>
      <c r="D1672" s="4" t="s">
        <v>64</v>
      </c>
      <c r="E1672" s="4" t="s">
        <v>70</v>
      </c>
      <c r="F1672" s="824" t="s">
        <v>7138</v>
      </c>
      <c r="G1672" s="824" t="s">
        <v>3415</v>
      </c>
      <c r="H1672" s="16" t="s">
        <v>40</v>
      </c>
      <c r="I1672" s="828" t="s">
        <v>5397</v>
      </c>
      <c r="J1672" s="824"/>
      <c r="K1672" s="828" t="s">
        <v>487</v>
      </c>
      <c r="L1672" s="125" t="s">
        <v>66</v>
      </c>
      <c r="M1672" s="752">
        <v>500000</v>
      </c>
      <c r="N1672" s="646" t="s">
        <v>128</v>
      </c>
    </row>
    <row r="1673" spans="1:14" hidden="1">
      <c r="A1673" s="836">
        <v>38</v>
      </c>
      <c r="B1673" s="1130" t="s">
        <v>20</v>
      </c>
      <c r="C1673" s="399">
        <v>46284</v>
      </c>
      <c r="D1673" s="721" t="s">
        <v>7225</v>
      </c>
      <c r="E1673" s="632" t="s">
        <v>7226</v>
      </c>
      <c r="F1673" s="633" t="s">
        <v>7227</v>
      </c>
      <c r="G1673" s="830">
        <v>7065</v>
      </c>
      <c r="H1673" s="830" t="s">
        <v>7221</v>
      </c>
      <c r="I1673" s="832" t="s">
        <v>7222</v>
      </c>
      <c r="J1673" s="633"/>
      <c r="K1673" s="772" t="s">
        <v>7220</v>
      </c>
      <c r="L1673" s="698" t="s">
        <v>475</v>
      </c>
      <c r="M1673" s="831">
        <v>500000</v>
      </c>
      <c r="N1673" s="646" t="s">
        <v>7219</v>
      </c>
    </row>
    <row r="1674" spans="1:14" hidden="1">
      <c r="A1674" s="836">
        <v>38</v>
      </c>
      <c r="B1674" s="1130"/>
      <c r="C1674" s="399">
        <v>46284</v>
      </c>
      <c r="D1674" s="721" t="s">
        <v>7225</v>
      </c>
      <c r="E1674" s="632" t="s">
        <v>7226</v>
      </c>
      <c r="F1674" s="633" t="s">
        <v>7227</v>
      </c>
      <c r="G1674" s="830" t="s">
        <v>7223</v>
      </c>
      <c r="H1674" s="830" t="s">
        <v>854</v>
      </c>
      <c r="I1674" s="832" t="s">
        <v>7224</v>
      </c>
      <c r="J1674" s="633"/>
      <c r="K1674" s="832" t="s">
        <v>945</v>
      </c>
      <c r="L1674" s="698" t="s">
        <v>475</v>
      </c>
      <c r="M1674" s="831">
        <v>250000</v>
      </c>
      <c r="N1674" s="646" t="s">
        <v>7219</v>
      </c>
    </row>
    <row r="1675" spans="1:14" ht="27" hidden="1">
      <c r="A1675" s="836">
        <v>38</v>
      </c>
      <c r="B1675" s="1130"/>
      <c r="C1675" s="399" t="s">
        <v>7230</v>
      </c>
      <c r="D1675" s="721" t="s">
        <v>7225</v>
      </c>
      <c r="E1675" s="632" t="s">
        <v>7226</v>
      </c>
      <c r="F1675" s="633" t="s">
        <v>7227</v>
      </c>
      <c r="G1675" s="830" t="s">
        <v>6816</v>
      </c>
      <c r="H1675" s="830" t="s">
        <v>115</v>
      </c>
      <c r="I1675" s="832" t="s">
        <v>3925</v>
      </c>
      <c r="J1675" s="633"/>
      <c r="K1675" s="735" t="s">
        <v>7228</v>
      </c>
      <c r="L1675" s="698" t="s">
        <v>7229</v>
      </c>
      <c r="M1675" s="831">
        <v>750000</v>
      </c>
      <c r="N1675" s="646"/>
    </row>
    <row r="1676" spans="1:14" ht="27" hidden="1">
      <c r="A1676" s="836">
        <v>38</v>
      </c>
      <c r="B1676" s="1130"/>
      <c r="C1676" s="399" t="s">
        <v>7230</v>
      </c>
      <c r="D1676" s="721" t="s">
        <v>7225</v>
      </c>
      <c r="E1676" s="632" t="s">
        <v>7226</v>
      </c>
      <c r="F1676" s="633" t="s">
        <v>7227</v>
      </c>
      <c r="G1676" s="830">
        <v>7065</v>
      </c>
      <c r="H1676" s="830" t="s">
        <v>1895</v>
      </c>
      <c r="I1676" s="832" t="s">
        <v>7231</v>
      </c>
      <c r="J1676" s="633"/>
      <c r="K1676" s="772" t="s">
        <v>7232</v>
      </c>
      <c r="L1676" s="698" t="s">
        <v>7229</v>
      </c>
      <c r="M1676" s="831">
        <v>750000</v>
      </c>
      <c r="N1676" s="646"/>
    </row>
    <row r="1677" spans="1:14" ht="27" hidden="1">
      <c r="A1677" s="836">
        <v>38</v>
      </c>
      <c r="B1677" s="1130"/>
      <c r="C1677" s="399" t="s">
        <v>7230</v>
      </c>
      <c r="D1677" s="721" t="s">
        <v>7225</v>
      </c>
      <c r="E1677" s="632" t="s">
        <v>7226</v>
      </c>
      <c r="F1677" s="633" t="s">
        <v>7227</v>
      </c>
      <c r="G1677" s="830" t="s">
        <v>7223</v>
      </c>
      <c r="H1677" s="830" t="s">
        <v>854</v>
      </c>
      <c r="I1677" s="832" t="s">
        <v>3738</v>
      </c>
      <c r="J1677" s="633"/>
      <c r="K1677" s="772" t="s">
        <v>7232</v>
      </c>
      <c r="L1677" s="698" t="s">
        <v>7229</v>
      </c>
      <c r="M1677" s="831">
        <v>750000</v>
      </c>
      <c r="N1677" s="646"/>
    </row>
    <row r="1678" spans="1:14" ht="27" hidden="1">
      <c r="A1678" s="836">
        <v>38</v>
      </c>
      <c r="B1678" s="1130" t="s">
        <v>21</v>
      </c>
      <c r="C1678" s="399">
        <v>46280</v>
      </c>
      <c r="D1678" s="4" t="s">
        <v>64</v>
      </c>
      <c r="E1678" s="4" t="s">
        <v>14</v>
      </c>
      <c r="F1678" s="829" t="s">
        <v>107</v>
      </c>
      <c r="G1678" s="829" t="s">
        <v>3386</v>
      </c>
      <c r="H1678" s="16" t="s">
        <v>263</v>
      </c>
      <c r="I1678" s="833" t="s">
        <v>7183</v>
      </c>
      <c r="J1678" s="829" t="s">
        <v>90</v>
      </c>
      <c r="K1678" s="829" t="s">
        <v>7345</v>
      </c>
      <c r="L1678" s="125" t="s">
        <v>66</v>
      </c>
      <c r="M1678" s="752">
        <v>250000</v>
      </c>
      <c r="N1678" s="646" t="s">
        <v>7218</v>
      </c>
    </row>
    <row r="1679" spans="1:14" hidden="1">
      <c r="A1679" s="882">
        <v>38</v>
      </c>
      <c r="B1679" s="1131"/>
      <c r="C1679" s="843">
        <v>46287</v>
      </c>
      <c r="D1679" s="844" t="s">
        <v>21</v>
      </c>
      <c r="E1679" s="4" t="s">
        <v>14</v>
      </c>
      <c r="F1679" s="829" t="s">
        <v>1893</v>
      </c>
      <c r="G1679" s="829" t="s">
        <v>3589</v>
      </c>
      <c r="H1679" s="16" t="s">
        <v>7177</v>
      </c>
      <c r="I1679" s="833" t="s">
        <v>7181</v>
      </c>
      <c r="J1679" s="829" t="s">
        <v>202</v>
      </c>
      <c r="K1679" s="833" t="s">
        <v>685</v>
      </c>
      <c r="L1679" s="125" t="s">
        <v>66</v>
      </c>
      <c r="M1679" s="752">
        <v>500000</v>
      </c>
      <c r="N1679" s="646" t="s">
        <v>7235</v>
      </c>
    </row>
    <row r="1680" spans="1:14" ht="27" hidden="1">
      <c r="A1680" s="803">
        <v>39</v>
      </c>
      <c r="B1680" s="948" t="s">
        <v>20</v>
      </c>
      <c r="C1680" s="399" t="s">
        <v>7268</v>
      </c>
      <c r="D1680" s="721" t="s">
        <v>6707</v>
      </c>
      <c r="E1680" s="632" t="s">
        <v>25</v>
      </c>
      <c r="F1680" s="633" t="s">
        <v>5254</v>
      </c>
      <c r="G1680" s="850" t="s">
        <v>6315</v>
      </c>
      <c r="H1680" s="850" t="s">
        <v>18</v>
      </c>
      <c r="I1680" s="851" t="s">
        <v>1105</v>
      </c>
      <c r="J1680" s="633" t="s">
        <v>1259</v>
      </c>
      <c r="K1680" s="851" t="s">
        <v>3251</v>
      </c>
      <c r="L1680" s="698" t="s">
        <v>209</v>
      </c>
      <c r="M1680" s="849">
        <f>250000*5</f>
        <v>1250000</v>
      </c>
      <c r="N1680" s="646"/>
    </row>
    <row r="1681" spans="1:14" ht="27" hidden="1">
      <c r="A1681" s="803">
        <v>39</v>
      </c>
      <c r="B1681" s="948"/>
      <c r="C1681" s="399" t="s">
        <v>7268</v>
      </c>
      <c r="D1681" s="721" t="s">
        <v>6707</v>
      </c>
      <c r="E1681" s="632" t="s">
        <v>25</v>
      </c>
      <c r="F1681" s="633" t="s">
        <v>5254</v>
      </c>
      <c r="G1681" s="850">
        <v>7065</v>
      </c>
      <c r="H1681" s="850" t="s">
        <v>23</v>
      </c>
      <c r="I1681" s="851" t="s">
        <v>378</v>
      </c>
      <c r="J1681" s="633" t="s">
        <v>168</v>
      </c>
      <c r="K1681" s="735" t="s">
        <v>7269</v>
      </c>
      <c r="L1681" s="698" t="s">
        <v>209</v>
      </c>
      <c r="M1681" s="849">
        <f>250000*5</f>
        <v>1250000</v>
      </c>
      <c r="N1681" s="646"/>
    </row>
    <row r="1682" spans="1:14" ht="27" hidden="1">
      <c r="A1682" s="803">
        <v>39</v>
      </c>
      <c r="B1682" s="948"/>
      <c r="C1682" s="399" t="s">
        <v>7270</v>
      </c>
      <c r="D1682" s="721" t="s">
        <v>6707</v>
      </c>
      <c r="E1682" s="632" t="s">
        <v>25</v>
      </c>
      <c r="F1682" s="633" t="s">
        <v>5254</v>
      </c>
      <c r="G1682" s="850" t="s">
        <v>6816</v>
      </c>
      <c r="H1682" s="850" t="s">
        <v>115</v>
      </c>
      <c r="I1682" s="851" t="s">
        <v>378</v>
      </c>
      <c r="J1682" s="633" t="s">
        <v>126</v>
      </c>
      <c r="K1682" s="851" t="s">
        <v>3004</v>
      </c>
      <c r="L1682" s="698" t="s">
        <v>209</v>
      </c>
      <c r="M1682" s="849">
        <v>750000</v>
      </c>
      <c r="N1682" s="646"/>
    </row>
    <row r="1683" spans="1:14" ht="27" hidden="1">
      <c r="A1683" s="803">
        <v>39</v>
      </c>
      <c r="B1683" s="948"/>
      <c r="C1683" s="399" t="s">
        <v>7271</v>
      </c>
      <c r="D1683" s="721" t="s">
        <v>6707</v>
      </c>
      <c r="E1683" s="632" t="s">
        <v>25</v>
      </c>
      <c r="F1683" s="633" t="s">
        <v>5254</v>
      </c>
      <c r="G1683" s="850">
        <v>7065</v>
      </c>
      <c r="H1683" s="850" t="s">
        <v>7018</v>
      </c>
      <c r="I1683" s="851" t="s">
        <v>7272</v>
      </c>
      <c r="J1683" s="633" t="s">
        <v>168</v>
      </c>
      <c r="K1683" s="632" t="s">
        <v>2838</v>
      </c>
      <c r="L1683" s="698"/>
      <c r="M1683" s="849">
        <v>500000</v>
      </c>
      <c r="N1683" s="646"/>
    </row>
    <row r="1684" spans="1:14" hidden="1">
      <c r="A1684" s="803">
        <v>39</v>
      </c>
      <c r="B1684" s="948" t="s">
        <v>21</v>
      </c>
      <c r="C1684" s="399">
        <v>46296</v>
      </c>
      <c r="D1684" s="4" t="s">
        <v>64</v>
      </c>
      <c r="E1684" s="4" t="s">
        <v>30</v>
      </c>
      <c r="F1684" s="848" t="s">
        <v>1895</v>
      </c>
      <c r="G1684" s="848">
        <v>7062</v>
      </c>
      <c r="H1684" s="16" t="s">
        <v>143</v>
      </c>
      <c r="I1684" s="853" t="s">
        <v>7267</v>
      </c>
      <c r="J1684" s="848" t="s">
        <v>2700</v>
      </c>
      <c r="K1684" s="853" t="s">
        <v>845</v>
      </c>
      <c r="L1684" s="125"/>
      <c r="M1684" s="752">
        <v>750000</v>
      </c>
      <c r="N1684" s="646" t="s">
        <v>128</v>
      </c>
    </row>
    <row r="1685" spans="1:14" hidden="1">
      <c r="A1685" s="803">
        <v>39</v>
      </c>
      <c r="B1685" s="948"/>
      <c r="C1685" s="399">
        <v>46297</v>
      </c>
      <c r="D1685" s="4" t="s">
        <v>64</v>
      </c>
      <c r="E1685" s="4" t="s">
        <v>30</v>
      </c>
      <c r="F1685" s="848" t="s">
        <v>1895</v>
      </c>
      <c r="G1685" s="848">
        <v>7062</v>
      </c>
      <c r="H1685" s="16" t="s">
        <v>143</v>
      </c>
      <c r="I1685" s="853" t="s">
        <v>271</v>
      </c>
      <c r="J1685" s="848"/>
      <c r="K1685" s="853" t="s">
        <v>845</v>
      </c>
      <c r="L1685" s="125"/>
      <c r="M1685" s="752">
        <v>750000</v>
      </c>
      <c r="N1685" s="646" t="s">
        <v>128</v>
      </c>
    </row>
    <row r="1686" spans="1:14" hidden="1">
      <c r="A1686" s="803">
        <v>40</v>
      </c>
      <c r="B1686" s="948" t="s">
        <v>20</v>
      </c>
      <c r="C1686" s="399">
        <v>46295</v>
      </c>
      <c r="D1686" s="721" t="s">
        <v>6707</v>
      </c>
      <c r="E1686" s="632" t="s">
        <v>25</v>
      </c>
      <c r="F1686" s="633" t="s">
        <v>5254</v>
      </c>
      <c r="G1686" s="862" t="s">
        <v>5847</v>
      </c>
      <c r="H1686" s="862" t="s">
        <v>7339</v>
      </c>
      <c r="I1686" s="867" t="s">
        <v>7338</v>
      </c>
      <c r="J1686" s="633" t="s">
        <v>4616</v>
      </c>
      <c r="K1686" s="867" t="s">
        <v>686</v>
      </c>
      <c r="L1686" s="698" t="s">
        <v>209</v>
      </c>
      <c r="M1686" s="864">
        <v>250000</v>
      </c>
      <c r="N1686" s="646" t="s">
        <v>7332</v>
      </c>
    </row>
    <row r="1687" spans="1:14" hidden="1">
      <c r="A1687" s="803">
        <v>40</v>
      </c>
      <c r="B1687" s="948"/>
      <c r="C1687" s="399">
        <v>46298</v>
      </c>
      <c r="D1687" s="721" t="s">
        <v>6707</v>
      </c>
      <c r="E1687" s="632" t="s">
        <v>25</v>
      </c>
      <c r="F1687" s="633" t="s">
        <v>5254</v>
      </c>
      <c r="G1687" s="862">
        <v>7065</v>
      </c>
      <c r="H1687" s="862" t="s">
        <v>7018</v>
      </c>
      <c r="I1687" s="867" t="s">
        <v>7330</v>
      </c>
      <c r="J1687" s="633" t="s">
        <v>4616</v>
      </c>
      <c r="K1687" s="632" t="s">
        <v>2838</v>
      </c>
      <c r="L1687" s="698" t="s">
        <v>209</v>
      </c>
      <c r="M1687" s="864">
        <v>1000000</v>
      </c>
      <c r="N1687" s="646" t="s">
        <v>7332</v>
      </c>
    </row>
    <row r="1688" spans="1:14" hidden="1">
      <c r="A1688" s="803">
        <v>40</v>
      </c>
      <c r="B1688" s="948"/>
      <c r="C1688" s="399">
        <v>46300</v>
      </c>
      <c r="D1688" s="721" t="s">
        <v>6707</v>
      </c>
      <c r="E1688" s="632" t="s">
        <v>25</v>
      </c>
      <c r="F1688" s="633" t="s">
        <v>5254</v>
      </c>
      <c r="G1688" s="862">
        <v>7065</v>
      </c>
      <c r="H1688" s="862" t="s">
        <v>7018</v>
      </c>
      <c r="I1688" s="867" t="s">
        <v>7331</v>
      </c>
      <c r="J1688" s="633" t="s">
        <v>4616</v>
      </c>
      <c r="K1688" s="867" t="s">
        <v>3454</v>
      </c>
      <c r="L1688" s="698" t="s">
        <v>209</v>
      </c>
      <c r="M1688" s="864">
        <v>500000</v>
      </c>
      <c r="N1688" s="646" t="s">
        <v>7332</v>
      </c>
    </row>
    <row r="1689" spans="1:14" ht="27" hidden="1">
      <c r="A1689" s="803">
        <v>40</v>
      </c>
      <c r="B1689" s="948"/>
      <c r="C1689" s="399" t="s">
        <v>7333</v>
      </c>
      <c r="D1689" s="721" t="s">
        <v>6707</v>
      </c>
      <c r="E1689" s="632" t="s">
        <v>25</v>
      </c>
      <c r="F1689" s="633" t="s">
        <v>5254</v>
      </c>
      <c r="G1689" s="862">
        <v>7065</v>
      </c>
      <c r="H1689" s="862" t="s">
        <v>7018</v>
      </c>
      <c r="I1689" s="867" t="s">
        <v>1105</v>
      </c>
      <c r="J1689" s="633" t="s">
        <v>4616</v>
      </c>
      <c r="K1689" s="867" t="s">
        <v>845</v>
      </c>
      <c r="L1689" s="698" t="s">
        <v>209</v>
      </c>
      <c r="M1689" s="864">
        <v>750000</v>
      </c>
      <c r="N1689" s="646"/>
    </row>
    <row r="1690" spans="1:14" ht="27" hidden="1">
      <c r="A1690" s="803">
        <v>40</v>
      </c>
      <c r="B1690" s="948"/>
      <c r="C1690" s="399" t="s">
        <v>7333</v>
      </c>
      <c r="D1690" s="721" t="s">
        <v>6707</v>
      </c>
      <c r="E1690" s="632" t="s">
        <v>25</v>
      </c>
      <c r="F1690" s="633" t="s">
        <v>5254</v>
      </c>
      <c r="G1690" s="862" t="s">
        <v>6816</v>
      </c>
      <c r="H1690" s="862" t="s">
        <v>115</v>
      </c>
      <c r="I1690" s="867" t="s">
        <v>378</v>
      </c>
      <c r="J1690" s="633"/>
      <c r="K1690" s="867" t="s">
        <v>7337</v>
      </c>
      <c r="L1690" s="698" t="s">
        <v>209</v>
      </c>
      <c r="M1690" s="864">
        <v>750000</v>
      </c>
      <c r="N1690" s="646"/>
    </row>
    <row r="1691" spans="1:14" ht="27" hidden="1">
      <c r="A1691" s="803">
        <v>40</v>
      </c>
      <c r="B1691" s="948"/>
      <c r="C1691" s="399" t="s">
        <v>7335</v>
      </c>
      <c r="D1691" s="721" t="s">
        <v>6707</v>
      </c>
      <c r="E1691" s="632" t="s">
        <v>25</v>
      </c>
      <c r="F1691" s="633" t="s">
        <v>5254</v>
      </c>
      <c r="G1691" s="862">
        <v>7065</v>
      </c>
      <c r="H1691" s="862" t="s">
        <v>3421</v>
      </c>
      <c r="I1691" s="867" t="s">
        <v>378</v>
      </c>
      <c r="J1691" s="633" t="s">
        <v>126</v>
      </c>
      <c r="K1691" s="867" t="s">
        <v>2838</v>
      </c>
      <c r="L1691" s="698" t="s">
        <v>209</v>
      </c>
      <c r="M1691" s="864">
        <v>500000</v>
      </c>
      <c r="N1691" s="646"/>
    </row>
    <row r="1692" spans="1:14" hidden="1">
      <c r="A1692" s="803">
        <v>40</v>
      </c>
      <c r="B1692" s="948"/>
      <c r="C1692" s="399">
        <v>46303</v>
      </c>
      <c r="D1692" s="721" t="s">
        <v>6707</v>
      </c>
      <c r="E1692" s="632" t="s">
        <v>25</v>
      </c>
      <c r="F1692" s="633" t="s">
        <v>5254</v>
      </c>
      <c r="G1692" s="862">
        <v>2729</v>
      </c>
      <c r="H1692" s="862" t="s">
        <v>361</v>
      </c>
      <c r="I1692" s="867" t="s">
        <v>7334</v>
      </c>
      <c r="J1692" s="633"/>
      <c r="K1692" s="867" t="s">
        <v>3454</v>
      </c>
      <c r="L1692" s="698" t="s">
        <v>209</v>
      </c>
      <c r="M1692" s="864">
        <v>250000</v>
      </c>
      <c r="N1692" s="646"/>
    </row>
    <row r="1693" spans="1:14" ht="27" hidden="1">
      <c r="A1693" s="803">
        <v>40</v>
      </c>
      <c r="B1693" s="948" t="s">
        <v>21</v>
      </c>
      <c r="C1693" s="399">
        <v>46303</v>
      </c>
      <c r="D1693" s="4" t="s">
        <v>21</v>
      </c>
      <c r="E1693" s="4" t="s">
        <v>31</v>
      </c>
      <c r="F1693" s="869" t="s">
        <v>7279</v>
      </c>
      <c r="G1693" s="865" t="s">
        <v>270</v>
      </c>
      <c r="H1693" s="16" t="s">
        <v>6284</v>
      </c>
      <c r="I1693" s="869" t="s">
        <v>7336</v>
      </c>
      <c r="J1693" s="865"/>
      <c r="K1693" s="865" t="s">
        <v>641</v>
      </c>
      <c r="L1693" s="125" t="s">
        <v>15</v>
      </c>
      <c r="M1693" s="752">
        <v>500000</v>
      </c>
      <c r="N1693" s="646" t="s">
        <v>128</v>
      </c>
    </row>
    <row r="1694" spans="1:14" hidden="1">
      <c r="A1694" s="803">
        <v>40</v>
      </c>
      <c r="B1694" s="948"/>
      <c r="C1694" s="369">
        <v>46305</v>
      </c>
      <c r="D1694" s="4" t="s">
        <v>138</v>
      </c>
      <c r="E1694" s="4" t="s">
        <v>14</v>
      </c>
      <c r="F1694" s="865" t="s">
        <v>1787</v>
      </c>
      <c r="G1694" s="865" t="s">
        <v>2978</v>
      </c>
      <c r="H1694" s="16" t="s">
        <v>23</v>
      </c>
      <c r="I1694" s="869" t="s">
        <v>7200</v>
      </c>
      <c r="J1694" s="865"/>
      <c r="K1694" s="865" t="s">
        <v>641</v>
      </c>
      <c r="L1694" s="125" t="s">
        <v>15</v>
      </c>
      <c r="M1694" s="752">
        <v>500000</v>
      </c>
      <c r="N1694" s="646" t="s">
        <v>6436</v>
      </c>
    </row>
    <row r="1695" spans="1:14" hidden="1">
      <c r="A1695" s="901">
        <v>41</v>
      </c>
      <c r="B1695" s="1142" t="s">
        <v>307</v>
      </c>
      <c r="C1695" s="892" t="s">
        <v>7470</v>
      </c>
      <c r="D1695" s="893" t="s">
        <v>7471</v>
      </c>
      <c r="E1695" s="893" t="s">
        <v>322</v>
      </c>
      <c r="F1695" s="894" t="s">
        <v>5400</v>
      </c>
      <c r="G1695" s="895">
        <v>7065</v>
      </c>
      <c r="H1695" s="895" t="s">
        <v>7469</v>
      </c>
      <c r="I1695" s="894" t="s">
        <v>7472</v>
      </c>
      <c r="J1695" s="894" t="s">
        <v>1534</v>
      </c>
      <c r="K1695" s="894" t="s">
        <v>692</v>
      </c>
      <c r="L1695" s="896" t="s">
        <v>309</v>
      </c>
      <c r="M1695" s="752">
        <v>500000</v>
      </c>
      <c r="N1695" s="896" t="s">
        <v>7473</v>
      </c>
    </row>
    <row r="1696" spans="1:14" hidden="1">
      <c r="A1696" s="901">
        <v>41</v>
      </c>
      <c r="B1696" s="944"/>
      <c r="C1696" s="897" t="s">
        <v>7470</v>
      </c>
      <c r="D1696" s="893" t="s">
        <v>7471</v>
      </c>
      <c r="E1696" s="893" t="s">
        <v>322</v>
      </c>
      <c r="F1696" s="894" t="s">
        <v>5400</v>
      </c>
      <c r="G1696" s="895">
        <v>7065</v>
      </c>
      <c r="H1696" s="895" t="s">
        <v>329</v>
      </c>
      <c r="I1696" s="894" t="s">
        <v>7474</v>
      </c>
      <c r="J1696" s="894" t="s">
        <v>7475</v>
      </c>
      <c r="K1696" s="894" t="s">
        <v>3105</v>
      </c>
      <c r="L1696" s="896" t="s">
        <v>309</v>
      </c>
      <c r="M1696" s="902">
        <v>250000</v>
      </c>
      <c r="N1696" s="896" t="s">
        <v>7473</v>
      </c>
    </row>
    <row r="1697" spans="1:14" hidden="1">
      <c r="A1697" s="901">
        <v>41</v>
      </c>
      <c r="B1697" s="944"/>
      <c r="C1697" s="897" t="s">
        <v>7476</v>
      </c>
      <c r="D1697" s="893" t="s">
        <v>7471</v>
      </c>
      <c r="E1697" s="893" t="s">
        <v>322</v>
      </c>
      <c r="F1697" s="894" t="s">
        <v>5400</v>
      </c>
      <c r="G1697" s="895" t="s">
        <v>7468</v>
      </c>
      <c r="H1697" s="895" t="s">
        <v>662</v>
      </c>
      <c r="I1697" s="894" t="s">
        <v>1096</v>
      </c>
      <c r="J1697" s="894" t="s">
        <v>7477</v>
      </c>
      <c r="K1697" s="894" t="s">
        <v>7478</v>
      </c>
      <c r="L1697" s="896" t="s">
        <v>309</v>
      </c>
      <c r="M1697" s="902">
        <v>250000</v>
      </c>
      <c r="N1697" s="896"/>
    </row>
    <row r="1698" spans="1:14" ht="24" hidden="1">
      <c r="A1698" s="901">
        <v>41</v>
      </c>
      <c r="B1698" s="944"/>
      <c r="C1698" s="897" t="s">
        <v>7479</v>
      </c>
      <c r="D1698" s="893" t="s">
        <v>7471</v>
      </c>
      <c r="E1698" s="893" t="s">
        <v>322</v>
      </c>
      <c r="F1698" s="894" t="s">
        <v>5400</v>
      </c>
      <c r="G1698" s="895">
        <v>7065</v>
      </c>
      <c r="H1698" s="895" t="s">
        <v>6915</v>
      </c>
      <c r="I1698" s="894" t="s">
        <v>1096</v>
      </c>
      <c r="J1698" s="894" t="s">
        <v>7477</v>
      </c>
      <c r="K1698" s="894" t="s">
        <v>7480</v>
      </c>
      <c r="L1698" s="896" t="s">
        <v>309</v>
      </c>
      <c r="M1698" s="902">
        <v>1000000</v>
      </c>
      <c r="N1698" s="896"/>
    </row>
    <row r="1699" spans="1:14" ht="24" hidden="1">
      <c r="A1699" s="901">
        <v>41</v>
      </c>
      <c r="B1699" s="944"/>
      <c r="C1699" s="897" t="s">
        <v>7481</v>
      </c>
      <c r="D1699" s="893" t="s">
        <v>7471</v>
      </c>
      <c r="E1699" s="893" t="s">
        <v>322</v>
      </c>
      <c r="F1699" s="894" t="s">
        <v>5400</v>
      </c>
      <c r="G1699" s="895" t="s">
        <v>7468</v>
      </c>
      <c r="H1699" s="895" t="s">
        <v>662</v>
      </c>
      <c r="I1699" s="894" t="s">
        <v>4965</v>
      </c>
      <c r="J1699" s="894" t="s">
        <v>7482</v>
      </c>
      <c r="K1699" s="894" t="s">
        <v>3182</v>
      </c>
      <c r="L1699" s="896" t="s">
        <v>309</v>
      </c>
      <c r="M1699" s="902">
        <v>1250000</v>
      </c>
      <c r="N1699" s="896"/>
    </row>
    <row r="1700" spans="1:14" ht="24">
      <c r="A1700" s="901">
        <v>41</v>
      </c>
      <c r="B1700" s="944"/>
      <c r="C1700" s="897" t="s">
        <v>7481</v>
      </c>
      <c r="D1700" s="893" t="s">
        <v>7471</v>
      </c>
      <c r="E1700" s="893" t="s">
        <v>322</v>
      </c>
      <c r="F1700" s="894" t="s">
        <v>5400</v>
      </c>
      <c r="G1700" s="895" t="s">
        <v>7483</v>
      </c>
      <c r="H1700" s="895" t="s">
        <v>640</v>
      </c>
      <c r="I1700" s="894" t="s">
        <v>7484</v>
      </c>
      <c r="J1700" s="894" t="s">
        <v>1534</v>
      </c>
      <c r="K1700" s="898" t="s">
        <v>7485</v>
      </c>
      <c r="L1700" s="896" t="s">
        <v>309</v>
      </c>
      <c r="M1700" s="902">
        <v>2250000</v>
      </c>
      <c r="N1700" s="896"/>
    </row>
    <row r="1701" spans="1:14" ht="24" hidden="1">
      <c r="A1701" s="901">
        <v>41</v>
      </c>
      <c r="B1701" s="944"/>
      <c r="C1701" s="897" t="s">
        <v>7486</v>
      </c>
      <c r="D1701" s="893" t="s">
        <v>7471</v>
      </c>
      <c r="E1701" s="893" t="s">
        <v>322</v>
      </c>
      <c r="F1701" s="894" t="s">
        <v>5400</v>
      </c>
      <c r="G1701" s="895">
        <v>7065</v>
      </c>
      <c r="H1701" s="895" t="s">
        <v>7469</v>
      </c>
      <c r="I1701" s="894" t="s">
        <v>4915</v>
      </c>
      <c r="J1701" s="894" t="s">
        <v>1534</v>
      </c>
      <c r="K1701" s="894" t="s">
        <v>692</v>
      </c>
      <c r="L1701" s="896" t="s">
        <v>309</v>
      </c>
      <c r="M1701" s="902">
        <v>50000</v>
      </c>
      <c r="N1701" s="896"/>
    </row>
    <row r="1702" spans="1:14" hidden="1">
      <c r="A1702" s="901">
        <v>41</v>
      </c>
      <c r="B1702" s="1143" t="s">
        <v>311</v>
      </c>
      <c r="C1702" s="911" t="s">
        <v>7487</v>
      </c>
      <c r="D1702" s="896" t="s">
        <v>311</v>
      </c>
      <c r="E1702" s="896" t="s">
        <v>320</v>
      </c>
      <c r="F1702" s="895" t="s">
        <v>7488</v>
      </c>
      <c r="G1702" s="895" t="s">
        <v>5449</v>
      </c>
      <c r="H1702" s="895" t="s">
        <v>662</v>
      </c>
      <c r="I1702" s="899" t="s">
        <v>5005</v>
      </c>
      <c r="J1702" s="900"/>
      <c r="K1702" s="895" t="s">
        <v>698</v>
      </c>
      <c r="L1702" s="896" t="s">
        <v>309</v>
      </c>
      <c r="M1702" s="903">
        <v>250000</v>
      </c>
      <c r="N1702" s="896" t="s">
        <v>7473</v>
      </c>
    </row>
    <row r="1703" spans="1:14" hidden="1">
      <c r="A1703" s="901">
        <v>41</v>
      </c>
      <c r="B1703" s="944"/>
      <c r="C1703" s="892" t="s">
        <v>7489</v>
      </c>
      <c r="D1703" s="896" t="s">
        <v>311</v>
      </c>
      <c r="E1703" s="896" t="s">
        <v>320</v>
      </c>
      <c r="F1703" s="895" t="s">
        <v>7488</v>
      </c>
      <c r="G1703" s="895" t="s">
        <v>5449</v>
      </c>
      <c r="H1703" s="895" t="s">
        <v>662</v>
      </c>
      <c r="I1703" s="899" t="s">
        <v>5005</v>
      </c>
      <c r="J1703" s="900"/>
      <c r="K1703" s="895" t="s">
        <v>698</v>
      </c>
      <c r="L1703" s="896" t="s">
        <v>309</v>
      </c>
      <c r="M1703" s="903">
        <v>250000</v>
      </c>
      <c r="N1703" s="896" t="s">
        <v>7473</v>
      </c>
    </row>
    <row r="1704" spans="1:14" hidden="1">
      <c r="A1704" s="901">
        <v>41</v>
      </c>
      <c r="B1704" s="944"/>
      <c r="C1704" s="897" t="s">
        <v>7476</v>
      </c>
      <c r="D1704" s="896" t="s">
        <v>311</v>
      </c>
      <c r="E1704" s="896" t="s">
        <v>320</v>
      </c>
      <c r="F1704" s="895" t="s">
        <v>690</v>
      </c>
      <c r="G1704" s="895" t="s">
        <v>5004</v>
      </c>
      <c r="H1704" s="895" t="s">
        <v>1814</v>
      </c>
      <c r="I1704" s="895" t="s">
        <v>7490</v>
      </c>
      <c r="J1704" s="895"/>
      <c r="K1704" s="895" t="s">
        <v>713</v>
      </c>
      <c r="L1704" s="896" t="s">
        <v>309</v>
      </c>
      <c r="M1704" s="903">
        <v>250000</v>
      </c>
      <c r="N1704" s="896" t="s">
        <v>726</v>
      </c>
    </row>
    <row r="1705" spans="1:14" hidden="1">
      <c r="A1705" s="901">
        <v>41</v>
      </c>
      <c r="B1705" s="944"/>
      <c r="C1705" s="897" t="s">
        <v>7491</v>
      </c>
      <c r="D1705" s="896" t="s">
        <v>311</v>
      </c>
      <c r="E1705" s="896" t="s">
        <v>320</v>
      </c>
      <c r="F1705" s="895" t="s">
        <v>6915</v>
      </c>
      <c r="G1705" s="895">
        <v>7062</v>
      </c>
      <c r="H1705" s="895" t="s">
        <v>1198</v>
      </c>
      <c r="I1705" s="895" t="s">
        <v>7492</v>
      </c>
      <c r="J1705" s="895"/>
      <c r="K1705" s="895" t="s">
        <v>7493</v>
      </c>
      <c r="L1705" s="896" t="s">
        <v>309</v>
      </c>
      <c r="M1705" s="903">
        <v>250000</v>
      </c>
      <c r="N1705" s="896" t="s">
        <v>1206</v>
      </c>
    </row>
    <row r="1706" spans="1:14" hidden="1">
      <c r="A1706" s="901">
        <v>41</v>
      </c>
      <c r="B1706" s="944"/>
      <c r="C1706" s="897" t="s">
        <v>7494</v>
      </c>
      <c r="D1706" s="896" t="s">
        <v>311</v>
      </c>
      <c r="E1706" s="896" t="s">
        <v>320</v>
      </c>
      <c r="F1706" s="895" t="s">
        <v>6915</v>
      </c>
      <c r="G1706" s="895">
        <v>7062</v>
      </c>
      <c r="H1706" s="895" t="s">
        <v>1198</v>
      </c>
      <c r="I1706" s="895" t="s">
        <v>7495</v>
      </c>
      <c r="J1706" s="895"/>
      <c r="K1706" s="895" t="s">
        <v>7493</v>
      </c>
      <c r="L1706" s="896" t="s">
        <v>309</v>
      </c>
      <c r="M1706" s="903">
        <v>250000</v>
      </c>
      <c r="N1706" s="896" t="s">
        <v>1206</v>
      </c>
    </row>
    <row r="1707" spans="1:14" hidden="1">
      <c r="A1707" s="901">
        <v>42</v>
      </c>
      <c r="B1707" s="943" t="s">
        <v>307</v>
      </c>
      <c r="C1707" s="911" t="s">
        <v>7550</v>
      </c>
      <c r="D1707" s="893" t="s">
        <v>7471</v>
      </c>
      <c r="E1707" s="893" t="s">
        <v>322</v>
      </c>
      <c r="F1707" s="894" t="s">
        <v>5400</v>
      </c>
      <c r="G1707" s="895" t="s">
        <v>7483</v>
      </c>
      <c r="H1707" s="895" t="s">
        <v>7551</v>
      </c>
      <c r="I1707" s="894" t="s">
        <v>7552</v>
      </c>
      <c r="J1707" s="894" t="s">
        <v>1534</v>
      </c>
      <c r="K1707" s="894" t="s">
        <v>3105</v>
      </c>
      <c r="L1707" s="896" t="s">
        <v>324</v>
      </c>
      <c r="M1707" s="903">
        <v>250000</v>
      </c>
      <c r="N1707" s="896" t="s">
        <v>7553</v>
      </c>
    </row>
    <row r="1708" spans="1:14" ht="24" hidden="1">
      <c r="A1708" s="901">
        <v>42</v>
      </c>
      <c r="B1708" s="944"/>
      <c r="C1708" s="892" t="s">
        <v>7554</v>
      </c>
      <c r="D1708" s="893" t="s">
        <v>7471</v>
      </c>
      <c r="E1708" s="893" t="s">
        <v>322</v>
      </c>
      <c r="F1708" s="894" t="s">
        <v>5400</v>
      </c>
      <c r="G1708" s="895" t="s">
        <v>7483</v>
      </c>
      <c r="H1708" s="895" t="s">
        <v>367</v>
      </c>
      <c r="I1708" s="894" t="s">
        <v>7555</v>
      </c>
      <c r="J1708" s="894" t="s">
        <v>7556</v>
      </c>
      <c r="K1708" s="894" t="s">
        <v>7557</v>
      </c>
      <c r="L1708" s="896" t="s">
        <v>324</v>
      </c>
      <c r="M1708" s="902">
        <v>1250000</v>
      </c>
      <c r="N1708" s="896"/>
    </row>
    <row r="1709" spans="1:14" ht="24" hidden="1">
      <c r="A1709" s="901">
        <v>42</v>
      </c>
      <c r="B1709" s="944"/>
      <c r="C1709" s="897" t="s">
        <v>7558</v>
      </c>
      <c r="D1709" s="893" t="s">
        <v>7471</v>
      </c>
      <c r="E1709" s="893" t="s">
        <v>322</v>
      </c>
      <c r="F1709" s="894" t="s">
        <v>5400</v>
      </c>
      <c r="G1709" s="895" t="s">
        <v>7468</v>
      </c>
      <c r="H1709" s="895" t="s">
        <v>662</v>
      </c>
      <c r="I1709" s="894" t="s">
        <v>310</v>
      </c>
      <c r="J1709" s="894" t="s">
        <v>1111</v>
      </c>
      <c r="K1709" s="894" t="s">
        <v>4943</v>
      </c>
      <c r="L1709" s="896" t="s">
        <v>324</v>
      </c>
      <c r="M1709" s="902">
        <v>750000</v>
      </c>
      <c r="N1709" s="896"/>
    </row>
    <row r="1710" spans="1:14" ht="24" hidden="1">
      <c r="A1710" s="901">
        <v>42</v>
      </c>
      <c r="B1710" s="944"/>
      <c r="C1710" s="897" t="s">
        <v>7559</v>
      </c>
      <c r="D1710" s="893" t="s">
        <v>7471</v>
      </c>
      <c r="E1710" s="893" t="s">
        <v>322</v>
      </c>
      <c r="F1710" s="894" t="s">
        <v>5400</v>
      </c>
      <c r="G1710" s="895">
        <v>7065</v>
      </c>
      <c r="H1710" s="895" t="s">
        <v>7469</v>
      </c>
      <c r="I1710" s="894" t="s">
        <v>4915</v>
      </c>
      <c r="J1710" s="894" t="s">
        <v>1534</v>
      </c>
      <c r="K1710" s="894" t="s">
        <v>3101</v>
      </c>
      <c r="L1710" s="896" t="s">
        <v>324</v>
      </c>
      <c r="M1710" s="902">
        <v>500000</v>
      </c>
      <c r="N1710" s="896"/>
    </row>
    <row r="1711" spans="1:14" ht="24" hidden="1">
      <c r="A1711" s="901">
        <v>42</v>
      </c>
      <c r="B1711" s="944"/>
      <c r="C1711" s="897" t="s">
        <v>7560</v>
      </c>
      <c r="D1711" s="925" t="s">
        <v>7471</v>
      </c>
      <c r="E1711" s="925" t="s">
        <v>322</v>
      </c>
      <c r="F1711" s="926" t="s">
        <v>5400</v>
      </c>
      <c r="G1711" s="895" t="s">
        <v>7561</v>
      </c>
      <c r="H1711" s="895" t="s">
        <v>354</v>
      </c>
      <c r="I1711" s="894" t="s">
        <v>4915</v>
      </c>
      <c r="J1711" s="894" t="s">
        <v>1534</v>
      </c>
      <c r="K1711" s="894" t="s">
        <v>3101</v>
      </c>
      <c r="L1711" s="896" t="s">
        <v>324</v>
      </c>
      <c r="M1711" s="902">
        <v>500000</v>
      </c>
      <c r="N1711" s="896"/>
    </row>
    <row r="1712" spans="1:14" hidden="1">
      <c r="A1712" s="901">
        <v>42</v>
      </c>
      <c r="B1712" s="945" t="s">
        <v>311</v>
      </c>
      <c r="C1712" s="927" t="s">
        <v>7562</v>
      </c>
      <c r="D1712" s="928" t="s">
        <v>311</v>
      </c>
      <c r="E1712" s="928" t="s">
        <v>320</v>
      </c>
      <c r="F1712" s="929" t="s">
        <v>337</v>
      </c>
      <c r="G1712" s="895" t="s">
        <v>3054</v>
      </c>
      <c r="H1712" s="895" t="s">
        <v>354</v>
      </c>
      <c r="I1712" s="895" t="s">
        <v>7563</v>
      </c>
      <c r="J1712" s="895" t="s">
        <v>638</v>
      </c>
      <c r="K1712" s="895" t="s">
        <v>713</v>
      </c>
      <c r="L1712" s="896" t="s">
        <v>309</v>
      </c>
      <c r="M1712" s="903">
        <v>250000</v>
      </c>
      <c r="N1712" s="896"/>
    </row>
    <row r="1713" spans="1:14" ht="24" hidden="1">
      <c r="A1713" s="901">
        <v>42</v>
      </c>
      <c r="B1713" s="946"/>
      <c r="C1713" s="897" t="s">
        <v>7564</v>
      </c>
      <c r="D1713" s="896" t="s">
        <v>311</v>
      </c>
      <c r="E1713" s="896" t="s">
        <v>320</v>
      </c>
      <c r="F1713" s="930" t="s">
        <v>337</v>
      </c>
      <c r="G1713" s="895" t="s">
        <v>7561</v>
      </c>
      <c r="H1713" s="895" t="s">
        <v>354</v>
      </c>
      <c r="I1713" s="895" t="s">
        <v>310</v>
      </c>
      <c r="J1713" s="895" t="s">
        <v>7565</v>
      </c>
      <c r="K1713" s="895" t="s">
        <v>7566</v>
      </c>
      <c r="L1713" s="896" t="s">
        <v>309</v>
      </c>
      <c r="M1713" s="903">
        <v>500000</v>
      </c>
      <c r="N1713" s="896"/>
    </row>
    <row r="1714" spans="1:14" hidden="1">
      <c r="A1714" s="901">
        <v>42</v>
      </c>
      <c r="B1714" s="947"/>
      <c r="C1714" s="931" t="s">
        <v>7567</v>
      </c>
      <c r="D1714" s="932" t="s">
        <v>311</v>
      </c>
      <c r="E1714" s="932" t="s">
        <v>320</v>
      </c>
      <c r="F1714" s="674" t="s">
        <v>337</v>
      </c>
      <c r="G1714" s="895" t="s">
        <v>7561</v>
      </c>
      <c r="H1714" s="895" t="s">
        <v>354</v>
      </c>
      <c r="I1714" s="895" t="s">
        <v>310</v>
      </c>
      <c r="J1714" s="895"/>
      <c r="K1714" s="895" t="s">
        <v>7566</v>
      </c>
      <c r="L1714" s="896" t="s">
        <v>309</v>
      </c>
      <c r="M1714" s="903">
        <v>500000</v>
      </c>
      <c r="N1714" s="896"/>
    </row>
  </sheetData>
  <autoFilter ref="A1:N1714">
    <filterColumn colId="10">
      <filters>
        <filter val="HIO(2), 더베솔(2)"/>
        <filter val="HIO(4), 더베솔(2)"/>
        <filter val="더베솔(2)"/>
        <filter val="더베솔(4)"/>
        <filter val="더베솔(6)"/>
        <filter val="우신(2), 더베솔(2)"/>
        <filter val="우신(3), 더베솔(6)"/>
      </filters>
    </filterColumn>
  </autoFilter>
  <mergeCells count="1104">
    <mergeCell ref="B1695:B1701"/>
    <mergeCell ref="B1702:B1706"/>
    <mergeCell ref="N1571:N1572"/>
    <mergeCell ref="K1576:K1577"/>
    <mergeCell ref="M1576:M1577"/>
    <mergeCell ref="K1581:K1582"/>
    <mergeCell ref="M1581:M1582"/>
    <mergeCell ref="K1583:K1584"/>
    <mergeCell ref="M1583:M1584"/>
    <mergeCell ref="B1604:B1610"/>
    <mergeCell ref="B1632:B1635"/>
    <mergeCell ref="B1636:B1645"/>
    <mergeCell ref="N1636:N1637"/>
    <mergeCell ref="B1527:B1532"/>
    <mergeCell ref="B1533:B1540"/>
    <mergeCell ref="N1594:N1598"/>
    <mergeCell ref="B1680:B1683"/>
    <mergeCell ref="B1684:B1685"/>
    <mergeCell ref="B1673:B1677"/>
    <mergeCell ref="B1678:B1679"/>
    <mergeCell ref="B1646:B1651"/>
    <mergeCell ref="B1652:B1659"/>
    <mergeCell ref="K1654:K1655"/>
    <mergeCell ref="M1654:M1655"/>
    <mergeCell ref="K1657:K1658"/>
    <mergeCell ref="M1657:M1658"/>
    <mergeCell ref="B1622:B1624"/>
    <mergeCell ref="B1625:B1631"/>
    <mergeCell ref="B1611:B1613"/>
    <mergeCell ref="B1614:B1621"/>
    <mergeCell ref="B1585:B1586"/>
    <mergeCell ref="B1587:B1592"/>
    <mergeCell ref="B1660:B1666"/>
    <mergeCell ref="B1667:B1672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594:B1599"/>
    <mergeCell ref="B1509:B1514"/>
    <mergeCell ref="B1515:B1526"/>
    <mergeCell ref="B1486:B1492"/>
    <mergeCell ref="B1493:B1508"/>
    <mergeCell ref="B1571:B1584"/>
    <mergeCell ref="K1571:K1572"/>
    <mergeCell ref="M1571:M1572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B932:B938"/>
    <mergeCell ref="B1100:B1114"/>
    <mergeCell ref="B1115:B1119"/>
    <mergeCell ref="B1138:B1149"/>
    <mergeCell ref="B1150:B1156"/>
    <mergeCell ref="B1157:B1168"/>
    <mergeCell ref="D1254:D1255"/>
    <mergeCell ref="E1254:E1255"/>
    <mergeCell ref="F1254:F1255"/>
    <mergeCell ref="G1254:G1255"/>
    <mergeCell ref="H1254:H1255"/>
    <mergeCell ref="G1293:G1294"/>
    <mergeCell ref="H1293:H1294"/>
    <mergeCell ref="C1329:C1330"/>
    <mergeCell ref="D1329:D1330"/>
    <mergeCell ref="E1329:E1330"/>
    <mergeCell ref="G1329:G1330"/>
    <mergeCell ref="H1329:H133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I1439:I1440"/>
    <mergeCell ref="J1439:J1440"/>
    <mergeCell ref="J1254:J1255"/>
    <mergeCell ref="K1254:K1255"/>
    <mergeCell ref="L1254:L1255"/>
    <mergeCell ref="M1254:M1255"/>
    <mergeCell ref="B1259:B1263"/>
    <mergeCell ref="C1256:C1257"/>
    <mergeCell ref="D1256:D1257"/>
    <mergeCell ref="E1256:E1257"/>
    <mergeCell ref="F1256:F1257"/>
    <mergeCell ref="G1256:G1257"/>
    <mergeCell ref="C1254:C1255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H1256:H1257"/>
    <mergeCell ref="J1256:J1257"/>
    <mergeCell ref="K1256:K1257"/>
    <mergeCell ref="L1256:L1257"/>
    <mergeCell ref="B1022:B1027"/>
    <mergeCell ref="B1028:B1035"/>
    <mergeCell ref="N876:N877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M878:M879"/>
    <mergeCell ref="B979:B984"/>
    <mergeCell ref="B985:B986"/>
    <mergeCell ref="B987:B988"/>
    <mergeCell ref="B927:B931"/>
    <mergeCell ref="B896:B898"/>
    <mergeCell ref="B893:B895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N883:N88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J1222:J1223"/>
    <mergeCell ref="K1222:K1223"/>
    <mergeCell ref="L1222:L1223"/>
    <mergeCell ref="M1222:M1223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B1448:B1452"/>
    <mergeCell ref="C1439:C1440"/>
    <mergeCell ref="D1439:D1440"/>
    <mergeCell ref="E1439:E1440"/>
    <mergeCell ref="F1439:F1440"/>
    <mergeCell ref="H1439:H1440"/>
    <mergeCell ref="B1398:B1401"/>
    <mergeCell ref="B1402:B1404"/>
    <mergeCell ref="B1383:B1388"/>
    <mergeCell ref="B1389:B1397"/>
    <mergeCell ref="B1354:B1362"/>
    <mergeCell ref="B1363:B1368"/>
    <mergeCell ref="K1439:K1440"/>
    <mergeCell ref="L1439:L1440"/>
    <mergeCell ref="M1439:M1440"/>
    <mergeCell ref="M1339:M1340"/>
    <mergeCell ref="N1339:N1340"/>
    <mergeCell ref="B1707:B1711"/>
    <mergeCell ref="B1712:B1714"/>
    <mergeCell ref="B1686:B1692"/>
    <mergeCell ref="B1693:B1694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topLeftCell="A13" workbookViewId="0">
      <selection activeCell="A24" sqref="A24:D26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5250000</v>
      </c>
    </row>
    <row r="10" spans="1:4">
      <c r="A10" s="589" t="s">
        <v>4855</v>
      </c>
      <c r="B10" s="589" t="s">
        <v>4856</v>
      </c>
      <c r="C10" s="1150" t="s">
        <v>4857</v>
      </c>
      <c r="D10" s="1150"/>
    </row>
    <row r="11" spans="1:4">
      <c r="A11" s="589" t="s">
        <v>4858</v>
      </c>
      <c r="B11" s="589">
        <v>7</v>
      </c>
      <c r="C11" s="1151">
        <f>'사전품의양식 (12)'!L11</f>
        <v>3750000</v>
      </c>
      <c r="D11" s="1151"/>
    </row>
    <row r="12" spans="1:4">
      <c r="A12" s="589" t="s">
        <v>4859</v>
      </c>
      <c r="B12" s="589">
        <v>3</v>
      </c>
      <c r="C12" s="1151">
        <f>'사전품의양식 (12)'!L15</f>
        <v>1500000</v>
      </c>
      <c r="D12" s="1151"/>
    </row>
    <row r="13" spans="1:4">
      <c r="A13" s="591" t="s">
        <v>53</v>
      </c>
      <c r="B13" s="591">
        <f>SUM(B11:B12)</f>
        <v>10</v>
      </c>
      <c r="C13" s="1152">
        <f>SUM(C11:C12)</f>
        <v>5250000</v>
      </c>
      <c r="D13" s="1152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0</v>
      </c>
      <c r="C17" s="590">
        <v>500000</v>
      </c>
      <c r="D17" s="593">
        <f>SUM(B17:C17)</f>
        <v>500000</v>
      </c>
    </row>
    <row r="18" spans="1:5">
      <c r="A18" s="589" t="s">
        <v>5511</v>
      </c>
      <c r="B18" s="590">
        <f>C11-B17</f>
        <v>3750000</v>
      </c>
      <c r="C18" s="590">
        <f>C12-C17</f>
        <v>1000000</v>
      </c>
      <c r="D18" s="590">
        <f>SUM(B18:C18)</f>
        <v>4750000</v>
      </c>
    </row>
    <row r="19" spans="1:5">
      <c r="A19" s="591" t="s">
        <v>4861</v>
      </c>
      <c r="B19" s="592">
        <f>SUM(B17:B18)</f>
        <v>3750000</v>
      </c>
      <c r="C19" s="592">
        <f>SUM(C17:C18)</f>
        <v>1500000</v>
      </c>
      <c r="D19" s="592">
        <f>SUM(D17:D18)</f>
        <v>5250000</v>
      </c>
    </row>
    <row r="22" spans="1:5" ht="20.25">
      <c r="A22" s="586" t="s">
        <v>4871</v>
      </c>
    </row>
    <row r="24" spans="1:5">
      <c r="A24" s="919" t="s">
        <v>4855</v>
      </c>
      <c r="B24" s="919" t="s">
        <v>4869</v>
      </c>
      <c r="C24" s="1150" t="s">
        <v>4872</v>
      </c>
      <c r="D24" s="1150"/>
      <c r="E24" s="919"/>
    </row>
    <row r="25" spans="1:5">
      <c r="A25" s="919" t="s">
        <v>4873</v>
      </c>
      <c r="B25" s="919" t="s">
        <v>4874</v>
      </c>
      <c r="C25" s="1239" t="s">
        <v>4875</v>
      </c>
      <c r="D25" s="1239"/>
      <c r="E25" s="919"/>
    </row>
    <row r="26" spans="1:5">
      <c r="A26" s="919" t="s">
        <v>7607</v>
      </c>
      <c r="B26" s="919" t="s">
        <v>7608</v>
      </c>
      <c r="C26" s="1239" t="s">
        <v>7609</v>
      </c>
      <c r="D26" s="1239"/>
      <c r="E26" s="919"/>
    </row>
    <row r="27" spans="1:5" ht="20.25">
      <c r="A27" s="586" t="s">
        <v>4867</v>
      </c>
    </row>
    <row r="29" spans="1:5">
      <c r="A29" s="587" t="s">
        <v>4876</v>
      </c>
    </row>
    <row r="31" spans="1:5">
      <c r="A31" s="587" t="s">
        <v>4877</v>
      </c>
    </row>
    <row r="33" spans="1:1">
      <c r="A33" s="587" t="s">
        <v>4870</v>
      </c>
    </row>
    <row r="37" spans="1:1" ht="20.25">
      <c r="A37" s="586" t="s">
        <v>4868</v>
      </c>
    </row>
  </sheetData>
  <mergeCells count="7">
    <mergeCell ref="C26:D26"/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Q43"/>
  <sheetViews>
    <sheetView topLeftCell="A27" zoomScale="90" zoomScaleNormal="90" zoomScaleSheetLayoutView="55" workbookViewId="0">
      <selection activeCell="H33" sqref="H33"/>
    </sheetView>
  </sheetViews>
  <sheetFormatPr defaultRowHeight="12"/>
  <cols>
    <col min="1" max="1" width="9" style="667"/>
    <col min="2" max="2" width="11.375" style="667" customWidth="1"/>
    <col min="3" max="3" width="9.875" style="667" bestFit="1" customWidth="1"/>
    <col min="4" max="5" width="9" style="667"/>
    <col min="6" max="6" width="11.625" style="667" customWidth="1"/>
    <col min="7" max="7" width="9" style="667"/>
    <col min="8" max="8" width="38.25" style="667" customWidth="1"/>
    <col min="9" max="9" width="12.375" style="667" customWidth="1"/>
    <col min="10" max="10" width="12.625" style="667" bestFit="1" customWidth="1"/>
    <col min="11" max="11" width="9" style="667"/>
    <col min="12" max="12" width="13.625" style="667" customWidth="1"/>
    <col min="13" max="13" width="14.5" style="667" customWidth="1"/>
    <col min="14" max="14" width="39.75" style="667" bestFit="1" customWidth="1"/>
    <col min="15" max="15" width="10.875" style="667" bestFit="1" customWidth="1"/>
    <col min="16" max="16384" width="9" style="667"/>
  </cols>
  <sheetData>
    <row r="1" spans="1:13" ht="12.75" hidden="1" thickBot="1">
      <c r="A1" s="679"/>
      <c r="B1" s="679"/>
      <c r="C1" s="679"/>
      <c r="D1" s="679"/>
      <c r="E1" s="679"/>
      <c r="F1" s="679"/>
      <c r="G1" s="679"/>
      <c r="H1" s="679"/>
      <c r="I1" s="679"/>
      <c r="J1" s="679"/>
      <c r="K1" s="679"/>
      <c r="L1" s="679"/>
      <c r="M1" s="679"/>
    </row>
    <row r="2" spans="1:13">
      <c r="A2" s="1153" t="s">
        <v>7549</v>
      </c>
      <c r="B2" s="1153" t="s">
        <v>1</v>
      </c>
      <c r="C2" s="1153" t="s">
        <v>2</v>
      </c>
      <c r="D2" s="1153" t="s">
        <v>3</v>
      </c>
      <c r="E2" s="777" t="s">
        <v>2623</v>
      </c>
      <c r="F2" s="1153" t="s">
        <v>5</v>
      </c>
      <c r="G2" s="1153" t="s">
        <v>6</v>
      </c>
      <c r="H2" s="1153" t="s">
        <v>2624</v>
      </c>
      <c r="I2" s="1153" t="s">
        <v>55</v>
      </c>
      <c r="J2" s="1153" t="s">
        <v>9</v>
      </c>
      <c r="K2" s="1154" t="s">
        <v>56</v>
      </c>
      <c r="L2" s="1153" t="s">
        <v>57</v>
      </c>
      <c r="M2" s="1153" t="s">
        <v>58</v>
      </c>
    </row>
    <row r="3" spans="1:13">
      <c r="A3" s="1153"/>
      <c r="B3" s="1153"/>
      <c r="C3" s="1153"/>
      <c r="D3" s="1153"/>
      <c r="E3" s="777" t="s">
        <v>1724</v>
      </c>
      <c r="F3" s="1153"/>
      <c r="G3" s="1153"/>
      <c r="H3" s="1153"/>
      <c r="I3" s="1153"/>
      <c r="J3" s="1153"/>
      <c r="K3" s="1154"/>
      <c r="L3" s="1153"/>
      <c r="M3" s="1153"/>
    </row>
    <row r="4" spans="1:13" s="680" customFormat="1" ht="17.100000000000001" customHeight="1">
      <c r="A4" s="948" t="s">
        <v>20</v>
      </c>
      <c r="B4" s="399" t="s">
        <v>7572</v>
      </c>
      <c r="C4" s="721" t="s">
        <v>7389</v>
      </c>
      <c r="D4" s="632" t="s">
        <v>7390</v>
      </c>
      <c r="E4" s="633" t="s">
        <v>7391</v>
      </c>
      <c r="F4" s="876">
        <v>7065</v>
      </c>
      <c r="G4" s="876" t="s">
        <v>7573</v>
      </c>
      <c r="H4" s="878" t="s">
        <v>7574</v>
      </c>
      <c r="I4" s="633" t="s">
        <v>7575</v>
      </c>
      <c r="J4" s="878" t="s">
        <v>7576</v>
      </c>
      <c r="K4" s="698" t="s">
        <v>7467</v>
      </c>
      <c r="L4" s="877">
        <f>250000*3</f>
        <v>750000</v>
      </c>
      <c r="M4" s="646"/>
    </row>
    <row r="5" spans="1:13" s="680" customFormat="1" ht="17.100000000000001" customHeight="1">
      <c r="A5" s="948"/>
      <c r="B5" s="399" t="s">
        <v>7579</v>
      </c>
      <c r="C5" s="721" t="s">
        <v>7389</v>
      </c>
      <c r="D5" s="632" t="s">
        <v>7390</v>
      </c>
      <c r="E5" s="633" t="s">
        <v>7391</v>
      </c>
      <c r="F5" s="876" t="s">
        <v>7577</v>
      </c>
      <c r="G5" s="876" t="s">
        <v>7578</v>
      </c>
      <c r="H5" s="914" t="s">
        <v>7574</v>
      </c>
      <c r="I5" s="633" t="s">
        <v>7575</v>
      </c>
      <c r="J5" s="914" t="s">
        <v>7580</v>
      </c>
      <c r="K5" s="698" t="s">
        <v>7467</v>
      </c>
      <c r="L5" s="912">
        <f>250000*2</f>
        <v>500000</v>
      </c>
      <c r="M5" s="646"/>
    </row>
    <row r="6" spans="1:13" s="680" customFormat="1" ht="17.100000000000001" customHeight="1">
      <c r="A6" s="948"/>
      <c r="B6" s="399">
        <v>46321</v>
      </c>
      <c r="C6" s="721" t="s">
        <v>7389</v>
      </c>
      <c r="D6" s="632" t="s">
        <v>7390</v>
      </c>
      <c r="E6" s="633" t="s">
        <v>7391</v>
      </c>
      <c r="F6" s="911" t="s">
        <v>7577</v>
      </c>
      <c r="G6" s="911" t="s">
        <v>7592</v>
      </c>
      <c r="H6" s="914" t="s">
        <v>7593</v>
      </c>
      <c r="I6" s="633" t="s">
        <v>7598</v>
      </c>
      <c r="J6" s="914" t="s">
        <v>7582</v>
      </c>
      <c r="K6" s="698" t="s">
        <v>7467</v>
      </c>
      <c r="L6" s="912">
        <v>250000</v>
      </c>
      <c r="M6" s="646"/>
    </row>
    <row r="7" spans="1:13" s="680" customFormat="1" ht="17.100000000000001" customHeight="1">
      <c r="A7" s="948"/>
      <c r="B7" s="399">
        <v>46322</v>
      </c>
      <c r="C7" s="721" t="s">
        <v>7389</v>
      </c>
      <c r="D7" s="632" t="s">
        <v>7390</v>
      </c>
      <c r="E7" s="633" t="s">
        <v>7391</v>
      </c>
      <c r="F7" s="911" t="s">
        <v>7577</v>
      </c>
      <c r="G7" s="911" t="s">
        <v>7578</v>
      </c>
      <c r="H7" s="851" t="s">
        <v>7583</v>
      </c>
      <c r="I7" s="633" t="s">
        <v>7581</v>
      </c>
      <c r="J7" s="851" t="s">
        <v>7582</v>
      </c>
      <c r="K7" s="698" t="s">
        <v>7467</v>
      </c>
      <c r="L7" s="877">
        <v>250000</v>
      </c>
      <c r="M7" s="646"/>
    </row>
    <row r="8" spans="1:13" s="680" customFormat="1" ht="17.100000000000001" customHeight="1">
      <c r="A8" s="948"/>
      <c r="B8" s="399">
        <v>46323</v>
      </c>
      <c r="C8" s="721" t="s">
        <v>7389</v>
      </c>
      <c r="D8" s="632" t="s">
        <v>7390</v>
      </c>
      <c r="E8" s="633" t="s">
        <v>7391</v>
      </c>
      <c r="F8" s="850" t="s">
        <v>7584</v>
      </c>
      <c r="G8" s="850" t="s">
        <v>7585</v>
      </c>
      <c r="H8" s="914" t="s">
        <v>7583</v>
      </c>
      <c r="I8" s="633" t="s">
        <v>7581</v>
      </c>
      <c r="J8" s="914" t="s">
        <v>7582</v>
      </c>
      <c r="K8" s="698" t="s">
        <v>7467</v>
      </c>
      <c r="L8" s="877">
        <v>250000</v>
      </c>
      <c r="M8" s="646"/>
    </row>
    <row r="9" spans="1:13" s="680" customFormat="1" ht="17.100000000000001" customHeight="1">
      <c r="A9" s="948"/>
      <c r="B9" s="399" t="s">
        <v>7594</v>
      </c>
      <c r="C9" s="721" t="s">
        <v>7389</v>
      </c>
      <c r="D9" s="632" t="s">
        <v>7390</v>
      </c>
      <c r="E9" s="633" t="s">
        <v>7391</v>
      </c>
      <c r="F9" s="911">
        <v>7065</v>
      </c>
      <c r="G9" s="911" t="s">
        <v>7595</v>
      </c>
      <c r="H9" s="914" t="s">
        <v>7596</v>
      </c>
      <c r="I9" s="633" t="s">
        <v>7581</v>
      </c>
      <c r="J9" s="914" t="s">
        <v>7597</v>
      </c>
      <c r="K9" s="698" t="s">
        <v>7467</v>
      </c>
      <c r="L9" s="912">
        <v>500000</v>
      </c>
      <c r="M9" s="646"/>
    </row>
    <row r="10" spans="1:13" s="680" customFormat="1" ht="17.100000000000001" customHeight="1">
      <c r="A10" s="948"/>
      <c r="B10" s="399" t="s">
        <v>7588</v>
      </c>
      <c r="C10" s="721" t="s">
        <v>7389</v>
      </c>
      <c r="D10" s="632" t="s">
        <v>7390</v>
      </c>
      <c r="E10" s="633" t="s">
        <v>7391</v>
      </c>
      <c r="F10" s="862" t="s">
        <v>7586</v>
      </c>
      <c r="G10" s="862" t="s">
        <v>7587</v>
      </c>
      <c r="H10" s="878" t="s">
        <v>7589</v>
      </c>
      <c r="I10" s="633" t="s">
        <v>7590</v>
      </c>
      <c r="J10" s="878" t="s">
        <v>7591</v>
      </c>
      <c r="K10" s="698" t="s">
        <v>7467</v>
      </c>
      <c r="L10" s="912">
        <f>250000*5</f>
        <v>1250000</v>
      </c>
      <c r="M10" s="646"/>
    </row>
    <row r="11" spans="1:13" ht="17.100000000000001" customHeight="1">
      <c r="A11" s="948"/>
      <c r="B11" s="948" t="s">
        <v>1136</v>
      </c>
      <c r="C11" s="948"/>
      <c r="D11" s="948"/>
      <c r="E11" s="948"/>
      <c r="F11" s="948"/>
      <c r="G11" s="948"/>
      <c r="H11" s="948"/>
      <c r="I11" s="948"/>
      <c r="J11" s="948"/>
      <c r="K11" s="948"/>
      <c r="L11" s="724">
        <f>SUM(L4:L10)</f>
        <v>3750000</v>
      </c>
      <c r="M11" s="646"/>
    </row>
    <row r="12" spans="1:13" ht="13.5">
      <c r="A12" s="948" t="s">
        <v>21</v>
      </c>
      <c r="B12" s="399">
        <v>46318</v>
      </c>
      <c r="C12" s="4" t="s">
        <v>21</v>
      </c>
      <c r="D12" s="4" t="s">
        <v>14</v>
      </c>
      <c r="E12" s="913" t="s">
        <v>7429</v>
      </c>
      <c r="F12" s="913" t="s">
        <v>2959</v>
      </c>
      <c r="G12" s="16" t="s">
        <v>143</v>
      </c>
      <c r="H12" s="916" t="s">
        <v>7518</v>
      </c>
      <c r="I12" s="913"/>
      <c r="J12" s="913" t="s">
        <v>7524</v>
      </c>
      <c r="K12" s="125" t="s">
        <v>15</v>
      </c>
      <c r="L12" s="752">
        <v>500000</v>
      </c>
      <c r="M12" s="646" t="s">
        <v>7571</v>
      </c>
    </row>
    <row r="13" spans="1:13" ht="13.5">
      <c r="A13" s="948"/>
      <c r="B13" s="399">
        <v>46321</v>
      </c>
      <c r="C13" s="4" t="s">
        <v>21</v>
      </c>
      <c r="D13" s="4" t="s">
        <v>14</v>
      </c>
      <c r="E13" s="913" t="s">
        <v>107</v>
      </c>
      <c r="F13" s="913" t="s">
        <v>7430</v>
      </c>
      <c r="G13" s="16" t="s">
        <v>143</v>
      </c>
      <c r="H13" s="916" t="s">
        <v>3607</v>
      </c>
      <c r="I13" s="913"/>
      <c r="J13" s="913" t="s">
        <v>3668</v>
      </c>
      <c r="K13" s="125" t="s">
        <v>15</v>
      </c>
      <c r="L13" s="752">
        <v>500000</v>
      </c>
      <c r="M13" s="646" t="s">
        <v>7569</v>
      </c>
    </row>
    <row r="14" spans="1:13" ht="27">
      <c r="A14" s="948"/>
      <c r="B14" s="369">
        <v>46325</v>
      </c>
      <c r="C14" s="4" t="s">
        <v>21</v>
      </c>
      <c r="D14" s="4" t="s">
        <v>7455</v>
      </c>
      <c r="E14" s="916" t="s">
        <v>7392</v>
      </c>
      <c r="F14" s="913" t="s">
        <v>3498</v>
      </c>
      <c r="G14" s="16" t="s">
        <v>23</v>
      </c>
      <c r="H14" s="916" t="s">
        <v>7548</v>
      </c>
      <c r="I14" s="913"/>
      <c r="J14" s="913" t="s">
        <v>7547</v>
      </c>
      <c r="K14" s="125" t="s">
        <v>15</v>
      </c>
      <c r="L14" s="752">
        <v>500000</v>
      </c>
      <c r="M14" s="646" t="s">
        <v>7570</v>
      </c>
    </row>
    <row r="15" spans="1:13" ht="17.100000000000001" customHeight="1">
      <c r="A15" s="948"/>
      <c r="B15" s="948" t="s">
        <v>4879</v>
      </c>
      <c r="C15" s="948"/>
      <c r="D15" s="948"/>
      <c r="E15" s="948"/>
      <c r="F15" s="948"/>
      <c r="G15" s="948"/>
      <c r="H15" s="948"/>
      <c r="I15" s="948"/>
      <c r="J15" s="948"/>
      <c r="K15" s="948"/>
      <c r="L15" s="724">
        <f>SUM(L12:L14)</f>
        <v>1500000</v>
      </c>
      <c r="M15" s="646"/>
    </row>
    <row r="16" spans="1:13" ht="25.5" customHeight="1">
      <c r="A16" s="1155" t="s">
        <v>62</v>
      </c>
      <c r="B16" s="1155"/>
      <c r="C16" s="1155"/>
      <c r="D16" s="1155"/>
      <c r="E16" s="1155"/>
      <c r="F16" s="1155"/>
      <c r="G16" s="1155"/>
      <c r="H16" s="1155"/>
      <c r="I16" s="1155"/>
      <c r="J16" s="1155"/>
      <c r="K16" s="1155"/>
      <c r="L16" s="724">
        <f>L11+L15</f>
        <v>5250000</v>
      </c>
      <c r="M16" s="649"/>
    </row>
    <row r="17" spans="1:16" ht="26.25" customHeight="1">
      <c r="N17" s="859"/>
    </row>
    <row r="18" spans="1:16" ht="26.25" hidden="1" customHeight="1"/>
    <row r="19" spans="1:16" ht="25.5" hidden="1" customHeight="1">
      <c r="B19" s="681" t="s">
        <v>1144</v>
      </c>
      <c r="C19" s="682"/>
      <c r="D19" s="682"/>
      <c r="E19" s="682"/>
      <c r="F19" s="682"/>
      <c r="G19" s="682"/>
      <c r="H19" s="682"/>
      <c r="I19" s="682"/>
    </row>
    <row r="20" spans="1:16" ht="25.5" hidden="1" customHeight="1">
      <c r="B20" s="683" t="s">
        <v>1140</v>
      </c>
      <c r="C20" s="681">
        <v>45282</v>
      </c>
      <c r="D20" s="682" t="s">
        <v>1151</v>
      </c>
      <c r="E20" s="682"/>
      <c r="F20" s="682"/>
      <c r="G20" s="682"/>
      <c r="I20" s="682"/>
    </row>
    <row r="21" spans="1:16" ht="25.5" hidden="1" customHeight="1">
      <c r="B21" s="683" t="s">
        <v>1141</v>
      </c>
      <c r="C21" s="681">
        <v>45282</v>
      </c>
      <c r="D21" s="682" t="s">
        <v>1143</v>
      </c>
      <c r="E21" s="682"/>
      <c r="F21" s="682"/>
      <c r="G21" s="682"/>
      <c r="H21" s="682"/>
      <c r="I21" s="682"/>
    </row>
    <row r="22" spans="1:16" ht="25.5" hidden="1" customHeight="1">
      <c r="B22" s="683" t="s">
        <v>1145</v>
      </c>
      <c r="C22" s="684" t="s">
        <v>1142</v>
      </c>
      <c r="D22" s="682" t="s">
        <v>1152</v>
      </c>
      <c r="E22" s="682"/>
      <c r="F22" s="682"/>
      <c r="G22" s="682"/>
      <c r="H22" s="682"/>
      <c r="I22" s="682"/>
    </row>
    <row r="23" spans="1:16" ht="20.100000000000001" hidden="1" customHeight="1">
      <c r="B23" s="682"/>
      <c r="C23" s="682" t="s">
        <v>1146</v>
      </c>
      <c r="D23" s="682"/>
      <c r="E23" s="682"/>
      <c r="F23" s="682"/>
      <c r="G23" s="682"/>
      <c r="H23" s="682"/>
      <c r="I23" s="682"/>
    </row>
    <row r="24" spans="1:16" ht="16.5" hidden="1" customHeight="1"/>
    <row r="25" spans="1:16" ht="20.100000000000001" hidden="1" customHeight="1">
      <c r="J25" s="682"/>
    </row>
    <row r="28" spans="1:16" ht="28.5" customHeight="1">
      <c r="A28" s="854" t="s">
        <v>0</v>
      </c>
      <c r="B28" s="855" t="s">
        <v>1</v>
      </c>
      <c r="C28" s="854" t="s">
        <v>2</v>
      </c>
      <c r="D28" s="854" t="s">
        <v>3</v>
      </c>
      <c r="E28" s="854" t="s">
        <v>4</v>
      </c>
      <c r="F28" s="854" t="s">
        <v>5</v>
      </c>
      <c r="G28" s="854" t="s">
        <v>6</v>
      </c>
      <c r="H28" s="856" t="s">
        <v>7</v>
      </c>
      <c r="I28" s="854" t="s">
        <v>8</v>
      </c>
      <c r="J28" s="854" t="s">
        <v>9</v>
      </c>
      <c r="K28" s="857" t="s">
        <v>10</v>
      </c>
      <c r="L28" s="854" t="s">
        <v>12</v>
      </c>
      <c r="M28" s="858" t="s">
        <v>63</v>
      </c>
      <c r="N28" s="924"/>
    </row>
    <row r="29" spans="1:16" s="17" customFormat="1" ht="33" customHeight="1">
      <c r="A29" s="908" t="s">
        <v>7319</v>
      </c>
      <c r="B29" s="399">
        <v>46321</v>
      </c>
      <c r="C29" s="4" t="s">
        <v>21</v>
      </c>
      <c r="D29" s="4" t="s">
        <v>7425</v>
      </c>
      <c r="E29" s="916" t="s">
        <v>3280</v>
      </c>
      <c r="F29" s="913" t="s">
        <v>3635</v>
      </c>
      <c r="G29" s="16" t="s">
        <v>7426</v>
      </c>
      <c r="H29" s="916" t="s">
        <v>7427</v>
      </c>
      <c r="I29" s="913"/>
      <c r="J29" s="913" t="s">
        <v>7428</v>
      </c>
      <c r="K29" s="125" t="s">
        <v>7387</v>
      </c>
      <c r="L29" s="8">
        <v>1</v>
      </c>
      <c r="M29" s="8"/>
      <c r="N29" s="913"/>
      <c r="O29" s="922"/>
      <c r="P29" s="913"/>
    </row>
    <row r="30" spans="1:16" s="17" customFormat="1" ht="33" customHeight="1">
      <c r="A30" s="909"/>
      <c r="B30" s="399">
        <v>46321</v>
      </c>
      <c r="C30" s="4" t="s">
        <v>21</v>
      </c>
      <c r="D30" s="4" t="s">
        <v>14</v>
      </c>
      <c r="E30" s="916" t="s">
        <v>7510</v>
      </c>
      <c r="F30" s="913" t="s">
        <v>2916</v>
      </c>
      <c r="G30" s="16" t="s">
        <v>2965</v>
      </c>
      <c r="H30" s="916" t="s">
        <v>7511</v>
      </c>
      <c r="I30" s="916" t="s">
        <v>7512</v>
      </c>
      <c r="J30" s="916" t="s">
        <v>7513</v>
      </c>
      <c r="K30" s="125" t="s">
        <v>15</v>
      </c>
      <c r="L30" s="8">
        <v>6</v>
      </c>
      <c r="M30" s="8"/>
      <c r="N30" s="913"/>
      <c r="O30" s="922"/>
      <c r="P30" s="913"/>
    </row>
    <row r="31" spans="1:16" s="17" customFormat="1" ht="33" customHeight="1">
      <c r="A31" s="909"/>
      <c r="B31" s="399">
        <v>46321</v>
      </c>
      <c r="C31" s="4" t="s">
        <v>7443</v>
      </c>
      <c r="D31" s="4" t="s">
        <v>7444</v>
      </c>
      <c r="E31" s="916" t="s">
        <v>6551</v>
      </c>
      <c r="F31" s="913">
        <v>8262</v>
      </c>
      <c r="G31" s="16" t="s">
        <v>7445</v>
      </c>
      <c r="H31" s="916" t="s">
        <v>7537</v>
      </c>
      <c r="I31" s="913"/>
      <c r="J31" s="913" t="s">
        <v>7446</v>
      </c>
      <c r="K31" s="125" t="s">
        <v>15</v>
      </c>
      <c r="L31" s="8">
        <v>1</v>
      </c>
      <c r="M31" s="8"/>
      <c r="N31" s="913"/>
      <c r="O31" s="922"/>
      <c r="P31" s="913"/>
    </row>
    <row r="32" spans="1:16" s="17" customFormat="1" ht="33" customHeight="1">
      <c r="A32" s="909"/>
      <c r="B32" s="399">
        <v>46321</v>
      </c>
      <c r="C32" s="4" t="s">
        <v>21</v>
      </c>
      <c r="D32" s="4" t="s">
        <v>14</v>
      </c>
      <c r="E32" s="913" t="s">
        <v>107</v>
      </c>
      <c r="F32" s="913" t="s">
        <v>7430</v>
      </c>
      <c r="G32" s="16" t="s">
        <v>143</v>
      </c>
      <c r="H32" s="916" t="s">
        <v>3607</v>
      </c>
      <c r="I32" s="913"/>
      <c r="J32" s="913" t="s">
        <v>3668</v>
      </c>
      <c r="K32" s="125" t="s">
        <v>15</v>
      </c>
      <c r="L32" s="8">
        <v>2</v>
      </c>
      <c r="M32" s="8"/>
      <c r="N32" s="913"/>
      <c r="O32" s="922"/>
      <c r="P32" s="913"/>
    </row>
    <row r="33" spans="1:17" s="17" customFormat="1" ht="33" customHeight="1">
      <c r="A33" s="909"/>
      <c r="B33" s="399">
        <v>46321</v>
      </c>
      <c r="C33" s="4" t="s">
        <v>6707</v>
      </c>
      <c r="D33" s="4" t="s">
        <v>25</v>
      </c>
      <c r="E33" s="913" t="s">
        <v>6709</v>
      </c>
      <c r="F33" s="913">
        <v>7065</v>
      </c>
      <c r="G33" s="16" t="s">
        <v>145</v>
      </c>
      <c r="H33" s="916" t="s">
        <v>7534</v>
      </c>
      <c r="I33" s="913" t="s">
        <v>90</v>
      </c>
      <c r="J33" s="913"/>
      <c r="K33" s="277" t="s">
        <v>209</v>
      </c>
      <c r="L33" s="18" t="s">
        <v>209</v>
      </c>
      <c r="M33" s="18"/>
      <c r="N33" s="913"/>
      <c r="O33" s="922"/>
      <c r="P33" s="913"/>
    </row>
    <row r="34" spans="1:17" s="17" customFormat="1" ht="33" customHeight="1">
      <c r="A34" s="909"/>
      <c r="B34" s="399">
        <v>46322</v>
      </c>
      <c r="C34" s="4" t="s">
        <v>21</v>
      </c>
      <c r="D34" s="4" t="s">
        <v>14</v>
      </c>
      <c r="E34" s="913" t="s">
        <v>107</v>
      </c>
      <c r="F34" s="913" t="s">
        <v>7430</v>
      </c>
      <c r="G34" s="16" t="s">
        <v>143</v>
      </c>
      <c r="H34" s="916" t="s">
        <v>271</v>
      </c>
      <c r="I34" s="913"/>
      <c r="J34" s="913" t="s">
        <v>3668</v>
      </c>
      <c r="K34" s="125" t="s">
        <v>15</v>
      </c>
      <c r="L34" s="8">
        <v>2</v>
      </c>
      <c r="M34" s="8"/>
      <c r="N34" s="913"/>
      <c r="O34" s="922"/>
      <c r="P34" s="913"/>
    </row>
    <row r="35" spans="1:17" s="17" customFormat="1" ht="33" customHeight="1">
      <c r="A35" s="909"/>
      <c r="B35" s="399">
        <v>46322</v>
      </c>
      <c r="C35" s="4" t="s">
        <v>7443</v>
      </c>
      <c r="D35" s="4" t="s">
        <v>7444</v>
      </c>
      <c r="E35" s="916" t="s">
        <v>6551</v>
      </c>
      <c r="F35" s="913">
        <v>8263</v>
      </c>
      <c r="G35" s="16" t="s">
        <v>7445</v>
      </c>
      <c r="H35" s="916" t="s">
        <v>7537</v>
      </c>
      <c r="I35" s="913"/>
      <c r="J35" s="913" t="s">
        <v>7446</v>
      </c>
      <c r="K35" s="125" t="s">
        <v>15</v>
      </c>
      <c r="L35" s="8">
        <v>1</v>
      </c>
      <c r="M35" s="8"/>
      <c r="N35" s="913"/>
      <c r="O35" s="922"/>
      <c r="P35" s="913"/>
    </row>
    <row r="36" spans="1:17" s="17" customFormat="1" ht="33" customHeight="1">
      <c r="A36" s="909"/>
      <c r="B36" s="399">
        <v>46322</v>
      </c>
      <c r="C36" s="4" t="s">
        <v>7452</v>
      </c>
      <c r="D36" s="4" t="s">
        <v>7453</v>
      </c>
      <c r="E36" s="916" t="s">
        <v>7279</v>
      </c>
      <c r="F36" s="913" t="s">
        <v>7451</v>
      </c>
      <c r="G36" s="16" t="s">
        <v>7393</v>
      </c>
      <c r="H36" s="916" t="s">
        <v>7454</v>
      </c>
      <c r="I36" s="913" t="s">
        <v>7408</v>
      </c>
      <c r="J36" s="913"/>
      <c r="K36" s="125" t="s">
        <v>15</v>
      </c>
      <c r="L36" s="8">
        <v>1</v>
      </c>
      <c r="M36" s="8"/>
      <c r="N36" s="913"/>
      <c r="O36" s="922"/>
      <c r="P36" s="913"/>
    </row>
    <row r="37" spans="1:17" s="17" customFormat="1" ht="33" customHeight="1">
      <c r="A37" s="909"/>
      <c r="B37" s="399">
        <v>46322</v>
      </c>
      <c r="C37" s="4" t="s">
        <v>6707</v>
      </c>
      <c r="D37" s="4" t="s">
        <v>25</v>
      </c>
      <c r="E37" s="913" t="s">
        <v>6709</v>
      </c>
      <c r="F37" s="913">
        <v>7065</v>
      </c>
      <c r="G37" s="16" t="s">
        <v>145</v>
      </c>
      <c r="H37" s="916" t="s">
        <v>7534</v>
      </c>
      <c r="I37" s="913" t="s">
        <v>7033</v>
      </c>
      <c r="J37" s="913"/>
      <c r="K37" s="277" t="s">
        <v>209</v>
      </c>
      <c r="L37" s="18" t="s">
        <v>209</v>
      </c>
      <c r="M37" s="18"/>
      <c r="N37" s="913"/>
      <c r="O37" s="922"/>
      <c r="P37" s="913"/>
    </row>
    <row r="38" spans="1:17" s="17" customFormat="1" ht="33" customHeight="1">
      <c r="A38" s="909"/>
      <c r="B38" s="399">
        <v>46323</v>
      </c>
      <c r="C38" s="4" t="s">
        <v>21</v>
      </c>
      <c r="D38" s="4" t="s">
        <v>14</v>
      </c>
      <c r="E38" s="913" t="s">
        <v>7429</v>
      </c>
      <c r="F38" s="913" t="s">
        <v>2959</v>
      </c>
      <c r="G38" s="16" t="s">
        <v>143</v>
      </c>
      <c r="H38" s="916" t="s">
        <v>7518</v>
      </c>
      <c r="I38" s="913"/>
      <c r="J38" s="913" t="s">
        <v>7568</v>
      </c>
      <c r="K38" s="125" t="s">
        <v>15</v>
      </c>
      <c r="L38" s="8">
        <v>2</v>
      </c>
      <c r="M38" s="8"/>
      <c r="N38" s="913"/>
      <c r="O38" s="922"/>
      <c r="P38" s="913"/>
    </row>
    <row r="39" spans="1:17" s="17" customFormat="1" ht="33" customHeight="1">
      <c r="A39" s="909"/>
      <c r="B39" s="399">
        <v>46323</v>
      </c>
      <c r="C39" s="4" t="s">
        <v>6707</v>
      </c>
      <c r="D39" s="4" t="s">
        <v>25</v>
      </c>
      <c r="E39" s="913" t="s">
        <v>6709</v>
      </c>
      <c r="F39" s="913">
        <v>7065</v>
      </c>
      <c r="G39" s="16" t="s">
        <v>145</v>
      </c>
      <c r="H39" s="916" t="s">
        <v>7534</v>
      </c>
      <c r="I39" s="913" t="s">
        <v>7546</v>
      </c>
      <c r="J39" s="913"/>
      <c r="K39" s="277" t="s">
        <v>209</v>
      </c>
      <c r="L39" s="18" t="s">
        <v>209</v>
      </c>
      <c r="M39" s="18"/>
      <c r="N39" s="915"/>
      <c r="O39" s="923"/>
      <c r="P39" s="913"/>
    </row>
    <row r="40" spans="1:17" s="17" customFormat="1" ht="33" customHeight="1">
      <c r="A40" s="909"/>
      <c r="B40" s="399">
        <v>46323</v>
      </c>
      <c r="C40" s="4" t="s">
        <v>186</v>
      </c>
      <c r="D40" s="4" t="s">
        <v>7444</v>
      </c>
      <c r="E40" s="916" t="s">
        <v>6551</v>
      </c>
      <c r="F40" s="913" t="s">
        <v>7507</v>
      </c>
      <c r="G40" s="16" t="s">
        <v>2193</v>
      </c>
      <c r="H40" s="916" t="s">
        <v>7508</v>
      </c>
      <c r="I40" s="913" t="s">
        <v>7509</v>
      </c>
      <c r="J40" s="913"/>
      <c r="K40" s="125" t="s">
        <v>15</v>
      </c>
      <c r="L40" s="8">
        <v>2</v>
      </c>
      <c r="M40" s="8"/>
      <c r="N40" s="915"/>
      <c r="O40" s="923"/>
      <c r="P40" s="913"/>
    </row>
    <row r="41" spans="1:17" s="17" customFormat="1" ht="33" customHeight="1">
      <c r="A41" s="909"/>
      <c r="B41" s="399">
        <v>46324</v>
      </c>
      <c r="C41" s="4" t="s">
        <v>6707</v>
      </c>
      <c r="D41" s="4" t="s">
        <v>25</v>
      </c>
      <c r="E41" s="913" t="s">
        <v>6709</v>
      </c>
      <c r="F41" s="913">
        <v>7065</v>
      </c>
      <c r="G41" s="16" t="s">
        <v>145</v>
      </c>
      <c r="H41" s="916" t="s">
        <v>7534</v>
      </c>
      <c r="I41" s="913" t="s">
        <v>7033</v>
      </c>
      <c r="J41" s="913"/>
      <c r="K41" s="277" t="s">
        <v>209</v>
      </c>
      <c r="L41" s="18" t="s">
        <v>209</v>
      </c>
      <c r="M41" s="18"/>
      <c r="N41" s="915" t="s">
        <v>90</v>
      </c>
      <c r="O41" s="923"/>
      <c r="P41" s="913"/>
    </row>
    <row r="42" spans="1:17" s="17" customFormat="1" ht="33" customHeight="1">
      <c r="A42" s="909"/>
      <c r="B42" s="369">
        <v>46325</v>
      </c>
      <c r="C42" s="399">
        <v>46324</v>
      </c>
      <c r="D42" s="4" t="s">
        <v>6707</v>
      </c>
      <c r="E42" s="4" t="s">
        <v>25</v>
      </c>
      <c r="F42" s="913" t="s">
        <v>6709</v>
      </c>
      <c r="G42" s="913">
        <v>7065</v>
      </c>
      <c r="H42" s="16" t="s">
        <v>145</v>
      </c>
      <c r="I42" s="916" t="s">
        <v>7534</v>
      </c>
      <c r="J42" s="913" t="s">
        <v>7033</v>
      </c>
      <c r="K42" s="913"/>
      <c r="L42" s="277" t="s">
        <v>209</v>
      </c>
      <c r="M42" s="18"/>
      <c r="N42" s="915"/>
      <c r="O42" s="923"/>
      <c r="P42" s="913"/>
    </row>
    <row r="43" spans="1:17" s="17" customFormat="1" ht="33" customHeight="1">
      <c r="A43" s="910"/>
      <c r="B43" s="369">
        <v>46325</v>
      </c>
      <c r="C43" s="4" t="s">
        <v>21</v>
      </c>
      <c r="D43" s="4" t="s">
        <v>7455</v>
      </c>
      <c r="E43" s="916" t="s">
        <v>7392</v>
      </c>
      <c r="F43" s="913" t="s">
        <v>3498</v>
      </c>
      <c r="G43" s="16" t="s">
        <v>23</v>
      </c>
      <c r="H43" s="916" t="s">
        <v>7548</v>
      </c>
      <c r="I43" s="913"/>
      <c r="J43" s="913" t="s">
        <v>7547</v>
      </c>
      <c r="K43" s="125" t="s">
        <v>15</v>
      </c>
      <c r="L43" s="18">
        <v>2</v>
      </c>
      <c r="M43" s="18"/>
      <c r="N43" s="915" t="s">
        <v>90</v>
      </c>
      <c r="O43" s="923"/>
      <c r="P43" s="913"/>
      <c r="Q43" s="17" t="s">
        <v>7449</v>
      </c>
    </row>
  </sheetData>
  <mergeCells count="17">
    <mergeCell ref="B11:K11"/>
    <mergeCell ref="A16:K16"/>
    <mergeCell ref="B15:K15"/>
    <mergeCell ref="A12:A15"/>
    <mergeCell ref="A4:A11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142"/>
  <sheetViews>
    <sheetView topLeftCell="A1101" zoomScaleNormal="100" workbookViewId="0">
      <selection activeCell="F1128" sqref="F1128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9" max="9" width="10.875" bestFit="1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194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204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204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204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204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204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204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204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204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204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204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204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204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204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204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195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949" t="s">
        <v>53</v>
      </c>
      <c r="B21" s="949"/>
      <c r="C21" s="949"/>
      <c r="D21" s="949"/>
      <c r="E21" s="949"/>
      <c r="F21" s="949"/>
      <c r="G21" s="949"/>
      <c r="H21" s="949"/>
      <c r="I21" s="949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189" t="s">
        <v>53</v>
      </c>
      <c r="B26" s="1190"/>
      <c r="C26" s="1190"/>
      <c r="D26" s="1190"/>
      <c r="E26" s="1190"/>
      <c r="F26" s="1190"/>
      <c r="G26" s="1190"/>
      <c r="H26" s="1190"/>
      <c r="I26" s="1191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204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204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204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204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204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189" t="s">
        <v>53</v>
      </c>
      <c r="B35" s="1190"/>
      <c r="C35" s="1190"/>
      <c r="D35" s="1190"/>
      <c r="E35" s="1190"/>
      <c r="F35" s="1190"/>
      <c r="G35" s="1190"/>
      <c r="H35" s="1190"/>
      <c r="I35" s="1191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194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204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195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189" t="s">
        <v>53</v>
      </c>
      <c r="B42" s="1190"/>
      <c r="C42" s="1190"/>
      <c r="D42" s="1190"/>
      <c r="E42" s="1190"/>
      <c r="F42" s="1190"/>
      <c r="G42" s="1190"/>
      <c r="H42" s="1190"/>
      <c r="I42" s="1191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189" t="s">
        <v>53</v>
      </c>
      <c r="B48" s="1190"/>
      <c r="C48" s="1190"/>
      <c r="D48" s="1190"/>
      <c r="E48" s="1190"/>
      <c r="F48" s="1190"/>
      <c r="G48" s="1190"/>
      <c r="H48" s="1190"/>
      <c r="I48" s="1191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204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195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189" t="s">
        <v>53</v>
      </c>
      <c r="B54" s="1190"/>
      <c r="C54" s="1190"/>
      <c r="D54" s="1190"/>
      <c r="E54" s="1190"/>
      <c r="F54" s="1190"/>
      <c r="G54" s="1190"/>
      <c r="H54" s="1190"/>
      <c r="I54" s="1191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194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204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204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204"/>
      <c r="B61" s="1209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204"/>
      <c r="B62" s="1210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204"/>
      <c r="B63" s="1211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189" t="s">
        <v>53</v>
      </c>
      <c r="B64" s="1190"/>
      <c r="C64" s="1190"/>
      <c r="D64" s="1190"/>
      <c r="E64" s="1190"/>
      <c r="F64" s="1190"/>
      <c r="G64" s="1190"/>
      <c r="H64" s="1190"/>
      <c r="I64" s="1191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215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216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189" t="s">
        <v>53</v>
      </c>
      <c r="B70" s="1190"/>
      <c r="C70" s="1190"/>
      <c r="D70" s="1190"/>
      <c r="E70" s="1190"/>
      <c r="F70" s="1190"/>
      <c r="G70" s="1190"/>
      <c r="H70" s="1190"/>
      <c r="I70" s="1191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194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204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949" t="s">
        <v>53</v>
      </c>
      <c r="B78" s="949"/>
      <c r="C78" s="949"/>
      <c r="D78" s="949"/>
      <c r="E78" s="949"/>
      <c r="F78" s="949"/>
      <c r="G78" s="949"/>
      <c r="H78" s="949"/>
      <c r="I78" s="949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204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204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204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204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189" t="s">
        <v>53</v>
      </c>
      <c r="B86" s="1190"/>
      <c r="C86" s="1190"/>
      <c r="D86" s="1190"/>
      <c r="E86" s="1190"/>
      <c r="F86" s="1190"/>
      <c r="G86" s="1190"/>
      <c r="H86" s="1190"/>
      <c r="I86" s="1191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189" t="s">
        <v>53</v>
      </c>
      <c r="B92" s="1190"/>
      <c r="C92" s="1190"/>
      <c r="D92" s="1190"/>
      <c r="E92" s="1190"/>
      <c r="F92" s="1190"/>
      <c r="G92" s="1190"/>
      <c r="H92" s="1190"/>
      <c r="I92" s="1191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204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204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204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204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189" t="s">
        <v>53</v>
      </c>
      <c r="B101" s="1190"/>
      <c r="C101" s="1190"/>
      <c r="D101" s="1190"/>
      <c r="E101" s="1190"/>
      <c r="F101" s="1190"/>
      <c r="G101" s="1190"/>
      <c r="H101" s="1190"/>
      <c r="I101" s="1191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194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204"/>
      <c r="B107" s="1214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204"/>
      <c r="B108" s="1214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204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204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195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949" t="s">
        <v>53</v>
      </c>
      <c r="B112" s="949"/>
      <c r="C112" s="949"/>
      <c r="D112" s="949"/>
      <c r="E112" s="949"/>
      <c r="F112" s="949"/>
      <c r="G112" s="949"/>
      <c r="H112" s="949"/>
      <c r="I112" s="949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974" t="s">
        <v>954</v>
      </c>
      <c r="B119" s="977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975"/>
      <c r="B120" s="979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949" t="s">
        <v>53</v>
      </c>
      <c r="B121" s="949"/>
      <c r="C121" s="949"/>
      <c r="D121" s="949"/>
      <c r="E121" s="949"/>
      <c r="F121" s="949"/>
      <c r="G121" s="949"/>
      <c r="H121" s="949"/>
      <c r="I121" s="949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974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975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975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975"/>
      <c r="B129" s="1212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213" t="s">
        <v>90</v>
      </c>
      <c r="J129" s="1206">
        <v>2</v>
      </c>
      <c r="K129" s="25" t="s">
        <v>52</v>
      </c>
      <c r="L129" s="25" t="s">
        <v>51</v>
      </c>
    </row>
    <row r="130" spans="1:12">
      <c r="A130" s="975"/>
      <c r="B130" s="1212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213"/>
      <c r="J130" s="1208"/>
      <c r="K130" s="25" t="s">
        <v>52</v>
      </c>
      <c r="L130" s="25" t="s">
        <v>51</v>
      </c>
    </row>
    <row r="131" spans="1:12">
      <c r="A131" s="975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975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975"/>
      <c r="B133" s="1010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80" t="s">
        <v>1277</v>
      </c>
      <c r="J133" s="1206">
        <v>1</v>
      </c>
      <c r="K133" s="25" t="s">
        <v>52</v>
      </c>
      <c r="L133" s="25" t="s">
        <v>51</v>
      </c>
    </row>
    <row r="134" spans="1:12">
      <c r="A134" s="975"/>
      <c r="B134" s="1011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1000"/>
      <c r="J134" s="1208"/>
      <c r="K134" s="25" t="s">
        <v>52</v>
      </c>
      <c r="L134" s="25" t="s">
        <v>51</v>
      </c>
    </row>
    <row r="135" spans="1:12">
      <c r="A135" s="975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976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949" t="s">
        <v>53</v>
      </c>
      <c r="B137" s="949"/>
      <c r="C137" s="949"/>
      <c r="D137" s="949"/>
      <c r="E137" s="949"/>
      <c r="F137" s="949"/>
      <c r="G137" s="949"/>
      <c r="H137" s="949"/>
      <c r="I137" s="949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975" t="s">
        <v>1007</v>
      </c>
      <c r="B142" s="1010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975"/>
      <c r="B143" s="1011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975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949" t="s">
        <v>53</v>
      </c>
      <c r="B145" s="949"/>
      <c r="C145" s="949"/>
      <c r="D145" s="949"/>
      <c r="E145" s="949"/>
      <c r="F145" s="949"/>
      <c r="G145" s="949"/>
      <c r="H145" s="949"/>
      <c r="I145" s="949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193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193"/>
      <c r="B150" s="977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193"/>
      <c r="B151" s="979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193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193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1132" t="s">
        <v>53</v>
      </c>
      <c r="B154" s="1132"/>
      <c r="C154" s="1132"/>
      <c r="D154" s="1132"/>
      <c r="E154" s="1132"/>
      <c r="F154" s="1132"/>
      <c r="G154" s="1132"/>
      <c r="H154" s="1132"/>
      <c r="I154" s="1132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974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975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975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975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976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949" t="s">
        <v>53</v>
      </c>
      <c r="B163" s="949"/>
      <c r="C163" s="949"/>
      <c r="D163" s="949"/>
      <c r="E163" s="949"/>
      <c r="F163" s="949"/>
      <c r="G163" s="949"/>
      <c r="H163" s="949"/>
      <c r="I163" s="949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1132" t="s">
        <v>53</v>
      </c>
      <c r="B167" s="1132"/>
      <c r="C167" s="1132"/>
      <c r="D167" s="1132"/>
      <c r="E167" s="1132"/>
      <c r="F167" s="1132"/>
      <c r="G167" s="1132"/>
      <c r="H167" s="1132"/>
      <c r="I167" s="1132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974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975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975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975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975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975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975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975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975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976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949" t="s">
        <v>53</v>
      </c>
      <c r="B183" s="949"/>
      <c r="C183" s="949"/>
      <c r="D183" s="949"/>
      <c r="E183" s="949"/>
      <c r="F183" s="949"/>
      <c r="G183" s="949"/>
      <c r="H183" s="949"/>
      <c r="I183" s="949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1090" t="s">
        <v>1061</v>
      </c>
      <c r="B189" s="977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1091"/>
      <c r="B190" s="979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1091"/>
      <c r="B191" s="977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1091"/>
      <c r="B192" s="979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949" t="s">
        <v>53</v>
      </c>
      <c r="B193" s="949"/>
      <c r="C193" s="949"/>
      <c r="D193" s="949"/>
      <c r="E193" s="949"/>
      <c r="F193" s="949"/>
      <c r="G193" s="949"/>
      <c r="H193" s="949"/>
      <c r="I193" s="949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202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203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203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203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1132" t="s">
        <v>53</v>
      </c>
      <c r="B203" s="1132"/>
      <c r="C203" s="1132"/>
      <c r="D203" s="1132"/>
      <c r="E203" s="1132"/>
      <c r="F203" s="1132"/>
      <c r="G203" s="1132"/>
      <c r="H203" s="1132"/>
      <c r="I203" s="1132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1132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1132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1132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1132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1132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1132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1132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1132" t="s">
        <v>53</v>
      </c>
      <c r="B214" s="1132"/>
      <c r="C214" s="1132"/>
      <c r="D214" s="1132"/>
      <c r="E214" s="1132"/>
      <c r="F214" s="1132"/>
      <c r="G214" s="1132"/>
      <c r="H214" s="1132"/>
      <c r="I214" s="1132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1132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1132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1132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1132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1132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1132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1132" t="s">
        <v>1458</v>
      </c>
      <c r="B226" s="1132"/>
      <c r="C226" s="1132"/>
      <c r="D226" s="1132"/>
      <c r="E226" s="1132"/>
      <c r="F226" s="1132"/>
      <c r="G226" s="1132"/>
      <c r="H226" s="1132"/>
      <c r="I226" s="1132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1132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1132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1132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1132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1132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1132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1132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1132" t="s">
        <v>1499</v>
      </c>
      <c r="B236" s="1132"/>
      <c r="C236" s="1132"/>
      <c r="D236" s="1132"/>
      <c r="E236" s="1132"/>
      <c r="F236" s="1132"/>
      <c r="G236" s="1132"/>
      <c r="H236" s="1132"/>
      <c r="I236" s="1132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204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204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204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204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189" t="s">
        <v>53</v>
      </c>
      <c r="B244" s="1190"/>
      <c r="C244" s="1190"/>
      <c r="D244" s="1190"/>
      <c r="E244" s="1190"/>
      <c r="F244" s="1190"/>
      <c r="G244" s="1190"/>
      <c r="H244" s="1190"/>
      <c r="I244" s="1191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204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204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204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189" t="s">
        <v>53</v>
      </c>
      <c r="B250" s="1190"/>
      <c r="C250" s="1190"/>
      <c r="D250" s="1190"/>
      <c r="E250" s="1190"/>
      <c r="F250" s="1190"/>
      <c r="G250" s="1190"/>
      <c r="H250" s="1190"/>
      <c r="I250" s="1191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204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204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204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204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189" t="s">
        <v>53</v>
      </c>
      <c r="B257" s="1190"/>
      <c r="C257" s="1190"/>
      <c r="D257" s="1190"/>
      <c r="E257" s="1190"/>
      <c r="F257" s="1190"/>
      <c r="G257" s="1190"/>
      <c r="H257" s="1190"/>
      <c r="I257" s="1191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205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205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189" t="s">
        <v>53</v>
      </c>
      <c r="B262" s="1190"/>
      <c r="C262" s="1190"/>
      <c r="D262" s="1190"/>
      <c r="E262" s="1190"/>
      <c r="F262" s="1190"/>
      <c r="G262" s="1190"/>
      <c r="H262" s="1190"/>
      <c r="I262" s="1191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194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204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206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204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207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204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208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204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195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189" t="s">
        <v>53</v>
      </c>
      <c r="B271" s="1190"/>
      <c r="C271" s="1190"/>
      <c r="D271" s="1190"/>
      <c r="E271" s="1190"/>
      <c r="F271" s="1190"/>
      <c r="G271" s="1190"/>
      <c r="H271" s="1190"/>
      <c r="I271" s="1191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189" t="s">
        <v>53</v>
      </c>
      <c r="B275" s="1190"/>
      <c r="C275" s="1190"/>
      <c r="D275" s="1190"/>
      <c r="E275" s="1190"/>
      <c r="F275" s="1190"/>
      <c r="G275" s="1190"/>
      <c r="H275" s="1190"/>
      <c r="I275" s="1191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200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201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201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201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201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977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978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978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978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978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978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978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979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189" t="s">
        <v>1646</v>
      </c>
      <c r="B296" s="1190"/>
      <c r="C296" s="1190"/>
      <c r="D296" s="1190"/>
      <c r="E296" s="1190"/>
      <c r="F296" s="1190"/>
      <c r="G296" s="1190"/>
      <c r="H296" s="1190"/>
      <c r="I296" s="1190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1132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1132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1132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1132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1132" t="s">
        <v>1659</v>
      </c>
      <c r="B305" s="1132"/>
      <c r="C305" s="1132"/>
      <c r="D305" s="1132"/>
      <c r="E305" s="1132"/>
      <c r="F305" s="1132"/>
      <c r="G305" s="1132"/>
      <c r="H305" s="1132"/>
      <c r="I305" s="1132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1132" t="s">
        <v>53</v>
      </c>
      <c r="B309" s="1132"/>
      <c r="C309" s="1132"/>
      <c r="D309" s="1132"/>
      <c r="E309" s="1132"/>
      <c r="F309" s="1132"/>
      <c r="G309" s="1132"/>
      <c r="H309" s="1132"/>
      <c r="I309" s="1132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1132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1132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1132" t="s">
        <v>1659</v>
      </c>
      <c r="B314" s="1132"/>
      <c r="C314" s="1132"/>
      <c r="D314" s="1132"/>
      <c r="E314" s="1132"/>
      <c r="F314" s="1132"/>
      <c r="G314" s="1132"/>
      <c r="H314" s="1132"/>
      <c r="I314" s="1132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1132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1132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1132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1132" t="s">
        <v>1659</v>
      </c>
      <c r="B321" s="1132"/>
      <c r="C321" s="1132"/>
      <c r="D321" s="1132"/>
      <c r="E321" s="1132"/>
      <c r="F321" s="1132"/>
      <c r="G321" s="1132"/>
      <c r="H321" s="1132"/>
      <c r="I321" s="1132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1132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1132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1132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1132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1132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1132" t="s">
        <v>1659</v>
      </c>
      <c r="B330" s="1132"/>
      <c r="C330" s="1132"/>
      <c r="D330" s="1132"/>
      <c r="E330" s="1132"/>
      <c r="F330" s="1132"/>
      <c r="G330" s="1132"/>
      <c r="H330" s="1132"/>
      <c r="I330" s="1132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200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201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201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201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201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1132" t="s">
        <v>1659</v>
      </c>
      <c r="B338" s="1132"/>
      <c r="C338" s="1132"/>
      <c r="D338" s="1132"/>
      <c r="E338" s="1132"/>
      <c r="F338" s="1132"/>
      <c r="G338" s="1132"/>
      <c r="H338" s="1132"/>
      <c r="I338" s="1132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197" t="s">
        <v>1521</v>
      </c>
      <c r="B343" s="128" t="s">
        <v>1531</v>
      </c>
      <c r="C343" s="1017" t="s">
        <v>306</v>
      </c>
      <c r="D343" s="1017" t="s">
        <v>322</v>
      </c>
      <c r="E343" s="999" t="s">
        <v>307</v>
      </c>
      <c r="F343" s="1196">
        <v>4266</v>
      </c>
      <c r="G343" s="1017" t="s">
        <v>640</v>
      </c>
      <c r="H343" s="1196" t="s">
        <v>1533</v>
      </c>
      <c r="I343" s="1017" t="s">
        <v>1534</v>
      </c>
      <c r="J343" s="999">
        <v>2</v>
      </c>
      <c r="K343" s="1194" t="s">
        <v>50</v>
      </c>
      <c r="L343" s="1194" t="s">
        <v>51</v>
      </c>
    </row>
    <row r="344" spans="1:13">
      <c r="A344" s="1198"/>
      <c r="B344" s="129" t="s">
        <v>1532</v>
      </c>
      <c r="C344" s="1000"/>
      <c r="D344" s="1000"/>
      <c r="E344" s="1000"/>
      <c r="F344" s="1005"/>
      <c r="G344" s="1000"/>
      <c r="H344" s="1005"/>
      <c r="I344" s="1000"/>
      <c r="J344" s="1000"/>
      <c r="K344" s="1195"/>
      <c r="L344" s="1195"/>
    </row>
    <row r="345" spans="1:13">
      <c r="A345" s="1198"/>
      <c r="B345" s="128" t="s">
        <v>1536</v>
      </c>
      <c r="C345" s="999" t="s">
        <v>306</v>
      </c>
      <c r="D345" s="999" t="s">
        <v>322</v>
      </c>
      <c r="E345" s="999" t="s">
        <v>307</v>
      </c>
      <c r="F345" s="1004">
        <v>3306</v>
      </c>
      <c r="G345" s="999" t="s">
        <v>1153</v>
      </c>
      <c r="H345" s="1004" t="s">
        <v>1538</v>
      </c>
      <c r="I345" s="999" t="s">
        <v>1534</v>
      </c>
      <c r="J345" s="999">
        <v>2</v>
      </c>
      <c r="K345" s="1194" t="s">
        <v>50</v>
      </c>
      <c r="L345" s="1194" t="s">
        <v>51</v>
      </c>
    </row>
    <row r="346" spans="1:13">
      <c r="A346" s="1199"/>
      <c r="B346" s="129" t="s">
        <v>1537</v>
      </c>
      <c r="C346" s="1000"/>
      <c r="D346" s="1000"/>
      <c r="E346" s="1000"/>
      <c r="F346" s="1005"/>
      <c r="G346" s="1000"/>
      <c r="H346" s="1005"/>
      <c r="I346" s="1000"/>
      <c r="J346" s="1000"/>
      <c r="K346" s="1195"/>
      <c r="L346" s="1195"/>
    </row>
    <row r="347" spans="1:13">
      <c r="A347" s="1189" t="s">
        <v>53</v>
      </c>
      <c r="B347" s="1190"/>
      <c r="C347" s="1190"/>
      <c r="D347" s="1190"/>
      <c r="E347" s="1190"/>
      <c r="F347" s="1190"/>
      <c r="G347" s="1190"/>
      <c r="H347" s="1190"/>
      <c r="I347" s="1191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974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975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975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975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975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975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975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949" t="s">
        <v>53</v>
      </c>
      <c r="B357" s="949"/>
      <c r="C357" s="949"/>
      <c r="D357" s="949"/>
      <c r="E357" s="949"/>
      <c r="F357" s="949"/>
      <c r="G357" s="949"/>
      <c r="H357" s="949"/>
      <c r="I357" s="949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1132" t="s">
        <v>1458</v>
      </c>
      <c r="B361" s="1132"/>
      <c r="C361" s="1132"/>
      <c r="D361" s="1132"/>
      <c r="E361" s="1132"/>
      <c r="F361" s="1132"/>
      <c r="G361" s="1132"/>
      <c r="H361" s="1132"/>
      <c r="I361" s="1132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193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1132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1132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1132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1132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1132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1132" t="s">
        <v>1659</v>
      </c>
      <c r="B370" s="1132"/>
      <c r="C370" s="1132"/>
      <c r="D370" s="1132"/>
      <c r="E370" s="1132"/>
      <c r="F370" s="1132"/>
      <c r="G370" s="1132"/>
      <c r="H370" s="1132"/>
      <c r="I370" s="1132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200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201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201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201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201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949" t="s">
        <v>1646</v>
      </c>
      <c r="B378" s="949"/>
      <c r="C378" s="949"/>
      <c r="D378" s="949"/>
      <c r="E378" s="949"/>
      <c r="F378" s="949"/>
      <c r="G378" s="949"/>
      <c r="H378" s="949"/>
      <c r="I378" s="949"/>
      <c r="J378" s="949"/>
      <c r="K378" s="4">
        <v>25</v>
      </c>
      <c r="L378" s="55"/>
    </row>
    <row r="381" spans="1:12">
      <c r="B381" s="1217" t="s">
        <v>1</v>
      </c>
      <c r="C381" s="1217" t="s">
        <v>2</v>
      </c>
      <c r="D381" s="1217" t="s">
        <v>3</v>
      </c>
      <c r="E381" s="36" t="s">
        <v>54</v>
      </c>
      <c r="F381" s="1217" t="s">
        <v>5</v>
      </c>
      <c r="G381" s="1217" t="s">
        <v>6</v>
      </c>
      <c r="H381" s="1217" t="s">
        <v>7</v>
      </c>
      <c r="I381" s="1217" t="s">
        <v>55</v>
      </c>
      <c r="J381" s="1217" t="s">
        <v>9</v>
      </c>
      <c r="K381" s="1219" t="s">
        <v>56</v>
      </c>
      <c r="L381" s="1217" t="s">
        <v>57</v>
      </c>
    </row>
    <row r="382" spans="1:12">
      <c r="B382" s="1218"/>
      <c r="C382" s="1218"/>
      <c r="D382" s="1218"/>
      <c r="E382" s="37" t="s">
        <v>59</v>
      </c>
      <c r="F382" s="1218"/>
      <c r="G382" s="1218"/>
      <c r="H382" s="1218"/>
      <c r="I382" s="1218"/>
      <c r="J382" s="1218"/>
      <c r="K382" s="1220"/>
      <c r="L382" s="1218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1132" t="s">
        <v>53</v>
      </c>
      <c r="B394" s="1132"/>
      <c r="C394" s="1132"/>
      <c r="D394" s="1132"/>
      <c r="E394" s="1132"/>
      <c r="F394" s="1132"/>
      <c r="G394" s="1132"/>
      <c r="H394" s="1132"/>
      <c r="I394" s="1132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200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201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201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201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1132" t="s">
        <v>53</v>
      </c>
      <c r="B401" s="1132"/>
      <c r="C401" s="1132"/>
      <c r="D401" s="1132"/>
      <c r="E401" s="1132"/>
      <c r="F401" s="1132"/>
      <c r="G401" s="1132"/>
      <c r="H401" s="1132"/>
      <c r="I401" s="1132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183" t="s">
        <v>229</v>
      </c>
      <c r="B405" s="1192" t="s">
        <v>1805</v>
      </c>
      <c r="C405" s="1192" t="s">
        <v>700</v>
      </c>
      <c r="D405" s="1221" t="s">
        <v>675</v>
      </c>
      <c r="E405" s="1192" t="s">
        <v>1806</v>
      </c>
      <c r="F405" s="1192" t="s">
        <v>1807</v>
      </c>
      <c r="G405" s="1192" t="s">
        <v>662</v>
      </c>
      <c r="H405" s="1222" t="s">
        <v>1808</v>
      </c>
      <c r="I405" s="1221"/>
      <c r="J405" s="1222">
        <v>1</v>
      </c>
      <c r="K405" s="1194" t="s">
        <v>631</v>
      </c>
      <c r="L405" s="1114" t="s">
        <v>51</v>
      </c>
    </row>
    <row r="406" spans="1:12" ht="13.5" customHeight="1">
      <c r="A406" s="1183"/>
      <c r="B406" s="1192"/>
      <c r="C406" s="1192"/>
      <c r="D406" s="1221"/>
      <c r="E406" s="1192"/>
      <c r="F406" s="1192"/>
      <c r="G406" s="1192"/>
      <c r="H406" s="1222"/>
      <c r="I406" s="1221"/>
      <c r="J406" s="1222"/>
      <c r="K406" s="1195"/>
      <c r="L406" s="1116"/>
    </row>
    <row r="407" spans="1:12" ht="27" customHeight="1">
      <c r="A407" s="1183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183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183" t="s">
        <v>1646</v>
      </c>
      <c r="B409" s="1183"/>
      <c r="C409" s="1183"/>
      <c r="D409" s="1183"/>
      <c r="E409" s="1183"/>
      <c r="F409" s="1183"/>
      <c r="G409" s="1183"/>
      <c r="H409" s="1183"/>
      <c r="I409" s="1183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183" t="s">
        <v>2008</v>
      </c>
      <c r="B412" s="1223" t="s">
        <v>2009</v>
      </c>
      <c r="C412" s="1194" t="s">
        <v>21</v>
      </c>
      <c r="D412" s="1012" t="s">
        <v>14</v>
      </c>
      <c r="E412" s="1194" t="s">
        <v>78</v>
      </c>
      <c r="F412" s="1192" t="s">
        <v>2010</v>
      </c>
      <c r="G412" s="1192" t="s">
        <v>40</v>
      </c>
      <c r="H412" s="1222" t="s">
        <v>614</v>
      </c>
      <c r="I412" s="1221"/>
      <c r="J412" s="1222">
        <v>1</v>
      </c>
      <c r="K412" s="1194" t="s">
        <v>2011</v>
      </c>
      <c r="L412" s="1114" t="s">
        <v>1997</v>
      </c>
    </row>
    <row r="413" spans="1:12" ht="20.100000000000001" customHeight="1">
      <c r="A413" s="1183"/>
      <c r="B413" s="1192"/>
      <c r="C413" s="1195"/>
      <c r="D413" s="1013"/>
      <c r="E413" s="1195"/>
      <c r="F413" s="1192"/>
      <c r="G413" s="1192"/>
      <c r="H413" s="1222"/>
      <c r="I413" s="1221"/>
      <c r="J413" s="1222"/>
      <c r="K413" s="1195"/>
      <c r="L413" s="1116"/>
    </row>
    <row r="414" spans="1:12" ht="20.100000000000001" customHeight="1">
      <c r="A414" s="1183" t="s">
        <v>1646</v>
      </c>
      <c r="B414" s="1183"/>
      <c r="C414" s="1183"/>
      <c r="D414" s="1183"/>
      <c r="E414" s="1183"/>
      <c r="F414" s="1183"/>
      <c r="G414" s="1183"/>
      <c r="H414" s="1183"/>
      <c r="I414" s="1183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1114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1115"/>
      <c r="B418" s="78" t="s">
        <v>1748</v>
      </c>
      <c r="C418" s="1221" t="s">
        <v>306</v>
      </c>
      <c r="D418" s="1221" t="s">
        <v>322</v>
      </c>
      <c r="E418" s="1221" t="s">
        <v>307</v>
      </c>
      <c r="F418" s="1222">
        <v>3306</v>
      </c>
      <c r="G418" s="1221" t="s">
        <v>1153</v>
      </c>
      <c r="H418" s="1222" t="s">
        <v>1749</v>
      </c>
      <c r="I418" s="1221" t="s">
        <v>664</v>
      </c>
      <c r="J418" s="1221">
        <v>4</v>
      </c>
      <c r="K418" s="1194" t="s">
        <v>631</v>
      </c>
      <c r="L418" s="1114" t="s">
        <v>51</v>
      </c>
    </row>
    <row r="419" spans="1:12" ht="13.5" customHeight="1">
      <c r="A419" s="1115"/>
      <c r="B419" s="79" t="s">
        <v>1751</v>
      </c>
      <c r="C419" s="1221"/>
      <c r="D419" s="1221"/>
      <c r="E419" s="1221"/>
      <c r="F419" s="1222"/>
      <c r="G419" s="1221"/>
      <c r="H419" s="1222"/>
      <c r="I419" s="1221"/>
      <c r="J419" s="1221"/>
      <c r="K419" s="1195"/>
      <c r="L419" s="1116"/>
    </row>
    <row r="420" spans="1:12" ht="13.5" customHeight="1">
      <c r="A420" s="1115"/>
      <c r="B420" s="78" t="s">
        <v>1800</v>
      </c>
      <c r="C420" s="1221" t="s">
        <v>306</v>
      </c>
      <c r="D420" s="1221" t="s">
        <v>322</v>
      </c>
      <c r="E420" s="1221" t="s">
        <v>307</v>
      </c>
      <c r="F420" s="1222" t="s">
        <v>1801</v>
      </c>
      <c r="G420" s="1221" t="s">
        <v>1802</v>
      </c>
      <c r="H420" s="1222" t="s">
        <v>1803</v>
      </c>
      <c r="I420" s="1221" t="s">
        <v>664</v>
      </c>
      <c r="J420" s="1221">
        <v>5</v>
      </c>
      <c r="K420" s="1194" t="s">
        <v>631</v>
      </c>
      <c r="L420" s="1114" t="s">
        <v>51</v>
      </c>
    </row>
    <row r="421" spans="1:12" ht="13.5" customHeight="1">
      <c r="A421" s="1115"/>
      <c r="B421" s="79" t="s">
        <v>1795</v>
      </c>
      <c r="C421" s="1221"/>
      <c r="D421" s="1221"/>
      <c r="E421" s="1221"/>
      <c r="F421" s="1222"/>
      <c r="G421" s="1221"/>
      <c r="H421" s="1222"/>
      <c r="I421" s="1221"/>
      <c r="J421" s="1221"/>
      <c r="K421" s="1195"/>
      <c r="L421" s="1116"/>
    </row>
    <row r="422" spans="1:12" ht="27" customHeight="1">
      <c r="A422" s="1116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183" t="s">
        <v>1646</v>
      </c>
      <c r="B423" s="1183"/>
      <c r="C423" s="1183"/>
      <c r="D423" s="1183"/>
      <c r="E423" s="1183"/>
      <c r="F423" s="1183"/>
      <c r="G423" s="1183"/>
      <c r="H423" s="1183"/>
      <c r="I423" s="1183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1136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1137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1137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1137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1132" t="s">
        <v>1646</v>
      </c>
      <c r="B431" s="1132"/>
      <c r="C431" s="1132"/>
      <c r="D431" s="1132"/>
      <c r="E431" s="1132"/>
      <c r="F431" s="1132"/>
      <c r="G431" s="1132"/>
      <c r="H431" s="1132"/>
      <c r="I431" s="1132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1137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1138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1132" t="s">
        <v>1646</v>
      </c>
      <c r="B435" s="1132"/>
      <c r="C435" s="1132"/>
      <c r="D435" s="1132"/>
      <c r="E435" s="1132"/>
      <c r="F435" s="1132"/>
      <c r="G435" s="1132"/>
      <c r="H435" s="1132"/>
      <c r="I435" s="1132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977" t="s">
        <v>2027</v>
      </c>
      <c r="B438" s="252" t="s">
        <v>1760</v>
      </c>
      <c r="C438" s="1070" t="s">
        <v>306</v>
      </c>
      <c r="D438" s="1070" t="s">
        <v>322</v>
      </c>
      <c r="E438" s="1070" t="s">
        <v>307</v>
      </c>
      <c r="F438" s="1224" t="s">
        <v>1761</v>
      </c>
      <c r="G438" s="1070" t="s">
        <v>329</v>
      </c>
      <c r="H438" s="1206" t="s">
        <v>1762</v>
      </c>
      <c r="I438" s="1018" t="s">
        <v>664</v>
      </c>
      <c r="J438" s="1226">
        <v>2</v>
      </c>
      <c r="K438" s="1194" t="s">
        <v>1996</v>
      </c>
      <c r="L438" s="1194" t="s">
        <v>51</v>
      </c>
    </row>
    <row r="439" spans="1:12" ht="13.5" customHeight="1">
      <c r="A439" s="978"/>
      <c r="B439" s="253" t="s">
        <v>2028</v>
      </c>
      <c r="C439" s="1071"/>
      <c r="D439" s="1071"/>
      <c r="E439" s="1071"/>
      <c r="F439" s="1225"/>
      <c r="G439" s="1071"/>
      <c r="H439" s="1208"/>
      <c r="I439" s="1019"/>
      <c r="J439" s="1227"/>
      <c r="K439" s="1195"/>
      <c r="L439" s="1195"/>
    </row>
    <row r="440" spans="1:12" ht="13.5" customHeight="1">
      <c r="A440" s="978"/>
      <c r="B440" s="254" t="s">
        <v>1794</v>
      </c>
      <c r="C440" s="953" t="s">
        <v>306</v>
      </c>
      <c r="D440" s="953" t="s">
        <v>322</v>
      </c>
      <c r="E440" s="953" t="s">
        <v>307</v>
      </c>
      <c r="F440" s="951" t="s">
        <v>1796</v>
      </c>
      <c r="G440" s="953" t="s">
        <v>1797</v>
      </c>
      <c r="H440" s="951" t="s">
        <v>1792</v>
      </c>
      <c r="I440" s="953" t="s">
        <v>664</v>
      </c>
      <c r="J440" s="999">
        <v>4</v>
      </c>
      <c r="K440" s="1194" t="s">
        <v>631</v>
      </c>
      <c r="L440" s="1194" t="s">
        <v>1997</v>
      </c>
    </row>
    <row r="441" spans="1:12" ht="13.5" customHeight="1">
      <c r="A441" s="978"/>
      <c r="B441" s="255" t="s">
        <v>1795</v>
      </c>
      <c r="C441" s="953"/>
      <c r="D441" s="953"/>
      <c r="E441" s="953"/>
      <c r="F441" s="951"/>
      <c r="G441" s="953"/>
      <c r="H441" s="951"/>
      <c r="I441" s="953"/>
      <c r="J441" s="1000"/>
      <c r="K441" s="1195"/>
      <c r="L441" s="1195"/>
    </row>
    <row r="442" spans="1:12" ht="20.100000000000001" customHeight="1">
      <c r="A442" s="978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978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978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978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978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978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978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979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189" t="s">
        <v>1646</v>
      </c>
      <c r="B450" s="1190"/>
      <c r="C450" s="1190"/>
      <c r="D450" s="1190"/>
      <c r="E450" s="1190"/>
      <c r="F450" s="1190"/>
      <c r="G450" s="1190"/>
      <c r="H450" s="1190"/>
      <c r="I450" s="1190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974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975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975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949" t="s">
        <v>2059</v>
      </c>
      <c r="B459" s="949"/>
      <c r="C459" s="949"/>
      <c r="D459" s="949"/>
      <c r="E459" s="949"/>
      <c r="F459" s="949"/>
      <c r="G459" s="949"/>
      <c r="H459" s="949"/>
      <c r="I459" s="949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1136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1137"/>
      <c r="B463" s="1228" t="s">
        <v>1767</v>
      </c>
      <c r="C463" s="1229" t="s">
        <v>311</v>
      </c>
      <c r="D463" s="1229" t="s">
        <v>320</v>
      </c>
      <c r="E463" s="1229" t="s">
        <v>709</v>
      </c>
      <c r="F463" s="1229" t="s">
        <v>1768</v>
      </c>
      <c r="G463" s="1228" t="s">
        <v>1769</v>
      </c>
      <c r="H463" s="258" t="s">
        <v>1770</v>
      </c>
      <c r="I463" s="1229"/>
      <c r="J463" s="1229">
        <v>1</v>
      </c>
      <c r="K463" s="1012" t="s">
        <v>631</v>
      </c>
      <c r="L463" s="1042" t="s">
        <v>51</v>
      </c>
    </row>
    <row r="464" spans="1:12" ht="13.5" customHeight="1">
      <c r="A464" s="1137"/>
      <c r="B464" s="1228"/>
      <c r="C464" s="1229"/>
      <c r="D464" s="1229"/>
      <c r="E464" s="1229"/>
      <c r="F464" s="1229"/>
      <c r="G464" s="1228"/>
      <c r="H464" s="259" t="s">
        <v>1773</v>
      </c>
      <c r="I464" s="1229"/>
      <c r="J464" s="1229"/>
      <c r="K464" s="1013"/>
      <c r="L464" s="1043"/>
    </row>
    <row r="465" spans="1:12" ht="13.5" customHeight="1">
      <c r="A465" s="1137"/>
      <c r="B465" s="1230" t="s">
        <v>1813</v>
      </c>
      <c r="C465" s="1192" t="s">
        <v>700</v>
      </c>
      <c r="D465" s="1221" t="s">
        <v>320</v>
      </c>
      <c r="E465" s="1221" t="s">
        <v>337</v>
      </c>
      <c r="F465" s="1192" t="s">
        <v>353</v>
      </c>
      <c r="G465" s="1192" t="s">
        <v>1814</v>
      </c>
      <c r="H465" s="1222" t="s">
        <v>1815</v>
      </c>
      <c r="I465" s="1221" t="s">
        <v>638</v>
      </c>
      <c r="J465" s="1222">
        <v>2</v>
      </c>
      <c r="K465" s="1194" t="s">
        <v>631</v>
      </c>
      <c r="L465" s="1194" t="s">
        <v>51</v>
      </c>
    </row>
    <row r="466" spans="1:12" ht="13.5" customHeight="1">
      <c r="A466" s="1137"/>
      <c r="B466" s="1230"/>
      <c r="C466" s="1192"/>
      <c r="D466" s="1221"/>
      <c r="E466" s="1221"/>
      <c r="F466" s="1192"/>
      <c r="G466" s="1192"/>
      <c r="H466" s="1222"/>
      <c r="I466" s="1221"/>
      <c r="J466" s="1222"/>
      <c r="K466" s="1195"/>
      <c r="L466" s="1195"/>
    </row>
    <row r="467" spans="1:12" ht="27" customHeight="1">
      <c r="A467" s="1137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1137"/>
      <c r="B468" s="1192" t="s">
        <v>1820</v>
      </c>
      <c r="C468" s="1192" t="s">
        <v>700</v>
      </c>
      <c r="D468" s="1221" t="s">
        <v>320</v>
      </c>
      <c r="E468" s="1221" t="s">
        <v>709</v>
      </c>
      <c r="F468" s="1221" t="s">
        <v>1768</v>
      </c>
      <c r="G468" s="1192" t="s">
        <v>1821</v>
      </c>
      <c r="H468" s="261" t="s">
        <v>1822</v>
      </c>
      <c r="I468" s="1221" t="s">
        <v>638</v>
      </c>
      <c r="J468" s="1221">
        <v>2</v>
      </c>
      <c r="K468" s="1194" t="s">
        <v>631</v>
      </c>
      <c r="L468" s="1194" t="s">
        <v>51</v>
      </c>
    </row>
    <row r="469" spans="1:12" ht="13.5" customHeight="1">
      <c r="A469" s="1137"/>
      <c r="B469" s="1192"/>
      <c r="C469" s="1192"/>
      <c r="D469" s="1221"/>
      <c r="E469" s="1221"/>
      <c r="F469" s="1221"/>
      <c r="G469" s="1192"/>
      <c r="H469" s="262" t="s">
        <v>1823</v>
      </c>
      <c r="I469" s="1221"/>
      <c r="J469" s="1221"/>
      <c r="K469" s="1195"/>
      <c r="L469" s="1195"/>
    </row>
    <row r="470" spans="1:12" ht="27" customHeight="1">
      <c r="A470" s="1137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1138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1132" t="s">
        <v>53</v>
      </c>
      <c r="B472" s="1132"/>
      <c r="C472" s="1132"/>
      <c r="D472" s="1132"/>
      <c r="E472" s="1132"/>
      <c r="F472" s="1132"/>
      <c r="G472" s="1132"/>
      <c r="H472" s="1132"/>
      <c r="I472" s="1132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1132" t="s">
        <v>228</v>
      </c>
      <c r="B476" s="1228" t="s">
        <v>1767</v>
      </c>
      <c r="C476" s="1229" t="s">
        <v>311</v>
      </c>
      <c r="D476" s="1229" t="s">
        <v>320</v>
      </c>
      <c r="E476" s="1229" t="s">
        <v>709</v>
      </c>
      <c r="F476" s="1229" t="s">
        <v>1768</v>
      </c>
      <c r="G476" s="1228" t="s">
        <v>1769</v>
      </c>
      <c r="H476" s="258" t="s">
        <v>1770</v>
      </c>
      <c r="I476" s="1229"/>
      <c r="J476" s="1229">
        <v>1</v>
      </c>
      <c r="K476" s="1012" t="s">
        <v>631</v>
      </c>
      <c r="L476" s="1042" t="s">
        <v>51</v>
      </c>
    </row>
    <row r="477" spans="1:12" ht="13.5" customHeight="1">
      <c r="A477" s="1132"/>
      <c r="B477" s="1228"/>
      <c r="C477" s="1229"/>
      <c r="D477" s="1229"/>
      <c r="E477" s="1229"/>
      <c r="F477" s="1229"/>
      <c r="G477" s="1228"/>
      <c r="H477" s="259" t="s">
        <v>1773</v>
      </c>
      <c r="I477" s="1229"/>
      <c r="J477" s="1229"/>
      <c r="K477" s="1013"/>
      <c r="L477" s="1043"/>
    </row>
    <row r="478" spans="1:12" ht="27" customHeight="1">
      <c r="A478" s="1132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1132" t="s">
        <v>1646</v>
      </c>
      <c r="B479" s="1132"/>
      <c r="C479" s="1132"/>
      <c r="D479" s="1132"/>
      <c r="E479" s="1132"/>
      <c r="F479" s="1132"/>
      <c r="G479" s="1132"/>
      <c r="H479" s="1132"/>
      <c r="I479" s="1132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194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204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204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204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195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189" t="s">
        <v>53</v>
      </c>
      <c r="B487" s="1190"/>
      <c r="C487" s="1190"/>
      <c r="D487" s="1190"/>
      <c r="E487" s="1190"/>
      <c r="F487" s="1190"/>
      <c r="G487" s="1190"/>
      <c r="H487" s="1190"/>
      <c r="I487" s="1191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178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179"/>
      <c r="B494" s="1231" t="s">
        <v>2182</v>
      </c>
      <c r="C494" s="1231" t="s">
        <v>306</v>
      </c>
      <c r="D494" s="1231" t="s">
        <v>322</v>
      </c>
      <c r="E494" s="1231" t="s">
        <v>307</v>
      </c>
      <c r="F494" s="1232" t="s">
        <v>1919</v>
      </c>
      <c r="G494" s="1231" t="s">
        <v>662</v>
      </c>
      <c r="H494" s="1232" t="s">
        <v>1920</v>
      </c>
      <c r="I494" s="1231" t="s">
        <v>349</v>
      </c>
      <c r="J494" s="1231">
        <v>2</v>
      </c>
      <c r="K494" s="1192" t="s">
        <v>50</v>
      </c>
      <c r="L494" s="222">
        <v>23</v>
      </c>
    </row>
    <row r="495" spans="1:12" ht="12.6" customHeight="1">
      <c r="A495" s="1179"/>
      <c r="B495" s="1231"/>
      <c r="C495" s="1231"/>
      <c r="D495" s="1231"/>
      <c r="E495" s="1231"/>
      <c r="F495" s="1232"/>
      <c r="G495" s="1231"/>
      <c r="H495" s="1232"/>
      <c r="I495" s="1231"/>
      <c r="J495" s="1231"/>
      <c r="K495" s="1192"/>
    </row>
    <row r="496" spans="1:12" ht="24.95" customHeight="1">
      <c r="A496" s="1179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179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179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179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1132" t="s">
        <v>53</v>
      </c>
      <c r="B500" s="1132"/>
      <c r="C500" s="1132"/>
      <c r="D500" s="1132"/>
      <c r="E500" s="1132"/>
      <c r="F500" s="1132"/>
      <c r="G500" s="1132"/>
      <c r="H500" s="1132"/>
      <c r="I500" s="1132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949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949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949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949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949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1132" t="s">
        <v>2217</v>
      </c>
      <c r="B511" s="1132"/>
      <c r="C511" s="1132"/>
      <c r="D511" s="1132"/>
      <c r="E511" s="1132"/>
      <c r="F511" s="1132"/>
      <c r="G511" s="1132"/>
      <c r="H511" s="1132"/>
      <c r="I511" s="1132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949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949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949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949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949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949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949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949" t="s">
        <v>2233</v>
      </c>
      <c r="B522" s="949"/>
      <c r="C522" s="949"/>
      <c r="D522" s="949"/>
      <c r="E522" s="949"/>
      <c r="F522" s="949"/>
      <c r="G522" s="949"/>
      <c r="H522" s="949"/>
      <c r="I522" s="949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1132" t="s">
        <v>2238</v>
      </c>
      <c r="B528" s="1132"/>
      <c r="C528" s="1132"/>
      <c r="D528" s="1132"/>
      <c r="E528" s="1132"/>
      <c r="F528" s="1132"/>
      <c r="G528" s="1132"/>
      <c r="H528" s="1132"/>
      <c r="I528" s="1132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949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949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949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1132" t="s">
        <v>2233</v>
      </c>
      <c r="B535" s="1132"/>
      <c r="C535" s="1132"/>
      <c r="D535" s="1132"/>
      <c r="E535" s="1132"/>
      <c r="F535" s="1132"/>
      <c r="G535" s="1132"/>
      <c r="H535" s="1132"/>
      <c r="I535" s="1132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189" t="s">
        <v>2238</v>
      </c>
      <c r="B540" s="1190"/>
      <c r="C540" s="1190"/>
      <c r="D540" s="1190"/>
      <c r="E540" s="1190"/>
      <c r="F540" s="1190"/>
      <c r="G540" s="1190"/>
      <c r="H540" s="1190"/>
      <c r="I540" s="1191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1132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1132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183" t="s">
        <v>2233</v>
      </c>
      <c r="B546" s="1183"/>
      <c r="C546" s="1183"/>
      <c r="D546" s="1183"/>
      <c r="E546" s="1183"/>
      <c r="F546" s="1183"/>
      <c r="G546" s="1183"/>
      <c r="H546" s="1183"/>
      <c r="I546" s="1183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1132" t="s">
        <v>2233</v>
      </c>
      <c r="B550" s="1132"/>
      <c r="C550" s="1132"/>
      <c r="D550" s="1132"/>
      <c r="E550" s="1132"/>
      <c r="F550" s="1132"/>
      <c r="G550" s="1132"/>
      <c r="H550" s="1132"/>
      <c r="I550" s="1132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177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177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177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177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177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177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177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177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177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177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177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1132" t="s">
        <v>2233</v>
      </c>
      <c r="B565" s="1132"/>
      <c r="C565" s="1132"/>
      <c r="D565" s="1132"/>
      <c r="E565" s="1132"/>
      <c r="F565" s="1132"/>
      <c r="G565" s="1132"/>
      <c r="H565" s="1132"/>
      <c r="I565" s="1132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980" t="s">
        <v>306</v>
      </c>
      <c r="D569" s="980" t="s">
        <v>322</v>
      </c>
      <c r="E569" s="980" t="s">
        <v>307</v>
      </c>
      <c r="F569" s="980">
        <v>3306</v>
      </c>
      <c r="G569" s="980" t="s">
        <v>1153</v>
      </c>
      <c r="H569" s="980" t="s">
        <v>1907</v>
      </c>
      <c r="I569" s="980" t="s">
        <v>1111</v>
      </c>
      <c r="J569" s="980" t="s">
        <v>692</v>
      </c>
      <c r="K569" s="1181" t="s">
        <v>2291</v>
      </c>
    </row>
    <row r="570" spans="1:12">
      <c r="B570" s="243" t="s">
        <v>1909</v>
      </c>
      <c r="C570" s="981"/>
      <c r="D570" s="981"/>
      <c r="E570" s="981"/>
      <c r="F570" s="981"/>
      <c r="G570" s="981"/>
      <c r="H570" s="981"/>
      <c r="I570" s="981"/>
      <c r="J570" s="981"/>
      <c r="K570" s="1182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178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179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179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179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179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179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179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1132" t="s">
        <v>1458</v>
      </c>
      <c r="B582" s="1132"/>
      <c r="C582" s="1132"/>
      <c r="D582" s="1132"/>
      <c r="E582" s="1132"/>
      <c r="F582" s="1132"/>
      <c r="G582" s="1132"/>
      <c r="H582" s="1132"/>
      <c r="I582" s="1132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949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949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1132" t="s">
        <v>2393</v>
      </c>
      <c r="B588" s="1132"/>
      <c r="C588" s="1132"/>
      <c r="D588" s="1132"/>
      <c r="E588" s="1132"/>
      <c r="F588" s="1132"/>
      <c r="G588" s="1132"/>
      <c r="H588" s="1132"/>
      <c r="I588" s="1132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949" t="s">
        <v>2406</v>
      </c>
      <c r="B592" s="949"/>
      <c r="C592" s="949"/>
      <c r="D592" s="949"/>
      <c r="E592" s="949"/>
      <c r="F592" s="949"/>
      <c r="G592" s="949"/>
      <c r="H592" s="949"/>
      <c r="I592" s="949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949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949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949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949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949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949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949" t="s">
        <v>2406</v>
      </c>
      <c r="B601" s="949"/>
      <c r="C601" s="949"/>
      <c r="D601" s="949"/>
      <c r="E601" s="949"/>
      <c r="F601" s="949"/>
      <c r="G601" s="949"/>
      <c r="H601" s="949"/>
      <c r="I601" s="949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1132" t="s">
        <v>2437</v>
      </c>
      <c r="B606" s="1132"/>
      <c r="C606" s="1132"/>
      <c r="D606" s="1132"/>
      <c r="E606" s="1132"/>
      <c r="F606" s="1132"/>
      <c r="G606" s="1132"/>
      <c r="H606" s="1132"/>
      <c r="I606" s="1132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949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949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949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1132" t="s">
        <v>2406</v>
      </c>
      <c r="B613" s="1132"/>
      <c r="C613" s="1132"/>
      <c r="D613" s="1132"/>
      <c r="E613" s="1132"/>
      <c r="F613" s="1132"/>
      <c r="G613" s="1132"/>
      <c r="H613" s="1132"/>
      <c r="I613" s="1132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177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177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177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177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177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177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177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177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177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177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1132" t="s">
        <v>2406</v>
      </c>
      <c r="B627" s="1132"/>
      <c r="C627" s="1132"/>
      <c r="D627" s="1132"/>
      <c r="E627" s="1132"/>
      <c r="F627" s="1132"/>
      <c r="G627" s="1132"/>
      <c r="H627" s="1132"/>
      <c r="I627" s="1132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184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184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184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184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184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184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184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184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184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184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184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184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184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184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185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186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186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186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186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187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188" t="s">
        <v>1646</v>
      </c>
      <c r="B655" s="1188"/>
      <c r="C655" s="1188"/>
      <c r="D655" s="1188"/>
      <c r="E655" s="1188"/>
      <c r="F655" s="1188"/>
      <c r="G655" s="1188"/>
      <c r="H655" s="1188"/>
      <c r="I655" s="1188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188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188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188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188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188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188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188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188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188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188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188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188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188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188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188" t="s">
        <v>1646</v>
      </c>
      <c r="B674" s="1188"/>
      <c r="C674" s="1188"/>
      <c r="D674" s="1188"/>
      <c r="E674" s="1188"/>
      <c r="F674" s="1188"/>
      <c r="G674" s="1188"/>
      <c r="H674" s="1188"/>
      <c r="I674" s="1188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188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188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188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188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188" t="s">
        <v>1646</v>
      </c>
      <c r="B681" s="1188"/>
      <c r="C681" s="1188"/>
      <c r="D681" s="1188"/>
      <c r="E681" s="1188"/>
      <c r="F681" s="1188"/>
      <c r="G681" s="1188"/>
      <c r="H681" s="1188"/>
      <c r="I681" s="1188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180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180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180" t="s">
        <v>1646</v>
      </c>
      <c r="B688" s="1180"/>
      <c r="C688" s="1180"/>
      <c r="D688" s="1180"/>
      <c r="E688" s="1180"/>
      <c r="F688" s="1180"/>
      <c r="G688" s="1180"/>
      <c r="H688" s="1180"/>
      <c r="I688" s="1180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184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184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184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184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184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184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184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180" t="s">
        <v>1646</v>
      </c>
      <c r="B699" s="1180"/>
      <c r="C699" s="1180"/>
      <c r="D699" s="1180"/>
      <c r="E699" s="1180"/>
      <c r="F699" s="1180"/>
      <c r="G699" s="1180"/>
      <c r="H699" s="1180"/>
      <c r="I699" s="1180"/>
      <c r="J699" s="228">
        <f>SUM(J692:J698)</f>
        <v>20</v>
      </c>
      <c r="K699" s="228"/>
    </row>
    <row r="702" spans="1:12" ht="22.5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>
      <c r="A703" s="1168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>
      <c r="A704" s="1168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>
      <c r="A705" s="1168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>
      <c r="A706" s="1168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>
      <c r="A707" s="1168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>
      <c r="A708" s="1168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>
      <c r="A709" s="1168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>
      <c r="A710" s="1168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>
      <c r="A711" s="1168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>
      <c r="A712" s="1168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>
      <c r="A713" s="1168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>
      <c r="A714" s="1168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>
      <c r="A715" s="1168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>
      <c r="A716" s="1169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>
      <c r="A717" s="1170" t="s">
        <v>1646</v>
      </c>
      <c r="B717" s="1170"/>
      <c r="C717" s="1170"/>
      <c r="D717" s="1170"/>
      <c r="E717" s="1170"/>
      <c r="F717" s="1170"/>
      <c r="G717" s="1170"/>
      <c r="H717" s="1170"/>
      <c r="I717" s="1170"/>
      <c r="J717" s="632">
        <f>SUM(J703:J716)</f>
        <v>44</v>
      </c>
      <c r="K717" s="637"/>
      <c r="L717" s="611">
        <f>SUM(L703:L716)</f>
        <v>14500000</v>
      </c>
    </row>
    <row r="722" spans="1:12" ht="22.5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>
      <c r="A723" s="1172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>
      <c r="A724" s="1173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>
      <c r="A725" s="1173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>
      <c r="A726" s="1173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>
      <c r="A727" s="1173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>
      <c r="A728" s="1173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>
      <c r="A729" s="1173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>
      <c r="A730" s="1174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>
      <c r="A731" s="1170" t="s">
        <v>1646</v>
      </c>
      <c r="B731" s="1170"/>
      <c r="C731" s="1170"/>
      <c r="D731" s="1170"/>
      <c r="E731" s="1170"/>
      <c r="F731" s="1170"/>
      <c r="G731" s="1170"/>
      <c r="H731" s="1170"/>
      <c r="I731" s="1170"/>
      <c r="J731" s="632">
        <f>SUM(J723:J730)</f>
        <v>14</v>
      </c>
      <c r="K731" s="637"/>
      <c r="L731" s="611">
        <f>SUM(L717:L730)</f>
        <v>14500000</v>
      </c>
    </row>
    <row r="735" spans="1:12" ht="22.5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>
      <c r="A736" s="1175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>
      <c r="A737" s="1175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>
      <c r="A738" s="1175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>
      <c r="A739" s="1175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>
      <c r="A740" s="1175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>
      <c r="A741" s="1175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>
      <c r="A742" s="1175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>
      <c r="A743" s="1175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>
      <c r="A744" s="1175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>
      <c r="A745" s="1175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>
      <c r="A746" s="1175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>
      <c r="A747" s="1175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>
      <c r="A748" s="1175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>
      <c r="A749" s="1170" t="s">
        <v>1646</v>
      </c>
      <c r="B749" s="1170"/>
      <c r="C749" s="1170"/>
      <c r="D749" s="1170"/>
      <c r="E749" s="1170"/>
      <c r="F749" s="1170"/>
      <c r="G749" s="1170"/>
      <c r="H749" s="1170"/>
      <c r="I749" s="1170"/>
      <c r="J749" s="632">
        <f>SUM(J736:J748)</f>
        <v>19</v>
      </c>
      <c r="K749" s="637"/>
      <c r="L749" s="611">
        <f>SUM(L735:L748)</f>
        <v>0</v>
      </c>
    </row>
    <row r="750" spans="1:12">
      <c r="K750" s="109"/>
    </row>
    <row r="752" spans="1:12" ht="22.5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>
      <c r="A753" s="1156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>
      <c r="A754" s="1157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>
      <c r="A755" s="1157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>
      <c r="A756" s="1157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>
      <c r="A757" s="1157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>
      <c r="A758" s="1157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>
      <c r="A759" s="1157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>
      <c r="A760" s="1157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>
      <c r="A761" s="1176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>
      <c r="A762" s="1158" t="s">
        <v>1646</v>
      </c>
      <c r="B762" s="1158"/>
      <c r="C762" s="1158"/>
      <c r="D762" s="1158"/>
      <c r="E762" s="1158"/>
      <c r="F762" s="1158"/>
      <c r="G762" s="1158"/>
      <c r="H762" s="1158"/>
      <c r="I762" s="1158"/>
      <c r="J762" s="618">
        <f>SUM(J753:J761)</f>
        <v>23</v>
      </c>
      <c r="K762" s="654"/>
      <c r="L762" s="611">
        <f>SUM(L748:L760)</f>
        <v>0</v>
      </c>
    </row>
    <row r="763" spans="1:12">
      <c r="J763" s="222"/>
    </row>
    <row r="764" spans="1:12" ht="22.5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>
      <c r="A765" s="1162" t="s">
        <v>5686</v>
      </c>
      <c r="B765" s="693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>
      <c r="A766" s="1163"/>
      <c r="B766" s="693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>
      <c r="A767" s="1163"/>
      <c r="B767" s="693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>
      <c r="A768" s="1163"/>
      <c r="B768" s="692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>
      <c r="A769" s="1164"/>
      <c r="B769" s="692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>
      <c r="A770" s="1158" t="s">
        <v>1646</v>
      </c>
      <c r="B770" s="1158"/>
      <c r="C770" s="1158"/>
      <c r="D770" s="1158"/>
      <c r="E770" s="1158"/>
      <c r="F770" s="1158"/>
      <c r="G770" s="1158"/>
      <c r="H770" s="1158"/>
      <c r="I770" s="1158"/>
      <c r="J770" s="618">
        <f>SUM(J765:J769)</f>
        <v>8</v>
      </c>
      <c r="K770" s="654"/>
      <c r="L770" s="611">
        <f>SUM(L753:L765)</f>
        <v>0</v>
      </c>
    </row>
    <row r="772" spans="1:12" ht="22.5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>
      <c r="A773" s="1171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>
      <c r="A774" s="1171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>
      <c r="A775" s="1171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>
      <c r="A776" s="1171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>
      <c r="A777" s="1171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>
      <c r="A778" s="1158" t="s">
        <v>1646</v>
      </c>
      <c r="B778" s="1158"/>
      <c r="C778" s="1158"/>
      <c r="D778" s="1158"/>
      <c r="E778" s="1158"/>
      <c r="F778" s="1158"/>
      <c r="G778" s="1158"/>
      <c r="H778" s="1158"/>
      <c r="I778" s="1158"/>
      <c r="J778" s="618">
        <f>SUM(J773:J777)</f>
        <v>8</v>
      </c>
      <c r="K778" s="654"/>
      <c r="L778" s="611">
        <f>SUM(L761:L776)</f>
        <v>0</v>
      </c>
    </row>
    <row r="781" spans="1:12" ht="22.5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>
      <c r="A782" s="1171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>
      <c r="A783" s="1171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>
      <c r="A784" s="1171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>
      <c r="A785" s="1171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>
      <c r="A786" s="1171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>
      <c r="A787" s="1171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>
      <c r="A788" s="1171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>
      <c r="A789" s="1171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>
      <c r="A790" s="1158" t="s">
        <v>1646</v>
      </c>
      <c r="B790" s="1158"/>
      <c r="C790" s="1158"/>
      <c r="D790" s="1158"/>
      <c r="E790" s="1158"/>
      <c r="F790" s="1158"/>
      <c r="G790" s="1158"/>
      <c r="H790" s="1158"/>
      <c r="I790" s="1158"/>
      <c r="J790" s="618">
        <f>SUM(J782:J789)</f>
        <v>24</v>
      </c>
      <c r="K790" s="654"/>
    </row>
    <row r="793" spans="1:11" ht="22.5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>
      <c r="A794" s="1156" t="s">
        <v>5678</v>
      </c>
      <c r="B794" s="640">
        <v>46148</v>
      </c>
      <c r="C794" s="685" t="s">
        <v>306</v>
      </c>
      <c r="D794" s="685" t="s">
        <v>322</v>
      </c>
      <c r="E794" s="674" t="s">
        <v>5400</v>
      </c>
      <c r="F794" s="674" t="s">
        <v>4939</v>
      </c>
      <c r="G794" s="674" t="s">
        <v>482</v>
      </c>
      <c r="H794" s="675" t="s">
        <v>2979</v>
      </c>
      <c r="I794" s="694" t="s">
        <v>126</v>
      </c>
      <c r="J794" s="676">
        <v>1</v>
      </c>
      <c r="K794" s="618" t="s">
        <v>50</v>
      </c>
    </row>
    <row r="795" spans="1:11">
      <c r="A795" s="1157"/>
      <c r="B795" s="640" t="s">
        <v>5665</v>
      </c>
      <c r="C795" s="685" t="s">
        <v>306</v>
      </c>
      <c r="D795" s="685" t="s">
        <v>322</v>
      </c>
      <c r="E795" s="674" t="s">
        <v>5400</v>
      </c>
      <c r="F795" s="674">
        <v>1615</v>
      </c>
      <c r="G795" s="674" t="s">
        <v>482</v>
      </c>
      <c r="H795" s="675" t="s">
        <v>5663</v>
      </c>
      <c r="I795" s="694" t="s">
        <v>1948</v>
      </c>
      <c r="J795" s="676">
        <v>2</v>
      </c>
      <c r="K795" s="618" t="s">
        <v>50</v>
      </c>
    </row>
    <row r="796" spans="1:11">
      <c r="A796" s="1157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>
      <c r="A797" s="1157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>
      <c r="A798" s="1157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>
      <c r="A799" s="1157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>
      <c r="A800" s="1157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>
      <c r="A801" s="1157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>
      <c r="A802" s="1158" t="s">
        <v>1646</v>
      </c>
      <c r="B802" s="1158"/>
      <c r="C802" s="1158"/>
      <c r="D802" s="1158"/>
      <c r="E802" s="1158"/>
      <c r="F802" s="1158"/>
      <c r="G802" s="1158"/>
      <c r="H802" s="1158"/>
      <c r="I802" s="1158"/>
      <c r="J802" s="618">
        <f>SUM(J794:J801)</f>
        <v>16</v>
      </c>
      <c r="K802" s="654"/>
    </row>
    <row r="805" spans="1:11" ht="22.5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>
      <c r="A806" s="1159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>
      <c r="A807" s="1160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>
      <c r="A808" s="1160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>
      <c r="A809" s="1160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>
      <c r="A810" s="1160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>
      <c r="A811" s="1160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>
      <c r="A812" s="1158" t="s">
        <v>1646</v>
      </c>
      <c r="B812" s="1158"/>
      <c r="C812" s="1158"/>
      <c r="D812" s="1158"/>
      <c r="E812" s="1158"/>
      <c r="F812" s="1158"/>
      <c r="G812" s="1158"/>
      <c r="H812" s="1158"/>
      <c r="I812" s="1158"/>
      <c r="J812" s="618">
        <f>SUM(J806:J811)</f>
        <v>7</v>
      </c>
      <c r="K812" s="654"/>
    </row>
    <row r="816" spans="1:11" ht="22.5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>
      <c r="A817" s="949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>
      <c r="A818" s="949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>
      <c r="A819" s="1158" t="s">
        <v>1646</v>
      </c>
      <c r="B819" s="1158"/>
      <c r="C819" s="1158"/>
      <c r="D819" s="1158"/>
      <c r="E819" s="1158"/>
      <c r="F819" s="1158"/>
      <c r="G819" s="1158"/>
      <c r="H819" s="1158"/>
      <c r="I819" s="1158"/>
      <c r="J819" s="618">
        <f>SUM(J813:J818)</f>
        <v>4</v>
      </c>
      <c r="K819" s="654"/>
    </row>
    <row r="823" spans="1:12" s="697" customFormat="1" ht="22.5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696"/>
    </row>
    <row r="824" spans="1:12" s="697" customFormat="1" ht="11.25">
      <c r="A824" s="1162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696"/>
    </row>
    <row r="825" spans="1:12" s="697" customFormat="1" ht="11.25">
      <c r="A825" s="1163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696"/>
    </row>
    <row r="826" spans="1:12" s="697" customFormat="1" ht="11.25">
      <c r="A826" s="1163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696"/>
    </row>
    <row r="827" spans="1:12" s="697" customFormat="1" ht="11.25">
      <c r="A827" s="1163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696"/>
    </row>
    <row r="828" spans="1:12" s="697" customFormat="1" ht="11.25">
      <c r="A828" s="1163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696"/>
    </row>
    <row r="829" spans="1:12" s="697" customFormat="1" ht="11.25">
      <c r="A829" s="1163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696"/>
    </row>
    <row r="830" spans="1:12" s="697" customFormat="1" ht="11.25">
      <c r="A830" s="1163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696"/>
    </row>
    <row r="831" spans="1:12" s="697" customFormat="1" ht="11.25">
      <c r="A831" s="1163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696"/>
    </row>
    <row r="832" spans="1:12" s="697" customFormat="1" ht="11.25">
      <c r="A832" s="1163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696"/>
    </row>
    <row r="833" spans="1:12" s="697" customFormat="1" ht="11.25">
      <c r="A833" s="1164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696"/>
    </row>
    <row r="834" spans="1:12" s="697" customFormat="1" ht="11.25">
      <c r="A834" s="1158" t="s">
        <v>1646</v>
      </c>
      <c r="B834" s="1158"/>
      <c r="C834" s="1158"/>
      <c r="D834" s="1158"/>
      <c r="E834" s="1158"/>
      <c r="F834" s="1158"/>
      <c r="G834" s="1158"/>
      <c r="H834" s="1158"/>
      <c r="I834" s="1158"/>
      <c r="J834" s="618">
        <f>SUM(J824:J833)</f>
        <v>21</v>
      </c>
      <c r="K834" s="654"/>
      <c r="L834" s="696"/>
    </row>
    <row r="835" spans="1:12" s="697" customFormat="1" ht="11.25">
      <c r="L835" s="696"/>
    </row>
    <row r="836" spans="1:12" s="697" customFormat="1" ht="11.25">
      <c r="L836" s="696"/>
    </row>
    <row r="837" spans="1:12" s="697" customFormat="1" ht="22.5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696"/>
    </row>
    <row r="838" spans="1:12" s="697" customFormat="1" ht="11.25">
      <c r="A838" s="1162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696"/>
    </row>
    <row r="839" spans="1:12" s="697" customFormat="1" ht="11.25">
      <c r="A839" s="1163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696"/>
    </row>
    <row r="840" spans="1:12" s="697" customFormat="1" ht="11.25">
      <c r="A840" s="1164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696"/>
    </row>
    <row r="841" spans="1:12" s="697" customFormat="1" ht="11.25">
      <c r="A841" s="1158" t="s">
        <v>1646</v>
      </c>
      <c r="B841" s="1158"/>
      <c r="C841" s="1158"/>
      <c r="D841" s="1158"/>
      <c r="E841" s="1158"/>
      <c r="F841" s="1158"/>
      <c r="G841" s="1158"/>
      <c r="H841" s="1158"/>
      <c r="I841" s="1158"/>
      <c r="J841" s="618">
        <f>SUM(J838:J840)</f>
        <v>3</v>
      </c>
      <c r="K841" s="654"/>
      <c r="L841" s="696"/>
    </row>
    <row r="844" spans="1:12" ht="22.5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>
      <c r="A845" s="1156" t="s">
        <v>5678</v>
      </c>
      <c r="B845" s="738" t="s">
        <v>5950</v>
      </c>
      <c r="C845" s="618" t="s">
        <v>19</v>
      </c>
      <c r="D845" s="618" t="s">
        <v>25</v>
      </c>
      <c r="E845" s="653" t="s">
        <v>5838</v>
      </c>
      <c r="F845" s="739" t="s">
        <v>5754</v>
      </c>
      <c r="G845" s="739" t="s">
        <v>18</v>
      </c>
      <c r="H845" s="740" t="s">
        <v>5953</v>
      </c>
      <c r="I845" s="694" t="s">
        <v>4168</v>
      </c>
      <c r="J845" s="741">
        <v>4</v>
      </c>
      <c r="K845" s="618" t="s">
        <v>50</v>
      </c>
    </row>
    <row r="846" spans="1:12">
      <c r="A846" s="1157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>
      <c r="A847" s="1157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>
      <c r="A848" s="1157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>
      <c r="A849" s="1157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>
      <c r="A850" s="1157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>
      <c r="A851" s="1157"/>
      <c r="B851" s="738" t="s">
        <v>6249</v>
      </c>
      <c r="C851" s="742" t="s">
        <v>19</v>
      </c>
      <c r="D851" s="618" t="s">
        <v>25</v>
      </c>
      <c r="E851" s="653" t="s">
        <v>5254</v>
      </c>
      <c r="F851" s="743" t="s">
        <v>6250</v>
      </c>
      <c r="G851" s="744" t="s">
        <v>34</v>
      </c>
      <c r="H851" s="745" t="s">
        <v>6251</v>
      </c>
      <c r="I851" s="653" t="s">
        <v>3661</v>
      </c>
      <c r="J851" s="619">
        <v>5</v>
      </c>
      <c r="K851" s="618" t="s">
        <v>50</v>
      </c>
    </row>
    <row r="852" spans="1:11">
      <c r="A852" s="1157"/>
      <c r="B852" s="657">
        <v>46203</v>
      </c>
      <c r="C852" s="742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>
      <c r="A853" s="1158" t="s">
        <v>1646</v>
      </c>
      <c r="B853" s="1158"/>
      <c r="C853" s="1158"/>
      <c r="D853" s="1158"/>
      <c r="E853" s="1158"/>
      <c r="F853" s="1158"/>
      <c r="G853" s="1158"/>
      <c r="H853" s="1158"/>
      <c r="I853" s="1158"/>
      <c r="J853" s="618">
        <f>SUM(J845:J852)</f>
        <v>20</v>
      </c>
      <c r="K853" s="654"/>
    </row>
    <row r="855" spans="1:11" ht="22.5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>
      <c r="A856" s="1162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>
      <c r="A857" s="1163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>
      <c r="A858" s="1163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>
      <c r="A859" s="1163"/>
      <c r="B859" s="656">
        <v>46172</v>
      </c>
      <c r="C859" s="632" t="s">
        <v>19</v>
      </c>
      <c r="D859" s="632" t="s">
        <v>25</v>
      </c>
      <c r="E859" s="633" t="s">
        <v>5838</v>
      </c>
      <c r="F859" s="674">
        <v>1615</v>
      </c>
      <c r="G859" s="674" t="s">
        <v>4912</v>
      </c>
      <c r="H859" s="675" t="s">
        <v>4088</v>
      </c>
      <c r="I859" s="685" t="s">
        <v>5944</v>
      </c>
      <c r="J859" s="634">
        <v>1</v>
      </c>
      <c r="K859" s="618" t="s">
        <v>50</v>
      </c>
    </row>
    <row r="860" spans="1:11">
      <c r="A860" s="1163"/>
      <c r="B860" s="656" t="s">
        <v>5958</v>
      </c>
      <c r="C860" s="632" t="s">
        <v>19</v>
      </c>
      <c r="D860" s="632" t="s">
        <v>25</v>
      </c>
      <c r="E860" s="633" t="s">
        <v>5838</v>
      </c>
      <c r="F860" s="674">
        <v>1615</v>
      </c>
      <c r="G860" s="674" t="s">
        <v>4912</v>
      </c>
      <c r="H860" s="675" t="s">
        <v>3876</v>
      </c>
      <c r="I860" s="685" t="s">
        <v>4168</v>
      </c>
      <c r="J860" s="676">
        <v>2</v>
      </c>
      <c r="K860" s="618" t="s">
        <v>50</v>
      </c>
    </row>
    <row r="861" spans="1:11">
      <c r="A861" s="1163"/>
      <c r="B861" s="656" t="s">
        <v>5949</v>
      </c>
      <c r="C861" s="632" t="s">
        <v>19</v>
      </c>
      <c r="D861" s="632" t="s">
        <v>25</v>
      </c>
      <c r="E861" s="633" t="s">
        <v>5838</v>
      </c>
      <c r="F861" s="674">
        <v>7062</v>
      </c>
      <c r="G861" s="674" t="s">
        <v>1497</v>
      </c>
      <c r="H861" s="675" t="s">
        <v>5946</v>
      </c>
      <c r="I861" s="685" t="s">
        <v>4168</v>
      </c>
      <c r="J861" s="676">
        <v>2</v>
      </c>
      <c r="K861" s="618" t="s">
        <v>50</v>
      </c>
    </row>
    <row r="862" spans="1:11">
      <c r="A862" s="1163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4" t="s">
        <v>5960</v>
      </c>
      <c r="H862" s="675" t="s">
        <v>5962</v>
      </c>
      <c r="I862" s="685" t="s">
        <v>3429</v>
      </c>
      <c r="J862" s="676">
        <v>2</v>
      </c>
      <c r="K862" s="618" t="s">
        <v>50</v>
      </c>
    </row>
    <row r="863" spans="1:11">
      <c r="A863" s="1163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>
      <c r="A864" s="1163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>
      <c r="A865" s="1163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>
      <c r="A866" s="1163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>
      <c r="A867" s="1163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>
      <c r="A868" s="1163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>
      <c r="A869" s="1163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>
      <c r="A870" s="1163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>
      <c r="A871" s="1163"/>
      <c r="B871" s="640">
        <v>46189</v>
      </c>
      <c r="C871" s="721" t="s">
        <v>421</v>
      </c>
      <c r="D871" s="721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>
      <c r="A872" s="1163"/>
      <c r="B872" s="640">
        <v>46192</v>
      </c>
      <c r="C872" s="721" t="s">
        <v>421</v>
      </c>
      <c r="D872" s="721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>
      <c r="A873" s="1163"/>
      <c r="B873" s="640">
        <v>46193</v>
      </c>
      <c r="C873" s="721" t="s">
        <v>421</v>
      </c>
      <c r="D873" s="721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>
      <c r="A874" s="1163"/>
      <c r="B874" s="656" t="s">
        <v>6249</v>
      </c>
      <c r="C874" s="632" t="s">
        <v>19</v>
      </c>
      <c r="D874" s="632" t="s">
        <v>25</v>
      </c>
      <c r="E874" s="633" t="s">
        <v>5254</v>
      </c>
      <c r="F874" s="674" t="s">
        <v>6135</v>
      </c>
      <c r="G874" s="674" t="s">
        <v>1172</v>
      </c>
      <c r="H874" s="675" t="s">
        <v>1105</v>
      </c>
      <c r="I874" s="633" t="s">
        <v>1259</v>
      </c>
      <c r="J874" s="634">
        <v>3</v>
      </c>
      <c r="K874" s="618" t="s">
        <v>50</v>
      </c>
    </row>
    <row r="875" spans="1:11">
      <c r="A875" s="1164"/>
      <c r="B875" s="656" t="s">
        <v>6249</v>
      </c>
      <c r="C875" s="632" t="s">
        <v>19</v>
      </c>
      <c r="D875" s="632" t="s">
        <v>25</v>
      </c>
      <c r="E875" s="633" t="s">
        <v>5254</v>
      </c>
      <c r="F875" s="674" t="s">
        <v>5754</v>
      </c>
      <c r="G875" s="674" t="s">
        <v>18</v>
      </c>
      <c r="H875" s="675" t="s">
        <v>6252</v>
      </c>
      <c r="I875" s="685" t="s">
        <v>812</v>
      </c>
      <c r="J875" s="676">
        <v>3</v>
      </c>
      <c r="K875" s="618" t="s">
        <v>50</v>
      </c>
    </row>
    <row r="876" spans="1:11">
      <c r="A876" s="1158" t="s">
        <v>1646</v>
      </c>
      <c r="B876" s="1158"/>
      <c r="C876" s="1158"/>
      <c r="D876" s="1158"/>
      <c r="E876" s="1158"/>
      <c r="F876" s="1158"/>
      <c r="G876" s="1158"/>
      <c r="H876" s="1158"/>
      <c r="I876" s="1158"/>
      <c r="J876" s="618">
        <f>SUM(J856:J875)</f>
        <v>41</v>
      </c>
      <c r="K876" s="654"/>
    </row>
    <row r="879" spans="1:11" ht="22.5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>
      <c r="A880" s="1163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>
      <c r="A881" s="1163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>
      <c r="A882" s="1163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>
      <c r="A883" s="1163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>
      <c r="A884" s="1163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46"/>
    </row>
    <row r="885" spans="1:15">
      <c r="A885" s="1163"/>
      <c r="B885" s="748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49">
        <v>2</v>
      </c>
      <c r="K885" s="618" t="s">
        <v>50</v>
      </c>
      <c r="M885" s="747"/>
    </row>
    <row r="886" spans="1:15">
      <c r="A886" s="1163"/>
      <c r="B886" s="748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>
      <c r="A887" s="1158" t="s">
        <v>1646</v>
      </c>
      <c r="B887" s="1158"/>
      <c r="C887" s="1158"/>
      <c r="D887" s="1158"/>
      <c r="E887" s="1158"/>
      <c r="F887" s="1158"/>
      <c r="G887" s="1158"/>
      <c r="H887" s="1158"/>
      <c r="I887" s="1158"/>
      <c r="J887" s="618">
        <f>SUM(J880:J886)</f>
        <v>9</v>
      </c>
      <c r="K887" s="654"/>
    </row>
    <row r="892" spans="1:15" ht="22.5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>
      <c r="A893" s="1233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>
      <c r="A894" s="1234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>
      <c r="A895" s="1234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>
      <c r="A896" s="1234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49">
        <v>1</v>
      </c>
      <c r="K896" s="618" t="s">
        <v>50</v>
      </c>
    </row>
    <row r="897" spans="1:11">
      <c r="A897" s="1234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49">
        <v>1</v>
      </c>
      <c r="K897" s="618" t="s">
        <v>50</v>
      </c>
    </row>
    <row r="898" spans="1:11">
      <c r="A898" s="1234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>
      <c r="A899" s="1234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2">
        <v>1</v>
      </c>
      <c r="K899" s="618" t="s">
        <v>50</v>
      </c>
    </row>
    <row r="900" spans="1:11">
      <c r="A900" s="1234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>
      <c r="A901" s="1234"/>
      <c r="B901" s="738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>
      <c r="A902" s="1234"/>
      <c r="B902" s="738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>
      <c r="A903" s="1234"/>
      <c r="B903" s="738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49">
        <v>1</v>
      </c>
      <c r="K903" s="618" t="s">
        <v>6384</v>
      </c>
    </row>
    <row r="904" spans="1:11">
      <c r="A904" s="1158" t="s">
        <v>1646</v>
      </c>
      <c r="B904" s="1158"/>
      <c r="C904" s="1158"/>
      <c r="D904" s="1158"/>
      <c r="E904" s="1158"/>
      <c r="F904" s="1158"/>
      <c r="G904" s="1158"/>
      <c r="H904" s="1158"/>
      <c r="I904" s="1158"/>
      <c r="J904" s="618">
        <f>SUM(J893:J903)</f>
        <v>15</v>
      </c>
      <c r="K904" s="654"/>
    </row>
    <row r="907" spans="1:11" ht="22.5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>
      <c r="A908" s="1233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1">
        <v>2</v>
      </c>
      <c r="K908" s="618" t="s">
        <v>50</v>
      </c>
    </row>
    <row r="909" spans="1:11">
      <c r="A909" s="1234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49">
        <v>1</v>
      </c>
      <c r="K909" s="618" t="s">
        <v>50</v>
      </c>
    </row>
    <row r="910" spans="1:11">
      <c r="A910" s="1234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49">
        <v>1</v>
      </c>
      <c r="K910" s="618" t="s">
        <v>50</v>
      </c>
    </row>
    <row r="911" spans="1:11">
      <c r="A911" s="1234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>
      <c r="A912" s="1234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>
      <c r="A913" s="1234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>
      <c r="A914" s="1234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>
      <c r="A915" s="1234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>
      <c r="A916" s="1234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>
      <c r="A917" s="1234"/>
      <c r="B917" s="748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>
      <c r="A918" s="1234"/>
      <c r="B918" s="748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>
      <c r="A919" s="1158" t="s">
        <v>1646</v>
      </c>
      <c r="B919" s="1158"/>
      <c r="C919" s="1158"/>
      <c r="D919" s="1158"/>
      <c r="E919" s="1158"/>
      <c r="F919" s="1158"/>
      <c r="G919" s="1158"/>
      <c r="H919" s="1158"/>
      <c r="I919" s="1158"/>
      <c r="J919" s="618">
        <f>SUM(J908:J918)</f>
        <v>17</v>
      </c>
      <c r="K919" s="654"/>
    </row>
    <row r="924" spans="1:11" ht="22.5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>
      <c r="A925" s="1162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>
      <c r="A926" s="1163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>
      <c r="A927" s="1163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>
      <c r="A928" s="1163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>
      <c r="A929" s="1164"/>
      <c r="B929" s="738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>
      <c r="A930" s="1158" t="s">
        <v>1646</v>
      </c>
      <c r="B930" s="1158"/>
      <c r="C930" s="1158"/>
      <c r="D930" s="1158"/>
      <c r="E930" s="1158"/>
      <c r="F930" s="1158"/>
      <c r="G930" s="1158"/>
      <c r="H930" s="1158"/>
      <c r="I930" s="1158"/>
      <c r="J930" s="618">
        <f>SUM(J925:J929)</f>
        <v>5</v>
      </c>
      <c r="K930" s="654"/>
    </row>
    <row r="932" spans="1:11" ht="22.5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>
      <c r="A933" s="1235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>
      <c r="A934" s="1235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>
      <c r="A935" s="1235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>
      <c r="A936" s="1235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>
      <c r="A937" s="1235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>
      <c r="A938" s="1235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>
      <c r="A939" s="1235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>
      <c r="A940" s="1235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>
      <c r="A941" s="1235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>
      <c r="A942" s="1235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>
      <c r="A943" s="1235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>
      <c r="A944" s="1158" t="s">
        <v>1646</v>
      </c>
      <c r="B944" s="1158"/>
      <c r="C944" s="1158"/>
      <c r="D944" s="1158"/>
      <c r="E944" s="1158"/>
      <c r="F944" s="1158"/>
      <c r="G944" s="1158"/>
      <c r="H944" s="1158"/>
      <c r="I944" s="1158"/>
      <c r="J944" s="618">
        <f>SUM(J933:J943)</f>
        <v>11</v>
      </c>
      <c r="K944" s="654"/>
    </row>
    <row r="947" spans="1:11" ht="22.5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>
      <c r="A948" s="1236" t="s">
        <v>6793</v>
      </c>
      <c r="B948" s="640" t="s">
        <v>6791</v>
      </c>
      <c r="C948" s="721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>
      <c r="A949" s="1237"/>
      <c r="B949" s="640" t="s">
        <v>6443</v>
      </c>
      <c r="C949" s="721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>
      <c r="A950" s="1237"/>
      <c r="B950" s="640" t="s">
        <v>6452</v>
      </c>
      <c r="C950" s="721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>
      <c r="A951" s="1238"/>
      <c r="B951" s="640" t="s">
        <v>6555</v>
      </c>
      <c r="C951" s="721" t="s">
        <v>219</v>
      </c>
      <c r="D951" s="632" t="s">
        <v>1638</v>
      </c>
      <c r="E951" s="633" t="s">
        <v>5254</v>
      </c>
      <c r="F951" s="674" t="s">
        <v>6250</v>
      </c>
      <c r="G951" s="674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>
      <c r="A952" s="1158" t="s">
        <v>1646</v>
      </c>
      <c r="B952" s="1158"/>
      <c r="C952" s="1158"/>
      <c r="D952" s="1158"/>
      <c r="E952" s="1158"/>
      <c r="F952" s="1158"/>
      <c r="G952" s="1158"/>
      <c r="H952" s="1158"/>
      <c r="I952" s="1158"/>
      <c r="J952" s="618">
        <f>SUM(J948:J951)</f>
        <v>9</v>
      </c>
      <c r="K952" s="654"/>
    </row>
    <row r="954" spans="1:11" ht="22.5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>
      <c r="A955" s="779" t="s">
        <v>6795</v>
      </c>
      <c r="B955" s="640">
        <v>46207</v>
      </c>
      <c r="C955" s="721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>
      <c r="A956" s="1158" t="s">
        <v>1646</v>
      </c>
      <c r="B956" s="1158"/>
      <c r="C956" s="1158"/>
      <c r="D956" s="1158"/>
      <c r="E956" s="1158"/>
      <c r="F956" s="1158"/>
      <c r="G956" s="1158"/>
      <c r="H956" s="1158"/>
      <c r="I956" s="1158"/>
      <c r="J956" s="618">
        <f>SUM(J955)</f>
        <v>1</v>
      </c>
      <c r="K956" s="654"/>
    </row>
    <row r="959" spans="1:11" ht="22.5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>
      <c r="A960" s="949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>
      <c r="A961" s="949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>
      <c r="A962" s="949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>
      <c r="A963" s="949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>
      <c r="A964" s="1158" t="s">
        <v>1646</v>
      </c>
      <c r="B964" s="1158"/>
      <c r="C964" s="1158"/>
      <c r="D964" s="1158"/>
      <c r="E964" s="1158"/>
      <c r="F964" s="1158"/>
      <c r="G964" s="1158"/>
      <c r="H964" s="1158"/>
      <c r="I964" s="1158"/>
      <c r="J964" s="618">
        <f>SUM(J960:J963)</f>
        <v>6</v>
      </c>
      <c r="K964" s="654"/>
    </row>
    <row r="966" spans="1:11" ht="22.5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>
      <c r="A967" s="1172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0"/>
      <c r="J967" s="632">
        <v>2</v>
      </c>
      <c r="K967" s="618" t="s">
        <v>50</v>
      </c>
    </row>
    <row r="968" spans="1:11">
      <c r="A968" s="1173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0"/>
      <c r="J968" s="632">
        <v>2</v>
      </c>
      <c r="K968" s="618" t="s">
        <v>50</v>
      </c>
    </row>
    <row r="969" spans="1:11">
      <c r="A969" s="1173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0" t="s">
        <v>6312</v>
      </c>
      <c r="J969" s="632">
        <v>1</v>
      </c>
      <c r="K969" s="618" t="s">
        <v>50</v>
      </c>
    </row>
    <row r="970" spans="1:11">
      <c r="A970" s="1173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0"/>
      <c r="J970" s="632">
        <v>2</v>
      </c>
      <c r="K970" s="618" t="s">
        <v>50</v>
      </c>
    </row>
    <row r="971" spans="1:11">
      <c r="A971" s="1173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0" t="s">
        <v>6312</v>
      </c>
      <c r="J971" s="632">
        <v>1</v>
      </c>
      <c r="K971" s="618" t="s">
        <v>50</v>
      </c>
    </row>
    <row r="972" spans="1:11" ht="36">
      <c r="A972" s="1173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>
      <c r="A973" s="1173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>
      <c r="A974" s="1173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>
      <c r="A975" s="1174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>
      <c r="A976" s="1158" t="s">
        <v>1646</v>
      </c>
      <c r="B976" s="1158"/>
      <c r="C976" s="1158"/>
      <c r="D976" s="1158"/>
      <c r="E976" s="1158"/>
      <c r="F976" s="1158"/>
      <c r="G976" s="1158"/>
      <c r="H976" s="1158"/>
      <c r="I976" s="1158"/>
      <c r="J976" s="618">
        <f>SUM(J967:J975)</f>
        <v>12</v>
      </c>
      <c r="K976" s="654"/>
    </row>
    <row r="978" spans="1:11" ht="22.5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>
      <c r="A979" s="974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>
      <c r="A980" s="975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>
      <c r="A981" s="976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>
      <c r="A982" s="1158" t="s">
        <v>1646</v>
      </c>
      <c r="B982" s="1158"/>
      <c r="C982" s="1158"/>
      <c r="D982" s="1158"/>
      <c r="E982" s="1158"/>
      <c r="F982" s="1158"/>
      <c r="G982" s="1158"/>
      <c r="H982" s="1158"/>
      <c r="I982" s="1158"/>
      <c r="J982" s="618">
        <f>SUM(J979:J981)</f>
        <v>3</v>
      </c>
      <c r="K982" s="654"/>
    </row>
    <row r="986" spans="1:11" ht="22.5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>
      <c r="A987" s="949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>
      <c r="A988" s="949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>
      <c r="A989" s="1158" t="s">
        <v>1646</v>
      </c>
      <c r="B989" s="1158"/>
      <c r="C989" s="1158"/>
      <c r="D989" s="1158"/>
      <c r="E989" s="1158"/>
      <c r="F989" s="1158"/>
      <c r="G989" s="1158"/>
      <c r="H989" s="1158"/>
      <c r="I989" s="1158"/>
      <c r="J989" s="618">
        <f>SUM(J986:J988)</f>
        <v>2</v>
      </c>
      <c r="K989" s="654"/>
    </row>
    <row r="993" spans="1:11" ht="22.5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>
      <c r="A994" s="1090" t="s">
        <v>6800</v>
      </c>
      <c r="B994" s="728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0">
        <v>2</v>
      </c>
      <c r="K994" s="618" t="s">
        <v>50</v>
      </c>
    </row>
    <row r="995" spans="1:11">
      <c r="A995" s="1091"/>
      <c r="B995" s="728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0">
        <v>2</v>
      </c>
      <c r="K995" s="618" t="s">
        <v>50</v>
      </c>
    </row>
    <row r="996" spans="1:11">
      <c r="A996" s="1091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>
      <c r="A997" s="1091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>
      <c r="A998" s="1091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0">
        <v>1</v>
      </c>
      <c r="K998" s="618" t="s">
        <v>50</v>
      </c>
    </row>
    <row r="999" spans="1:11" ht="24">
      <c r="A999" s="1091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>
      <c r="A1000" s="1091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>
      <c r="A1001" s="1091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>
      <c r="A1002" s="1092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>
      <c r="A1003" s="1158" t="s">
        <v>1646</v>
      </c>
      <c r="B1003" s="1158"/>
      <c r="C1003" s="1158"/>
      <c r="D1003" s="1158"/>
      <c r="E1003" s="1158"/>
      <c r="F1003" s="1158"/>
      <c r="G1003" s="1158"/>
      <c r="H1003" s="1158"/>
      <c r="I1003" s="1158"/>
      <c r="J1003" s="618">
        <f>SUM(J994:J1002)</f>
        <v>11</v>
      </c>
      <c r="K1003" s="654"/>
    </row>
    <row r="1006" spans="1:11" ht="22.5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>
      <c r="A1007" s="1165" t="s">
        <v>7093</v>
      </c>
      <c r="B1007" s="781">
        <v>46200</v>
      </c>
      <c r="C1007" s="721" t="s">
        <v>19</v>
      </c>
      <c r="D1007" s="632" t="s">
        <v>25</v>
      </c>
      <c r="E1007" s="750" t="s">
        <v>5254</v>
      </c>
      <c r="F1007" s="750" t="s">
        <v>6315</v>
      </c>
      <c r="G1007" s="721" t="s">
        <v>18</v>
      </c>
      <c r="H1007" s="632" t="s">
        <v>6316</v>
      </c>
      <c r="I1007" s="750" t="s">
        <v>2381</v>
      </c>
      <c r="J1007" s="632">
        <v>1</v>
      </c>
      <c r="K1007" s="618" t="s">
        <v>50</v>
      </c>
    </row>
    <row r="1008" spans="1:11">
      <c r="A1008" s="1166"/>
      <c r="B1008" s="781" t="s">
        <v>6318</v>
      </c>
      <c r="C1008" s="721" t="s">
        <v>19</v>
      </c>
      <c r="D1008" s="632" t="s">
        <v>25</v>
      </c>
      <c r="E1008" s="750" t="s">
        <v>5254</v>
      </c>
      <c r="F1008" s="750" t="s">
        <v>6315</v>
      </c>
      <c r="G1008" s="721" t="s">
        <v>18</v>
      </c>
      <c r="H1008" s="632" t="s">
        <v>6316</v>
      </c>
      <c r="I1008" s="750" t="s">
        <v>2381</v>
      </c>
      <c r="J1008" s="632">
        <v>3</v>
      </c>
      <c r="K1008" s="618" t="s">
        <v>50</v>
      </c>
    </row>
    <row r="1009" spans="1:11">
      <c r="A1009" s="1166"/>
      <c r="B1009" s="781" t="s">
        <v>6318</v>
      </c>
      <c r="C1009" s="721" t="s">
        <v>19</v>
      </c>
      <c r="D1009" s="632" t="s">
        <v>25</v>
      </c>
      <c r="E1009" s="750" t="s">
        <v>5254</v>
      </c>
      <c r="F1009" s="750">
        <v>7065</v>
      </c>
      <c r="G1009" s="721" t="s">
        <v>589</v>
      </c>
      <c r="H1009" s="632" t="s">
        <v>6324</v>
      </c>
      <c r="I1009" s="750" t="s">
        <v>90</v>
      </c>
      <c r="J1009" s="632">
        <v>3</v>
      </c>
      <c r="K1009" s="618" t="s">
        <v>50</v>
      </c>
    </row>
    <row r="1010" spans="1:11">
      <c r="A1010" s="1166"/>
      <c r="B1010" s="782" t="s">
        <v>6322</v>
      </c>
      <c r="C1010" s="721" t="s">
        <v>19</v>
      </c>
      <c r="D1010" s="632" t="s">
        <v>25</v>
      </c>
      <c r="E1010" s="750" t="s">
        <v>5254</v>
      </c>
      <c r="F1010" s="685" t="s">
        <v>6250</v>
      </c>
      <c r="G1010" s="685" t="s">
        <v>6323</v>
      </c>
      <c r="H1010" s="783" t="s">
        <v>1105</v>
      </c>
      <c r="I1010" s="750" t="s">
        <v>2381</v>
      </c>
      <c r="J1010" s="632">
        <v>2</v>
      </c>
      <c r="K1010" s="618" t="s">
        <v>50</v>
      </c>
    </row>
    <row r="1011" spans="1:11">
      <c r="A1011" s="1166"/>
      <c r="B1011" s="781" t="s">
        <v>6452</v>
      </c>
      <c r="C1011" s="721" t="s">
        <v>219</v>
      </c>
      <c r="D1011" s="632" t="s">
        <v>151</v>
      </c>
      <c r="E1011" s="750" t="s">
        <v>5254</v>
      </c>
      <c r="F1011" s="750" t="s">
        <v>5754</v>
      </c>
      <c r="G1011" s="721" t="s">
        <v>18</v>
      </c>
      <c r="H1011" s="632" t="s">
        <v>5856</v>
      </c>
      <c r="I1011" s="750"/>
      <c r="J1011" s="632">
        <v>3</v>
      </c>
      <c r="K1011" s="618" t="s">
        <v>50</v>
      </c>
    </row>
    <row r="1012" spans="1:11">
      <c r="A1012" s="1166"/>
      <c r="B1012" s="781" t="s">
        <v>6443</v>
      </c>
      <c r="C1012" s="721" t="s">
        <v>219</v>
      </c>
      <c r="D1012" s="632" t="s">
        <v>151</v>
      </c>
      <c r="E1012" s="750" t="s">
        <v>5254</v>
      </c>
      <c r="F1012" s="750" t="s">
        <v>5847</v>
      </c>
      <c r="G1012" s="721" t="s">
        <v>6133</v>
      </c>
      <c r="H1012" s="632" t="s">
        <v>6454</v>
      </c>
      <c r="I1012" s="750" t="s">
        <v>2381</v>
      </c>
      <c r="J1012" s="632">
        <v>2</v>
      </c>
      <c r="K1012" s="618" t="s">
        <v>50</v>
      </c>
    </row>
    <row r="1013" spans="1:11">
      <c r="A1013" s="1166"/>
      <c r="B1013" s="782" t="s">
        <v>6452</v>
      </c>
      <c r="C1013" s="721" t="s">
        <v>219</v>
      </c>
      <c r="D1013" s="632" t="s">
        <v>151</v>
      </c>
      <c r="E1013" s="750" t="s">
        <v>5254</v>
      </c>
      <c r="F1013" s="685" t="s">
        <v>6250</v>
      </c>
      <c r="G1013" s="685" t="s">
        <v>34</v>
      </c>
      <c r="H1013" s="783" t="s">
        <v>1105</v>
      </c>
      <c r="I1013" s="750" t="s">
        <v>2381</v>
      </c>
      <c r="J1013" s="632">
        <v>3</v>
      </c>
      <c r="K1013" s="618" t="s">
        <v>50</v>
      </c>
    </row>
    <row r="1014" spans="1:11">
      <c r="A1014" s="1166"/>
      <c r="B1014" s="781">
        <v>46214</v>
      </c>
      <c r="C1014" s="721" t="s">
        <v>219</v>
      </c>
      <c r="D1014" s="632" t="s">
        <v>1638</v>
      </c>
      <c r="E1014" s="750" t="s">
        <v>5254</v>
      </c>
      <c r="F1014" s="750" t="s">
        <v>4947</v>
      </c>
      <c r="G1014" s="721" t="s">
        <v>115</v>
      </c>
      <c r="H1014" s="632" t="s">
        <v>1105</v>
      </c>
      <c r="I1014" s="750" t="s">
        <v>2172</v>
      </c>
      <c r="J1014" s="632">
        <v>1</v>
      </c>
      <c r="K1014" s="618" t="s">
        <v>50</v>
      </c>
    </row>
    <row r="1015" spans="1:11">
      <c r="A1015" s="1166"/>
      <c r="B1015" s="781">
        <v>46216</v>
      </c>
      <c r="C1015" s="721" t="s">
        <v>219</v>
      </c>
      <c r="D1015" s="632" t="s">
        <v>1638</v>
      </c>
      <c r="E1015" s="750" t="s">
        <v>5254</v>
      </c>
      <c r="F1015" s="750" t="s">
        <v>6527</v>
      </c>
      <c r="G1015" s="721" t="s">
        <v>6528</v>
      </c>
      <c r="H1015" s="632" t="s">
        <v>1105</v>
      </c>
      <c r="I1015" s="750" t="s">
        <v>2172</v>
      </c>
      <c r="J1015" s="632">
        <v>1</v>
      </c>
      <c r="K1015" s="618" t="s">
        <v>50</v>
      </c>
    </row>
    <row r="1016" spans="1:11">
      <c r="A1016" s="1166"/>
      <c r="B1016" s="781" t="s">
        <v>6554</v>
      </c>
      <c r="C1016" s="721" t="s">
        <v>219</v>
      </c>
      <c r="D1016" s="632" t="s">
        <v>1638</v>
      </c>
      <c r="E1016" s="750" t="s">
        <v>5254</v>
      </c>
      <c r="F1016" s="750">
        <v>7065</v>
      </c>
      <c r="G1016" s="721" t="s">
        <v>589</v>
      </c>
      <c r="H1016" s="632" t="s">
        <v>378</v>
      </c>
      <c r="I1016" s="750" t="s">
        <v>126</v>
      </c>
      <c r="J1016" s="632">
        <v>3</v>
      </c>
      <c r="K1016" s="618" t="s">
        <v>50</v>
      </c>
    </row>
    <row r="1017" spans="1:11">
      <c r="A1017" s="1167"/>
      <c r="B1017" s="781" t="s">
        <v>6607</v>
      </c>
      <c r="C1017" s="721" t="s">
        <v>19</v>
      </c>
      <c r="D1017" s="632" t="s">
        <v>25</v>
      </c>
      <c r="E1017" s="750" t="s">
        <v>5254</v>
      </c>
      <c r="F1017" s="784" t="s">
        <v>6250</v>
      </c>
      <c r="G1017" s="784" t="s">
        <v>6323</v>
      </c>
      <c r="H1017" s="632" t="s">
        <v>6609</v>
      </c>
      <c r="I1017" s="750" t="s">
        <v>168</v>
      </c>
      <c r="J1017" s="632">
        <v>4</v>
      </c>
      <c r="K1017" s="618" t="s">
        <v>50</v>
      </c>
    </row>
    <row r="1018" spans="1:11">
      <c r="A1018" s="1158" t="s">
        <v>1646</v>
      </c>
      <c r="B1018" s="1158"/>
      <c r="C1018" s="1158"/>
      <c r="D1018" s="1158"/>
      <c r="E1018" s="1158"/>
      <c r="F1018" s="1158"/>
      <c r="G1018" s="1158"/>
      <c r="H1018" s="1158"/>
      <c r="I1018" s="1158"/>
      <c r="J1018" s="618">
        <f>SUM(J1007:J1017)</f>
        <v>26</v>
      </c>
      <c r="K1018" s="654"/>
    </row>
    <row r="1022" spans="1:11" ht="22.5">
      <c r="A1022" s="612" t="s">
        <v>43</v>
      </c>
      <c r="B1022" s="612" t="s">
        <v>1620</v>
      </c>
      <c r="C1022" s="613" t="s">
        <v>2</v>
      </c>
      <c r="D1022" s="613" t="s">
        <v>3</v>
      </c>
      <c r="E1022" s="613" t="s">
        <v>4</v>
      </c>
      <c r="F1022" s="613" t="s">
        <v>5</v>
      </c>
      <c r="G1022" s="613" t="s">
        <v>6</v>
      </c>
      <c r="H1022" s="614" t="s">
        <v>45</v>
      </c>
      <c r="I1022" s="613" t="s">
        <v>8</v>
      </c>
      <c r="J1022" s="615" t="s">
        <v>46</v>
      </c>
      <c r="K1022" s="616" t="s">
        <v>47</v>
      </c>
    </row>
    <row r="1023" spans="1:11">
      <c r="A1023" s="974" t="s">
        <v>7094</v>
      </c>
      <c r="B1023" s="640" t="s">
        <v>6655</v>
      </c>
      <c r="C1023" s="721" t="s">
        <v>19</v>
      </c>
      <c r="D1023" s="632" t="s">
        <v>25</v>
      </c>
      <c r="E1023" s="633" t="s">
        <v>5254</v>
      </c>
      <c r="F1023" s="806" t="s">
        <v>3790</v>
      </c>
      <c r="G1023" s="807"/>
      <c r="H1023" s="815" t="s">
        <v>6662</v>
      </c>
      <c r="I1023" s="633" t="s">
        <v>4918</v>
      </c>
      <c r="J1023" s="815">
        <v>2</v>
      </c>
      <c r="K1023" s="618" t="s">
        <v>50</v>
      </c>
    </row>
    <row r="1024" spans="1:11">
      <c r="A1024" s="975"/>
      <c r="B1024" s="369" t="s">
        <v>6719</v>
      </c>
      <c r="C1024" s="721" t="s">
        <v>124</v>
      </c>
      <c r="D1024" s="632" t="s">
        <v>151</v>
      </c>
      <c r="E1024" s="633" t="s">
        <v>5254</v>
      </c>
      <c r="F1024" s="649">
        <v>7065</v>
      </c>
      <c r="G1024" s="807" t="s">
        <v>145</v>
      </c>
      <c r="H1024" s="815" t="s">
        <v>6715</v>
      </c>
      <c r="I1024" s="633" t="s">
        <v>120</v>
      </c>
      <c r="J1024" s="815">
        <v>1</v>
      </c>
      <c r="K1024" s="618" t="s">
        <v>50</v>
      </c>
    </row>
    <row r="1025" spans="1:11">
      <c r="A1025" s="975"/>
      <c r="B1025" s="369" t="s">
        <v>6821</v>
      </c>
      <c r="C1025" s="721" t="s">
        <v>219</v>
      </c>
      <c r="D1025" s="632" t="s">
        <v>151</v>
      </c>
      <c r="E1025" s="633" t="s">
        <v>5254</v>
      </c>
      <c r="F1025" s="649" t="s">
        <v>5847</v>
      </c>
      <c r="G1025" s="807" t="s">
        <v>3758</v>
      </c>
      <c r="H1025" s="815" t="s">
        <v>3715</v>
      </c>
      <c r="I1025" s="633" t="s">
        <v>4918</v>
      </c>
      <c r="J1025" s="815">
        <v>2</v>
      </c>
      <c r="K1025" s="618" t="s">
        <v>50</v>
      </c>
    </row>
    <row r="1026" spans="1:11">
      <c r="A1026" s="975"/>
      <c r="B1026" s="807" t="s">
        <v>6905</v>
      </c>
      <c r="C1026" s="808" t="s">
        <v>306</v>
      </c>
      <c r="D1026" s="808" t="s">
        <v>322</v>
      </c>
      <c r="E1026" s="809" t="s">
        <v>5400</v>
      </c>
      <c r="F1026" s="649" t="s">
        <v>6893</v>
      </c>
      <c r="G1026" s="807" t="s">
        <v>329</v>
      </c>
      <c r="H1026" s="809" t="s">
        <v>6906</v>
      </c>
      <c r="I1026" s="809" t="s">
        <v>1534</v>
      </c>
      <c r="J1026" s="809">
        <v>2</v>
      </c>
      <c r="K1026" s="618" t="s">
        <v>50</v>
      </c>
    </row>
    <row r="1027" spans="1:11">
      <c r="A1027" s="975"/>
      <c r="B1027" s="807" t="s">
        <v>6907</v>
      </c>
      <c r="C1027" s="808" t="s">
        <v>306</v>
      </c>
      <c r="D1027" s="808" t="s">
        <v>322</v>
      </c>
      <c r="E1027" s="809" t="s">
        <v>5400</v>
      </c>
      <c r="F1027" s="649" t="s">
        <v>5766</v>
      </c>
      <c r="G1027" s="807" t="s">
        <v>6908</v>
      </c>
      <c r="H1027" s="809" t="s">
        <v>4915</v>
      </c>
      <c r="I1027" s="809" t="s">
        <v>1534</v>
      </c>
      <c r="J1027" s="809">
        <v>2</v>
      </c>
      <c r="K1027" s="618" t="s">
        <v>50</v>
      </c>
    </row>
    <row r="1028" spans="1:11">
      <c r="A1028" s="975"/>
      <c r="B1028" s="369" t="s">
        <v>6892</v>
      </c>
      <c r="C1028" s="721" t="s">
        <v>19</v>
      </c>
      <c r="D1028" s="632" t="s">
        <v>25</v>
      </c>
      <c r="E1028" s="633" t="s">
        <v>5254</v>
      </c>
      <c r="F1028" s="807">
        <v>7062</v>
      </c>
      <c r="G1028" s="807" t="s">
        <v>143</v>
      </c>
      <c r="H1028" s="815" t="s">
        <v>1105</v>
      </c>
      <c r="I1028" s="633" t="s">
        <v>1259</v>
      </c>
      <c r="J1028" s="815">
        <v>4</v>
      </c>
      <c r="K1028" s="618" t="s">
        <v>50</v>
      </c>
    </row>
    <row r="1029" spans="1:11">
      <c r="A1029" s="975"/>
      <c r="B1029" s="369">
        <v>46263</v>
      </c>
      <c r="C1029" s="721" t="s">
        <v>6707</v>
      </c>
      <c r="D1029" s="632" t="s">
        <v>1604</v>
      </c>
      <c r="E1029" s="633" t="s">
        <v>5254</v>
      </c>
      <c r="F1029" s="807" t="s">
        <v>5754</v>
      </c>
      <c r="G1029" s="807" t="s">
        <v>18</v>
      </c>
      <c r="H1029" s="815" t="s">
        <v>3402</v>
      </c>
      <c r="I1029" s="633" t="s">
        <v>2172</v>
      </c>
      <c r="J1029" s="815">
        <v>1</v>
      </c>
      <c r="K1029" s="618" t="s">
        <v>50</v>
      </c>
    </row>
    <row r="1030" spans="1:11">
      <c r="A1030" s="975"/>
      <c r="B1030" s="369" t="s">
        <v>7021</v>
      </c>
      <c r="C1030" s="721" t="s">
        <v>6707</v>
      </c>
      <c r="D1030" s="632" t="s">
        <v>1604</v>
      </c>
      <c r="E1030" s="633" t="s">
        <v>5254</v>
      </c>
      <c r="F1030" s="807" t="s">
        <v>5754</v>
      </c>
      <c r="G1030" s="807" t="s">
        <v>18</v>
      </c>
      <c r="H1030" s="815" t="s">
        <v>3402</v>
      </c>
      <c r="I1030" s="633" t="s">
        <v>2172</v>
      </c>
      <c r="J1030" s="815">
        <v>2</v>
      </c>
      <c r="K1030" s="618" t="s">
        <v>50</v>
      </c>
    </row>
    <row r="1031" spans="1:11">
      <c r="A1031" s="976"/>
      <c r="B1031" s="369" t="s">
        <v>7022</v>
      </c>
      <c r="C1031" s="721" t="s">
        <v>6707</v>
      </c>
      <c r="D1031" s="632" t="s">
        <v>1604</v>
      </c>
      <c r="E1031" s="633" t="s">
        <v>5254</v>
      </c>
      <c r="F1031" s="807" t="s">
        <v>6075</v>
      </c>
      <c r="G1031" s="807" t="s">
        <v>6071</v>
      </c>
      <c r="H1031" s="815" t="s">
        <v>3402</v>
      </c>
      <c r="I1031" s="633" t="s">
        <v>2172</v>
      </c>
      <c r="J1031" s="815">
        <v>2</v>
      </c>
      <c r="K1031" s="618" t="s">
        <v>50</v>
      </c>
    </row>
    <row r="1032" spans="1:11">
      <c r="A1032" s="1158" t="s">
        <v>1646</v>
      </c>
      <c r="B1032" s="1158"/>
      <c r="C1032" s="1158"/>
      <c r="D1032" s="1158"/>
      <c r="E1032" s="1158"/>
      <c r="F1032" s="1158"/>
      <c r="G1032" s="1158"/>
      <c r="H1032" s="1158"/>
      <c r="I1032" s="1158"/>
      <c r="J1032" s="618">
        <f>SUM(J1023:J1031)</f>
        <v>18</v>
      </c>
      <c r="K1032" s="654"/>
    </row>
    <row r="1034" spans="1:11">
      <c r="I1034" s="109">
        <f>J1032*250000</f>
        <v>4500000</v>
      </c>
    </row>
    <row r="1038" spans="1:11" ht="22.5">
      <c r="A1038" s="612" t="s">
        <v>43</v>
      </c>
      <c r="B1038" s="612" t="s">
        <v>1620</v>
      </c>
      <c r="C1038" s="613" t="s">
        <v>2</v>
      </c>
      <c r="D1038" s="613" t="s">
        <v>3</v>
      </c>
      <c r="E1038" s="613" t="s">
        <v>4</v>
      </c>
      <c r="F1038" s="613" t="s">
        <v>5</v>
      </c>
      <c r="G1038" s="613" t="s">
        <v>6</v>
      </c>
      <c r="H1038" s="614" t="s">
        <v>45</v>
      </c>
      <c r="I1038" s="613" t="s">
        <v>8</v>
      </c>
      <c r="J1038" s="615" t="s">
        <v>46</v>
      </c>
      <c r="K1038" s="616" t="s">
        <v>47</v>
      </c>
    </row>
    <row r="1039" spans="1:11" ht="22.5">
      <c r="A1039" s="1235" t="s">
        <v>7094</v>
      </c>
      <c r="B1039" s="657">
        <v>46259</v>
      </c>
      <c r="C1039" s="618" t="s">
        <v>21</v>
      </c>
      <c r="D1039" s="618" t="s">
        <v>14</v>
      </c>
      <c r="E1039" s="653" t="s">
        <v>149</v>
      </c>
      <c r="F1039" s="653" t="s">
        <v>3415</v>
      </c>
      <c r="G1039" s="620" t="s">
        <v>23</v>
      </c>
      <c r="H1039" s="866" t="s">
        <v>6864</v>
      </c>
      <c r="I1039" s="871" t="s">
        <v>126</v>
      </c>
      <c r="J1039" s="871">
        <v>4</v>
      </c>
      <c r="K1039" s="618" t="s">
        <v>7349</v>
      </c>
    </row>
    <row r="1040" spans="1:11" ht="16.5" customHeight="1">
      <c r="A1040" s="1235"/>
      <c r="B1040" s="657">
        <v>46265</v>
      </c>
      <c r="C1040" s="863" t="s">
        <v>138</v>
      </c>
      <c r="D1040" s="863" t="s">
        <v>14</v>
      </c>
      <c r="E1040" s="871" t="s">
        <v>107</v>
      </c>
      <c r="F1040" s="871">
        <v>179</v>
      </c>
      <c r="G1040" s="643" t="s">
        <v>746</v>
      </c>
      <c r="H1040" s="872" t="s">
        <v>7008</v>
      </c>
      <c r="I1040" s="871" t="s">
        <v>126</v>
      </c>
      <c r="J1040" s="871">
        <v>1</v>
      </c>
      <c r="K1040" s="618" t="s">
        <v>50</v>
      </c>
    </row>
    <row r="1041" spans="1:11">
      <c r="A1041" s="1235"/>
      <c r="B1041" s="657">
        <v>46265</v>
      </c>
      <c r="C1041" s="618" t="s">
        <v>21</v>
      </c>
      <c r="D1041" s="618" t="s">
        <v>14</v>
      </c>
      <c r="E1041" s="653" t="s">
        <v>211</v>
      </c>
      <c r="F1041" s="653" t="s">
        <v>2916</v>
      </c>
      <c r="G1041" s="620" t="s">
        <v>2917</v>
      </c>
      <c r="H1041" s="866" t="s">
        <v>1314</v>
      </c>
      <c r="I1041" s="866" t="s">
        <v>1948</v>
      </c>
      <c r="J1041" s="866">
        <v>1</v>
      </c>
      <c r="K1041" s="618" t="s">
        <v>50</v>
      </c>
    </row>
    <row r="1042" spans="1:11" ht="22.5">
      <c r="A1042" s="1235"/>
      <c r="B1042" s="657">
        <v>46268</v>
      </c>
      <c r="C1042" s="618" t="s">
        <v>21</v>
      </c>
      <c r="D1042" s="618" t="s">
        <v>17</v>
      </c>
      <c r="E1042" s="866" t="s">
        <v>6517</v>
      </c>
      <c r="F1042" s="653" t="s">
        <v>2653</v>
      </c>
      <c r="G1042" s="620" t="s">
        <v>102</v>
      </c>
      <c r="H1042" s="866" t="s">
        <v>6990</v>
      </c>
      <c r="I1042" s="866" t="s">
        <v>126</v>
      </c>
      <c r="J1042" s="885">
        <v>1</v>
      </c>
      <c r="K1042" s="618" t="s">
        <v>50</v>
      </c>
    </row>
    <row r="1043" spans="1:11" ht="33.75">
      <c r="A1043" s="1235"/>
      <c r="B1043" s="657">
        <v>46269</v>
      </c>
      <c r="C1043" s="618" t="s">
        <v>21</v>
      </c>
      <c r="D1043" s="618" t="s">
        <v>17</v>
      </c>
      <c r="E1043" s="653" t="s">
        <v>5632</v>
      </c>
      <c r="F1043" s="866" t="s">
        <v>6995</v>
      </c>
      <c r="G1043" s="620" t="s">
        <v>23</v>
      </c>
      <c r="H1043" s="866" t="s">
        <v>6994</v>
      </c>
      <c r="I1043" s="866" t="s">
        <v>126</v>
      </c>
      <c r="J1043" s="653">
        <v>1</v>
      </c>
      <c r="K1043" s="618" t="s">
        <v>50</v>
      </c>
    </row>
    <row r="1044" spans="1:11">
      <c r="A1044" s="1235"/>
      <c r="B1044" s="657">
        <v>46274</v>
      </c>
      <c r="C1044" s="618" t="s">
        <v>21</v>
      </c>
      <c r="D1044" s="618" t="s">
        <v>14</v>
      </c>
      <c r="E1044" s="653" t="s">
        <v>211</v>
      </c>
      <c r="F1044" s="653" t="s">
        <v>2916</v>
      </c>
      <c r="G1044" s="620" t="s">
        <v>2917</v>
      </c>
      <c r="H1044" s="872" t="s">
        <v>230</v>
      </c>
      <c r="I1044" s="871" t="s">
        <v>7040</v>
      </c>
      <c r="J1044" s="872">
        <v>1</v>
      </c>
      <c r="K1044" s="618" t="s">
        <v>50</v>
      </c>
    </row>
    <row r="1045" spans="1:11">
      <c r="A1045" s="1158" t="s">
        <v>1646</v>
      </c>
      <c r="B1045" s="1158"/>
      <c r="C1045" s="1158"/>
      <c r="D1045" s="1158"/>
      <c r="E1045" s="1158"/>
      <c r="F1045" s="1158"/>
      <c r="G1045" s="1158"/>
      <c r="H1045" s="1158"/>
      <c r="I1045" s="1158"/>
      <c r="J1045" s="618">
        <f>SUM(J1039:J1044)</f>
        <v>9</v>
      </c>
      <c r="K1045" s="654"/>
    </row>
    <row r="1049" spans="1:11" ht="22.5">
      <c r="A1049" s="612" t="s">
        <v>43</v>
      </c>
      <c r="B1049" s="612" t="s">
        <v>1620</v>
      </c>
      <c r="C1049" s="613" t="s">
        <v>2</v>
      </c>
      <c r="D1049" s="613" t="s">
        <v>3</v>
      </c>
      <c r="E1049" s="613" t="s">
        <v>4</v>
      </c>
      <c r="F1049" s="613" t="s">
        <v>5</v>
      </c>
      <c r="G1049" s="613" t="s">
        <v>6</v>
      </c>
      <c r="H1049" s="614" t="s">
        <v>45</v>
      </c>
      <c r="I1049" s="613" t="s">
        <v>8</v>
      </c>
      <c r="J1049" s="615" t="s">
        <v>46</v>
      </c>
      <c r="K1049" s="616" t="s">
        <v>47</v>
      </c>
    </row>
    <row r="1050" spans="1:11" ht="16.5" customHeight="1">
      <c r="A1050" s="1235" t="s">
        <v>7095</v>
      </c>
      <c r="B1050" s="657">
        <v>46240</v>
      </c>
      <c r="C1050" s="618" t="s">
        <v>21</v>
      </c>
      <c r="D1050" s="618" t="s">
        <v>17</v>
      </c>
      <c r="E1050" s="653" t="s">
        <v>78</v>
      </c>
      <c r="F1050" s="653" t="s">
        <v>1645</v>
      </c>
      <c r="G1050" s="620" t="s">
        <v>23</v>
      </c>
      <c r="H1050" s="812" t="s">
        <v>6518</v>
      </c>
      <c r="I1050" s="814" t="s">
        <v>202</v>
      </c>
      <c r="J1050" s="814">
        <v>1</v>
      </c>
      <c r="K1050" s="618" t="s">
        <v>50</v>
      </c>
    </row>
    <row r="1051" spans="1:11">
      <c r="A1051" s="1235"/>
      <c r="B1051" s="644" t="s">
        <v>6909</v>
      </c>
      <c r="C1051" s="811" t="s">
        <v>311</v>
      </c>
      <c r="D1051" s="811" t="s">
        <v>320</v>
      </c>
      <c r="E1051" s="644" t="s">
        <v>709</v>
      </c>
      <c r="F1051" s="644" t="s">
        <v>3098</v>
      </c>
      <c r="G1051" s="644" t="s">
        <v>3099</v>
      </c>
      <c r="H1051" s="644" t="s">
        <v>6911</v>
      </c>
      <c r="I1051" s="644"/>
      <c r="J1051" s="644">
        <v>1</v>
      </c>
      <c r="K1051" s="618" t="s">
        <v>50</v>
      </c>
    </row>
    <row r="1052" spans="1:11" ht="22.5">
      <c r="A1052" s="1235"/>
      <c r="B1052" s="644" t="s">
        <v>6913</v>
      </c>
      <c r="C1052" s="811" t="s">
        <v>311</v>
      </c>
      <c r="D1052" s="811" t="s">
        <v>320</v>
      </c>
      <c r="E1052" s="644" t="s">
        <v>709</v>
      </c>
      <c r="F1052" s="644" t="s">
        <v>3098</v>
      </c>
      <c r="G1052" s="644" t="s">
        <v>3099</v>
      </c>
      <c r="H1052" s="644" t="s">
        <v>6914</v>
      </c>
      <c r="I1052" s="644"/>
      <c r="J1052" s="644">
        <v>2</v>
      </c>
      <c r="K1052" s="618" t="s">
        <v>50</v>
      </c>
    </row>
    <row r="1053" spans="1:11">
      <c r="A1053" s="1235"/>
      <c r="B1053" s="657">
        <v>46258</v>
      </c>
      <c r="C1053" s="811" t="s">
        <v>21</v>
      </c>
      <c r="D1053" s="811" t="s">
        <v>14</v>
      </c>
      <c r="E1053" s="814" t="s">
        <v>78</v>
      </c>
      <c r="F1053" s="814" t="s">
        <v>3833</v>
      </c>
      <c r="G1053" s="643" t="s">
        <v>207</v>
      </c>
      <c r="H1053" s="813" t="s">
        <v>6878</v>
      </c>
      <c r="I1053" s="814" t="s">
        <v>202</v>
      </c>
      <c r="J1053" s="814">
        <v>1</v>
      </c>
      <c r="K1053" s="618" t="s">
        <v>50</v>
      </c>
    </row>
    <row r="1054" spans="1:11">
      <c r="A1054" s="1235"/>
      <c r="B1054" s="652">
        <v>46261</v>
      </c>
      <c r="C1054" s="618" t="s">
        <v>21</v>
      </c>
      <c r="D1054" s="618" t="s">
        <v>14</v>
      </c>
      <c r="E1054" s="653" t="s">
        <v>6927</v>
      </c>
      <c r="F1054" s="653" t="s">
        <v>3589</v>
      </c>
      <c r="G1054" s="620" t="s">
        <v>6929</v>
      </c>
      <c r="H1054" s="812" t="s">
        <v>6930</v>
      </c>
      <c r="I1054" s="653" t="s">
        <v>202</v>
      </c>
      <c r="J1054" s="812">
        <v>1</v>
      </c>
      <c r="K1054" s="618" t="s">
        <v>50</v>
      </c>
    </row>
    <row r="1055" spans="1:11">
      <c r="A1055" s="1235"/>
      <c r="B1055" s="657">
        <v>46262</v>
      </c>
      <c r="C1055" s="618" t="s">
        <v>21</v>
      </c>
      <c r="D1055" s="618" t="s">
        <v>14</v>
      </c>
      <c r="E1055" s="653" t="s">
        <v>6927</v>
      </c>
      <c r="F1055" s="653" t="s">
        <v>3589</v>
      </c>
      <c r="G1055" s="620" t="s">
        <v>6929</v>
      </c>
      <c r="H1055" s="812" t="s">
        <v>6930</v>
      </c>
      <c r="I1055" s="653" t="s">
        <v>202</v>
      </c>
      <c r="J1055" s="812">
        <v>1</v>
      </c>
      <c r="K1055" s="618" t="s">
        <v>50</v>
      </c>
    </row>
    <row r="1056" spans="1:11">
      <c r="A1056" s="1158" t="s">
        <v>1646</v>
      </c>
      <c r="B1056" s="1158"/>
      <c r="C1056" s="1158"/>
      <c r="D1056" s="1158"/>
      <c r="E1056" s="1158"/>
      <c r="F1056" s="1158"/>
      <c r="G1056" s="1158"/>
      <c r="H1056" s="1158"/>
      <c r="I1056" s="1158"/>
      <c r="J1056" s="618">
        <f>SUM(J1050:J1055)</f>
        <v>7</v>
      </c>
      <c r="K1056" s="654"/>
    </row>
    <row r="1059" spans="1:11" ht="22.5">
      <c r="A1059" s="612" t="s">
        <v>43</v>
      </c>
      <c r="B1059" s="612" t="s">
        <v>1620</v>
      </c>
      <c r="C1059" s="613" t="s">
        <v>2</v>
      </c>
      <c r="D1059" s="613" t="s">
        <v>3</v>
      </c>
      <c r="E1059" s="613" t="s">
        <v>4</v>
      </c>
      <c r="F1059" s="613" t="s">
        <v>5</v>
      </c>
      <c r="G1059" s="613" t="s">
        <v>6</v>
      </c>
      <c r="H1059" s="614" t="s">
        <v>45</v>
      </c>
      <c r="I1059" s="613" t="s">
        <v>8</v>
      </c>
      <c r="J1059" s="615" t="s">
        <v>46</v>
      </c>
      <c r="K1059" s="616" t="s">
        <v>47</v>
      </c>
    </row>
    <row r="1060" spans="1:11">
      <c r="A1060" s="1159" t="s">
        <v>7286</v>
      </c>
      <c r="B1060" s="657" t="s">
        <v>6815</v>
      </c>
      <c r="C1060" s="742" t="s">
        <v>219</v>
      </c>
      <c r="D1060" s="618" t="s">
        <v>151</v>
      </c>
      <c r="E1060" s="653" t="s">
        <v>5254</v>
      </c>
      <c r="F1060" s="644" t="s">
        <v>6816</v>
      </c>
      <c r="G1060" s="644" t="s">
        <v>263</v>
      </c>
      <c r="H1060" s="812" t="s">
        <v>3743</v>
      </c>
      <c r="I1060" s="653" t="s">
        <v>737</v>
      </c>
      <c r="J1060" s="812">
        <v>5</v>
      </c>
      <c r="K1060" s="618" t="s">
        <v>50</v>
      </c>
    </row>
    <row r="1061" spans="1:11">
      <c r="A1061" s="1160"/>
      <c r="B1061" s="644" t="s">
        <v>6902</v>
      </c>
      <c r="C1061" s="654" t="s">
        <v>306</v>
      </c>
      <c r="D1061" s="654" t="s">
        <v>322</v>
      </c>
      <c r="E1061" s="658" t="s">
        <v>5400</v>
      </c>
      <c r="F1061" s="644">
        <v>7065</v>
      </c>
      <c r="G1061" s="644" t="s">
        <v>6903</v>
      </c>
      <c r="H1061" s="658" t="s">
        <v>6904</v>
      </c>
      <c r="I1061" s="658" t="s">
        <v>664</v>
      </c>
      <c r="J1061" s="658">
        <v>4</v>
      </c>
      <c r="K1061" s="618" t="s">
        <v>50</v>
      </c>
    </row>
    <row r="1062" spans="1:11">
      <c r="A1062" s="1160"/>
      <c r="B1062" s="657" t="s">
        <v>6888</v>
      </c>
      <c r="C1062" s="742" t="s">
        <v>19</v>
      </c>
      <c r="D1062" s="618" t="s">
        <v>25</v>
      </c>
      <c r="E1062" s="653" t="s">
        <v>5254</v>
      </c>
      <c r="F1062" s="644">
        <v>7065</v>
      </c>
      <c r="G1062" s="644" t="s">
        <v>6889</v>
      </c>
      <c r="H1062" s="812" t="s">
        <v>3020</v>
      </c>
      <c r="I1062" s="653" t="s">
        <v>168</v>
      </c>
      <c r="J1062" s="812">
        <v>5</v>
      </c>
      <c r="K1062" s="618" t="s">
        <v>50</v>
      </c>
    </row>
    <row r="1063" spans="1:11">
      <c r="A1063" s="1161"/>
      <c r="B1063" s="657">
        <v>46265</v>
      </c>
      <c r="C1063" s="742" t="s">
        <v>6707</v>
      </c>
      <c r="D1063" s="618" t="s">
        <v>1604</v>
      </c>
      <c r="E1063" s="653" t="s">
        <v>5254</v>
      </c>
      <c r="F1063" s="644">
        <v>7065</v>
      </c>
      <c r="G1063" s="644" t="s">
        <v>7018</v>
      </c>
      <c r="H1063" s="812" t="s">
        <v>3020</v>
      </c>
      <c r="I1063" s="653" t="s">
        <v>1629</v>
      </c>
      <c r="J1063" s="812">
        <v>1</v>
      </c>
      <c r="K1063" s="618" t="s">
        <v>50</v>
      </c>
    </row>
    <row r="1064" spans="1:11">
      <c r="A1064" s="1158" t="s">
        <v>1646</v>
      </c>
      <c r="B1064" s="1158"/>
      <c r="C1064" s="1158"/>
      <c r="D1064" s="1158"/>
      <c r="E1064" s="1158"/>
      <c r="F1064" s="1158"/>
      <c r="G1064" s="1158"/>
      <c r="H1064" s="1158"/>
      <c r="I1064" s="1158"/>
      <c r="J1064" s="618">
        <f>SUM(J1060:J1063)</f>
        <v>15</v>
      </c>
      <c r="K1064" s="654"/>
    </row>
    <row r="1067" spans="1:11" ht="22.5">
      <c r="A1067" s="612" t="s">
        <v>43</v>
      </c>
      <c r="B1067" s="612" t="s">
        <v>1620</v>
      </c>
      <c r="C1067" s="613" t="s">
        <v>2</v>
      </c>
      <c r="D1067" s="613" t="s">
        <v>3</v>
      </c>
      <c r="E1067" s="613" t="s">
        <v>4</v>
      </c>
      <c r="F1067" s="613" t="s">
        <v>5</v>
      </c>
      <c r="G1067" s="613" t="s">
        <v>6</v>
      </c>
      <c r="H1067" s="614" t="s">
        <v>45</v>
      </c>
      <c r="I1067" s="613" t="s">
        <v>8</v>
      </c>
      <c r="J1067" s="615" t="s">
        <v>46</v>
      </c>
      <c r="K1067" s="616" t="s">
        <v>47</v>
      </c>
    </row>
    <row r="1068" spans="1:11">
      <c r="A1068" s="1159" t="s">
        <v>7096</v>
      </c>
      <c r="B1068" s="657">
        <v>46230</v>
      </c>
      <c r="C1068" s="618" t="s">
        <v>21</v>
      </c>
      <c r="D1068" s="618" t="s">
        <v>14</v>
      </c>
      <c r="E1068" s="653" t="s">
        <v>1787</v>
      </c>
      <c r="F1068" s="653" t="s">
        <v>2978</v>
      </c>
      <c r="G1068" s="620" t="s">
        <v>23</v>
      </c>
      <c r="H1068" s="813" t="s">
        <v>303</v>
      </c>
      <c r="I1068" s="814" t="s">
        <v>90</v>
      </c>
      <c r="J1068" s="814">
        <v>1</v>
      </c>
      <c r="K1068" s="618" t="s">
        <v>50</v>
      </c>
    </row>
    <row r="1069" spans="1:11">
      <c r="A1069" s="1160"/>
      <c r="B1069" s="657">
        <v>46230</v>
      </c>
      <c r="C1069" s="811" t="s">
        <v>21</v>
      </c>
      <c r="D1069" s="811" t="s">
        <v>14</v>
      </c>
      <c r="E1069" s="814" t="s">
        <v>1893</v>
      </c>
      <c r="F1069" s="814" t="s">
        <v>4939</v>
      </c>
      <c r="G1069" s="643" t="s">
        <v>482</v>
      </c>
      <c r="H1069" s="813" t="s">
        <v>6542</v>
      </c>
      <c r="I1069" s="814"/>
      <c r="J1069" s="814">
        <v>1</v>
      </c>
      <c r="K1069" s="618" t="s">
        <v>50</v>
      </c>
    </row>
    <row r="1070" spans="1:11">
      <c r="A1070" s="1160"/>
      <c r="B1070" s="657">
        <v>46234</v>
      </c>
      <c r="C1070" s="811" t="s">
        <v>21</v>
      </c>
      <c r="D1070" s="811" t="s">
        <v>14</v>
      </c>
      <c r="E1070" s="814" t="s">
        <v>1787</v>
      </c>
      <c r="F1070" s="814" t="s">
        <v>2978</v>
      </c>
      <c r="G1070" s="643" t="s">
        <v>205</v>
      </c>
      <c r="H1070" s="813" t="s">
        <v>5250</v>
      </c>
      <c r="I1070" s="814"/>
      <c r="J1070" s="814">
        <v>1</v>
      </c>
      <c r="K1070" s="618" t="s">
        <v>50</v>
      </c>
    </row>
    <row r="1071" spans="1:11">
      <c r="A1071" s="1160"/>
      <c r="B1071" s="652">
        <v>46231</v>
      </c>
      <c r="C1071" s="618" t="s">
        <v>21</v>
      </c>
      <c r="D1071" s="618" t="s">
        <v>14</v>
      </c>
      <c r="E1071" s="653" t="s">
        <v>1893</v>
      </c>
      <c r="F1071" s="653" t="s">
        <v>4939</v>
      </c>
      <c r="G1071" s="620" t="s">
        <v>482</v>
      </c>
      <c r="H1071" s="812" t="s">
        <v>6670</v>
      </c>
      <c r="I1071" s="653"/>
      <c r="J1071" s="653">
        <v>1</v>
      </c>
      <c r="K1071" s="618" t="s">
        <v>50</v>
      </c>
    </row>
    <row r="1072" spans="1:11">
      <c r="A1072" s="1160"/>
      <c r="B1072" s="652">
        <v>46233</v>
      </c>
      <c r="C1072" s="618" t="s">
        <v>21</v>
      </c>
      <c r="D1072" s="618" t="s">
        <v>14</v>
      </c>
      <c r="E1072" s="653" t="s">
        <v>1893</v>
      </c>
      <c r="F1072" s="653" t="s">
        <v>4939</v>
      </c>
      <c r="G1072" s="620" t="s">
        <v>482</v>
      </c>
      <c r="H1072" s="812" t="s">
        <v>6699</v>
      </c>
      <c r="I1072" s="653"/>
      <c r="J1072" s="653">
        <v>1</v>
      </c>
      <c r="K1072" s="618" t="s">
        <v>50</v>
      </c>
    </row>
    <row r="1073" spans="1:11">
      <c r="A1073" s="1160"/>
      <c r="B1073" s="657">
        <v>46247</v>
      </c>
      <c r="C1073" s="811" t="s">
        <v>21</v>
      </c>
      <c r="D1073" s="811" t="s">
        <v>14</v>
      </c>
      <c r="E1073" s="814" t="s">
        <v>1787</v>
      </c>
      <c r="F1073" s="814" t="s">
        <v>5408</v>
      </c>
      <c r="G1073" s="643" t="s">
        <v>4903</v>
      </c>
      <c r="H1073" s="813" t="s">
        <v>6781</v>
      </c>
      <c r="I1073" s="814"/>
      <c r="J1073" s="814">
        <v>2</v>
      </c>
      <c r="K1073" s="618" t="s">
        <v>50</v>
      </c>
    </row>
    <row r="1074" spans="1:11" ht="22.5">
      <c r="A1074" s="1160"/>
      <c r="B1074" s="657">
        <v>46249</v>
      </c>
      <c r="C1074" s="811" t="s">
        <v>21</v>
      </c>
      <c r="D1074" s="811" t="s">
        <v>14</v>
      </c>
      <c r="E1074" s="814" t="s">
        <v>107</v>
      </c>
      <c r="F1074" s="814" t="s">
        <v>5269</v>
      </c>
      <c r="G1074" s="643" t="s">
        <v>23</v>
      </c>
      <c r="H1074" s="813" t="s">
        <v>6814</v>
      </c>
      <c r="I1074" s="814" t="s">
        <v>6325</v>
      </c>
      <c r="J1074" s="814">
        <v>2</v>
      </c>
      <c r="K1074" s="618" t="s">
        <v>50</v>
      </c>
    </row>
    <row r="1075" spans="1:11">
      <c r="A1075" s="1160"/>
      <c r="B1075" s="644" t="s">
        <v>6909</v>
      </c>
      <c r="C1075" s="811" t="s">
        <v>311</v>
      </c>
      <c r="D1075" s="811" t="s">
        <v>320</v>
      </c>
      <c r="E1075" s="644" t="s">
        <v>337</v>
      </c>
      <c r="F1075" s="644" t="s">
        <v>3054</v>
      </c>
      <c r="G1075" s="644" t="s">
        <v>3057</v>
      </c>
      <c r="H1075" s="644" t="s">
        <v>6910</v>
      </c>
      <c r="I1075" s="644" t="s">
        <v>5447</v>
      </c>
      <c r="J1075" s="644">
        <v>1</v>
      </c>
      <c r="K1075" s="618" t="s">
        <v>50</v>
      </c>
    </row>
    <row r="1076" spans="1:11">
      <c r="A1076" s="1160"/>
      <c r="B1076" s="644" t="s">
        <v>6913</v>
      </c>
      <c r="C1076" s="811" t="s">
        <v>311</v>
      </c>
      <c r="D1076" s="811" t="s">
        <v>320</v>
      </c>
      <c r="E1076" s="644" t="s">
        <v>337</v>
      </c>
      <c r="F1076" s="644" t="s">
        <v>3054</v>
      </c>
      <c r="G1076" s="644" t="s">
        <v>6915</v>
      </c>
      <c r="H1076" s="644" t="s">
        <v>6910</v>
      </c>
      <c r="I1076" s="644" t="s">
        <v>5447</v>
      </c>
      <c r="J1076" s="644">
        <v>1</v>
      </c>
      <c r="K1076" s="618" t="s">
        <v>50</v>
      </c>
    </row>
    <row r="1077" spans="1:11" ht="22.5">
      <c r="A1077" s="1160"/>
      <c r="B1077" s="644" t="s">
        <v>6916</v>
      </c>
      <c r="C1077" s="811" t="s">
        <v>311</v>
      </c>
      <c r="D1077" s="811" t="s">
        <v>320</v>
      </c>
      <c r="E1077" s="644" t="s">
        <v>709</v>
      </c>
      <c r="F1077" s="644" t="s">
        <v>3098</v>
      </c>
      <c r="G1077" s="644" t="s">
        <v>3099</v>
      </c>
      <c r="H1077" s="644" t="s">
        <v>6843</v>
      </c>
      <c r="I1077" s="644"/>
      <c r="J1077" s="644">
        <v>1</v>
      </c>
      <c r="K1077" s="618" t="s">
        <v>50</v>
      </c>
    </row>
    <row r="1078" spans="1:11">
      <c r="A1078" s="1160"/>
      <c r="B1078" s="644" t="s">
        <v>6916</v>
      </c>
      <c r="C1078" s="811" t="s">
        <v>311</v>
      </c>
      <c r="D1078" s="811" t="s">
        <v>320</v>
      </c>
      <c r="E1078" s="644" t="s">
        <v>337</v>
      </c>
      <c r="F1078" s="644" t="s">
        <v>3054</v>
      </c>
      <c r="G1078" s="644" t="s">
        <v>354</v>
      </c>
      <c r="H1078" s="644" t="s">
        <v>6910</v>
      </c>
      <c r="I1078" s="644" t="s">
        <v>5447</v>
      </c>
      <c r="J1078" s="644">
        <v>1</v>
      </c>
      <c r="K1078" s="618" t="s">
        <v>50</v>
      </c>
    </row>
    <row r="1079" spans="1:11">
      <c r="A1079" s="1160"/>
      <c r="B1079" s="644" t="s">
        <v>6918</v>
      </c>
      <c r="C1079" s="811" t="s">
        <v>311</v>
      </c>
      <c r="D1079" s="811" t="s">
        <v>320</v>
      </c>
      <c r="E1079" s="644" t="s">
        <v>690</v>
      </c>
      <c r="F1079" s="644" t="s">
        <v>5060</v>
      </c>
      <c r="G1079" s="644" t="s">
        <v>347</v>
      </c>
      <c r="H1079" s="644" t="s">
        <v>6885</v>
      </c>
      <c r="I1079" s="644"/>
      <c r="J1079" s="644">
        <v>2</v>
      </c>
      <c r="K1079" s="618" t="s">
        <v>50</v>
      </c>
    </row>
    <row r="1080" spans="1:11">
      <c r="A1080" s="1160"/>
      <c r="B1080" s="657">
        <v>46258</v>
      </c>
      <c r="C1080" s="811" t="s">
        <v>21</v>
      </c>
      <c r="D1080" s="811" t="s">
        <v>14</v>
      </c>
      <c r="E1080" s="814" t="s">
        <v>149</v>
      </c>
      <c r="F1080" s="814" t="s">
        <v>3415</v>
      </c>
      <c r="G1080" s="643" t="s">
        <v>23</v>
      </c>
      <c r="H1080" s="813" t="s">
        <v>6883</v>
      </c>
      <c r="I1080" s="814"/>
      <c r="J1080" s="814">
        <v>2</v>
      </c>
      <c r="K1080" s="618" t="s">
        <v>50</v>
      </c>
    </row>
    <row r="1081" spans="1:11">
      <c r="A1081" s="1161"/>
      <c r="B1081" s="657">
        <v>46259</v>
      </c>
      <c r="C1081" s="618" t="s">
        <v>21</v>
      </c>
      <c r="D1081" s="618" t="s">
        <v>14</v>
      </c>
      <c r="E1081" s="653" t="s">
        <v>149</v>
      </c>
      <c r="F1081" s="653" t="s">
        <v>3415</v>
      </c>
      <c r="G1081" s="620" t="s">
        <v>23</v>
      </c>
      <c r="H1081" s="812" t="s">
        <v>6864</v>
      </c>
      <c r="I1081" s="814"/>
      <c r="J1081" s="814">
        <v>2</v>
      </c>
      <c r="K1081" s="618" t="s">
        <v>50</v>
      </c>
    </row>
    <row r="1082" spans="1:11">
      <c r="A1082" s="1158" t="s">
        <v>1646</v>
      </c>
      <c r="B1082" s="1158"/>
      <c r="C1082" s="1158"/>
      <c r="D1082" s="1158"/>
      <c r="E1082" s="1158"/>
      <c r="F1082" s="1158"/>
      <c r="G1082" s="1158"/>
      <c r="H1082" s="1158"/>
      <c r="I1082" s="1158"/>
      <c r="J1082" s="618">
        <f>SUM(J1068:J1081)</f>
        <v>19</v>
      </c>
      <c r="K1082" s="654"/>
    </row>
    <row r="1085" spans="1:11" ht="22.5">
      <c r="A1085" s="612" t="s">
        <v>43</v>
      </c>
      <c r="B1085" s="612" t="s">
        <v>1620</v>
      </c>
      <c r="C1085" s="613" t="s">
        <v>2</v>
      </c>
      <c r="D1085" s="613" t="s">
        <v>3</v>
      </c>
      <c r="E1085" s="613" t="s">
        <v>4</v>
      </c>
      <c r="F1085" s="613" t="s">
        <v>5</v>
      </c>
      <c r="G1085" s="613" t="s">
        <v>6</v>
      </c>
      <c r="H1085" s="614" t="s">
        <v>45</v>
      </c>
      <c r="I1085" s="613" t="s">
        <v>8</v>
      </c>
      <c r="J1085" s="615" t="s">
        <v>46</v>
      </c>
      <c r="K1085" s="616" t="s">
        <v>47</v>
      </c>
    </row>
    <row r="1086" spans="1:11">
      <c r="A1086" s="1159" t="s">
        <v>7097</v>
      </c>
      <c r="B1086" s="656">
        <v>46279</v>
      </c>
      <c r="C1086" s="646" t="s">
        <v>21</v>
      </c>
      <c r="D1086" s="646" t="s">
        <v>17</v>
      </c>
      <c r="E1086" s="648" t="s">
        <v>78</v>
      </c>
      <c r="F1086" s="648">
        <v>7060</v>
      </c>
      <c r="G1086" s="651" t="s">
        <v>36</v>
      </c>
      <c r="H1086" s="649" t="s">
        <v>7147</v>
      </c>
      <c r="I1086" s="648" t="s">
        <v>6312</v>
      </c>
      <c r="J1086" s="648">
        <v>1</v>
      </c>
      <c r="K1086" s="618" t="s">
        <v>50</v>
      </c>
    </row>
    <row r="1087" spans="1:11" ht="24">
      <c r="A1087" s="1160"/>
      <c r="B1087" s="656">
        <v>46281</v>
      </c>
      <c r="C1087" s="646" t="s">
        <v>64</v>
      </c>
      <c r="D1087" s="646" t="s">
        <v>70</v>
      </c>
      <c r="E1087" s="648" t="s">
        <v>7138</v>
      </c>
      <c r="F1087" s="648" t="s">
        <v>3415</v>
      </c>
      <c r="G1087" s="651" t="s">
        <v>23</v>
      </c>
      <c r="H1087" s="649" t="s">
        <v>7160</v>
      </c>
      <c r="I1087" s="648"/>
      <c r="J1087" s="649">
        <v>2</v>
      </c>
      <c r="K1087" s="618" t="s">
        <v>50</v>
      </c>
    </row>
    <row r="1088" spans="1:11">
      <c r="A1088" s="1160"/>
      <c r="B1088" s="656">
        <v>46282</v>
      </c>
      <c r="C1088" s="646" t="s">
        <v>64</v>
      </c>
      <c r="D1088" s="646" t="s">
        <v>70</v>
      </c>
      <c r="E1088" s="648" t="s">
        <v>7138</v>
      </c>
      <c r="F1088" s="648" t="s">
        <v>3415</v>
      </c>
      <c r="G1088" s="651" t="s">
        <v>23</v>
      </c>
      <c r="H1088" s="649" t="s">
        <v>5397</v>
      </c>
      <c r="I1088" s="648"/>
      <c r="J1088" s="649">
        <v>2</v>
      </c>
      <c r="K1088" s="618" t="s">
        <v>50</v>
      </c>
    </row>
    <row r="1089" spans="1:11">
      <c r="A1089" s="1160"/>
      <c r="B1089" s="883">
        <v>46287</v>
      </c>
      <c r="C1089" s="784" t="s">
        <v>21</v>
      </c>
      <c r="D1089" s="646" t="s">
        <v>14</v>
      </c>
      <c r="E1089" s="648" t="s">
        <v>1893</v>
      </c>
      <c r="F1089" s="648" t="s">
        <v>3589</v>
      </c>
      <c r="G1089" s="651" t="s">
        <v>7177</v>
      </c>
      <c r="H1089" s="649" t="s">
        <v>7181</v>
      </c>
      <c r="I1089" s="648" t="s">
        <v>202</v>
      </c>
      <c r="J1089" s="649">
        <v>2</v>
      </c>
      <c r="K1089" s="618" t="s">
        <v>50</v>
      </c>
    </row>
    <row r="1090" spans="1:11">
      <c r="A1090" s="1158" t="s">
        <v>1646</v>
      </c>
      <c r="B1090" s="1158"/>
      <c r="C1090" s="1158"/>
      <c r="D1090" s="1158"/>
      <c r="E1090" s="1158"/>
      <c r="F1090" s="1158"/>
      <c r="G1090" s="1158"/>
      <c r="H1090" s="1158"/>
      <c r="I1090" s="1158"/>
      <c r="J1090" s="618">
        <f>SUM(J1086:J1089)</f>
        <v>7</v>
      </c>
      <c r="K1090" s="654"/>
    </row>
    <row r="1095" spans="1:11" ht="22.5">
      <c r="A1095" s="612" t="s">
        <v>43</v>
      </c>
      <c r="B1095" s="612" t="s">
        <v>1620</v>
      </c>
      <c r="C1095" s="613" t="s">
        <v>2</v>
      </c>
      <c r="D1095" s="613" t="s">
        <v>3</v>
      </c>
      <c r="E1095" s="613" t="s">
        <v>4</v>
      </c>
      <c r="F1095" s="613" t="s">
        <v>5</v>
      </c>
      <c r="G1095" s="613" t="s">
        <v>6</v>
      </c>
      <c r="H1095" s="614" t="s">
        <v>45</v>
      </c>
      <c r="I1095" s="613" t="s">
        <v>8</v>
      </c>
      <c r="J1095" s="615" t="s">
        <v>46</v>
      </c>
      <c r="K1095" s="616" t="s">
        <v>47</v>
      </c>
    </row>
    <row r="1096" spans="1:11">
      <c r="A1096" s="1090" t="s">
        <v>7287</v>
      </c>
      <c r="B1096" s="369" t="s">
        <v>7288</v>
      </c>
      <c r="C1096" s="721" t="s">
        <v>6707</v>
      </c>
      <c r="D1096" s="632" t="s">
        <v>25</v>
      </c>
      <c r="E1096" s="633" t="s">
        <v>5254</v>
      </c>
      <c r="F1096" s="850">
        <v>7065</v>
      </c>
      <c r="G1096" s="850" t="s">
        <v>7018</v>
      </c>
      <c r="H1096" s="851" t="s">
        <v>378</v>
      </c>
      <c r="I1096" s="633" t="s">
        <v>168</v>
      </c>
      <c r="J1096" s="632">
        <v>5</v>
      </c>
      <c r="K1096" s="618" t="s">
        <v>50</v>
      </c>
    </row>
    <row r="1097" spans="1:11">
      <c r="A1097" s="1091"/>
      <c r="B1097" s="369" t="s">
        <v>7084</v>
      </c>
      <c r="C1097" s="721" t="s">
        <v>6707</v>
      </c>
      <c r="D1097" s="632" t="s">
        <v>25</v>
      </c>
      <c r="E1097" s="633" t="s">
        <v>5254</v>
      </c>
      <c r="F1097" s="850">
        <v>7065</v>
      </c>
      <c r="G1097" s="850" t="s">
        <v>6889</v>
      </c>
      <c r="H1097" s="851" t="s">
        <v>378</v>
      </c>
      <c r="I1097" s="633" t="s">
        <v>168</v>
      </c>
      <c r="J1097" s="632">
        <v>2</v>
      </c>
      <c r="K1097" s="618" t="s">
        <v>50</v>
      </c>
    </row>
    <row r="1098" spans="1:11">
      <c r="A1098" s="1091"/>
      <c r="B1098" s="369" t="s">
        <v>7085</v>
      </c>
      <c r="C1098" s="721" t="s">
        <v>6707</v>
      </c>
      <c r="D1098" s="632" t="s">
        <v>25</v>
      </c>
      <c r="E1098" s="633" t="s">
        <v>5254</v>
      </c>
      <c r="F1098" s="850">
        <v>7065</v>
      </c>
      <c r="G1098" s="850" t="s">
        <v>7018</v>
      </c>
      <c r="H1098" s="851" t="s">
        <v>378</v>
      </c>
      <c r="I1098" s="633" t="s">
        <v>168</v>
      </c>
      <c r="J1098" s="632">
        <v>3</v>
      </c>
      <c r="K1098" s="618" t="s">
        <v>50</v>
      </c>
    </row>
    <row r="1099" spans="1:11">
      <c r="A1099" s="1091"/>
      <c r="B1099" s="369" t="s">
        <v>7173</v>
      </c>
      <c r="C1099" s="721" t="s">
        <v>6707</v>
      </c>
      <c r="D1099" s="632" t="s">
        <v>25</v>
      </c>
      <c r="E1099" s="633" t="s">
        <v>5254</v>
      </c>
      <c r="F1099" s="850">
        <v>7065</v>
      </c>
      <c r="G1099" s="850" t="s">
        <v>1391</v>
      </c>
      <c r="H1099" s="851" t="s">
        <v>378</v>
      </c>
      <c r="I1099" s="633" t="s">
        <v>168</v>
      </c>
      <c r="J1099" s="632">
        <v>5</v>
      </c>
      <c r="K1099" s="618" t="s">
        <v>50</v>
      </c>
    </row>
    <row r="1100" spans="1:11">
      <c r="A1100" s="1091"/>
      <c r="B1100" s="369" t="s">
        <v>7230</v>
      </c>
      <c r="C1100" s="721" t="s">
        <v>6707</v>
      </c>
      <c r="D1100" s="632" t="s">
        <v>25</v>
      </c>
      <c r="E1100" s="633" t="s">
        <v>5254</v>
      </c>
      <c r="F1100" s="850" t="s">
        <v>6816</v>
      </c>
      <c r="G1100" s="850" t="s">
        <v>115</v>
      </c>
      <c r="H1100" s="851" t="s">
        <v>378</v>
      </c>
      <c r="I1100" s="633" t="s">
        <v>168</v>
      </c>
      <c r="J1100" s="632">
        <v>3</v>
      </c>
      <c r="K1100" s="618" t="s">
        <v>50</v>
      </c>
    </row>
    <row r="1101" spans="1:11">
      <c r="A1101" s="1092"/>
      <c r="B1101" s="369" t="s">
        <v>7289</v>
      </c>
      <c r="C1101" s="721" t="s">
        <v>6707</v>
      </c>
      <c r="D1101" s="632" t="s">
        <v>25</v>
      </c>
      <c r="E1101" s="633" t="s">
        <v>5254</v>
      </c>
      <c r="F1101" s="850">
        <v>7065</v>
      </c>
      <c r="G1101" s="850" t="s">
        <v>23</v>
      </c>
      <c r="H1101" s="851" t="s">
        <v>378</v>
      </c>
      <c r="I1101" s="633" t="s">
        <v>168</v>
      </c>
      <c r="J1101" s="632">
        <v>3</v>
      </c>
      <c r="K1101" s="618" t="s">
        <v>50</v>
      </c>
    </row>
    <row r="1102" spans="1:11">
      <c r="A1102" s="1158" t="s">
        <v>1646</v>
      </c>
      <c r="B1102" s="1158"/>
      <c r="C1102" s="1158"/>
      <c r="D1102" s="1158"/>
      <c r="E1102" s="1158"/>
      <c r="F1102" s="1158"/>
      <c r="G1102" s="1158"/>
      <c r="H1102" s="1158"/>
      <c r="I1102" s="1158"/>
      <c r="J1102" s="618">
        <f>SUM(J1094:J1101)</f>
        <v>21</v>
      </c>
      <c r="K1102" s="654"/>
    </row>
    <row r="1105" spans="1:11" ht="22.5">
      <c r="A1105" s="612" t="s">
        <v>43</v>
      </c>
      <c r="B1105" s="612" t="s">
        <v>1620</v>
      </c>
      <c r="C1105" s="613" t="s">
        <v>2</v>
      </c>
      <c r="D1105" s="613" t="s">
        <v>3</v>
      </c>
      <c r="E1105" s="613" t="s">
        <v>4</v>
      </c>
      <c r="F1105" s="613" t="s">
        <v>5</v>
      </c>
      <c r="G1105" s="613" t="s">
        <v>6</v>
      </c>
      <c r="H1105" s="614" t="s">
        <v>45</v>
      </c>
      <c r="I1105" s="613" t="s">
        <v>8</v>
      </c>
      <c r="J1105" s="615" t="s">
        <v>46</v>
      </c>
      <c r="K1105" s="616" t="s">
        <v>47</v>
      </c>
    </row>
    <row r="1106" spans="1:11">
      <c r="A1106" s="1159" t="s">
        <v>7347</v>
      </c>
      <c r="B1106" s="657">
        <v>46262</v>
      </c>
      <c r="C1106" s="863" t="s">
        <v>64</v>
      </c>
      <c r="D1106" s="863" t="s">
        <v>17</v>
      </c>
      <c r="E1106" s="871" t="s">
        <v>100</v>
      </c>
      <c r="F1106" s="871" t="s">
        <v>6666</v>
      </c>
      <c r="G1106" s="643" t="s">
        <v>207</v>
      </c>
      <c r="H1106" s="872" t="s">
        <v>6867</v>
      </c>
      <c r="I1106" s="871"/>
      <c r="J1106" s="872">
        <v>2</v>
      </c>
      <c r="K1106" s="618" t="s">
        <v>50</v>
      </c>
    </row>
    <row r="1107" spans="1:11">
      <c r="A1107" s="1160"/>
      <c r="B1107" s="657">
        <v>46262</v>
      </c>
      <c r="C1107" s="618" t="s">
        <v>21</v>
      </c>
      <c r="D1107" s="618" t="s">
        <v>14</v>
      </c>
      <c r="E1107" s="653" t="s">
        <v>6927</v>
      </c>
      <c r="F1107" s="653" t="s">
        <v>3589</v>
      </c>
      <c r="G1107" s="620" t="s">
        <v>6929</v>
      </c>
      <c r="H1107" s="866" t="s">
        <v>6930</v>
      </c>
      <c r="I1107" s="653" t="s">
        <v>202</v>
      </c>
      <c r="J1107" s="866">
        <v>2</v>
      </c>
      <c r="K1107" s="618" t="s">
        <v>50</v>
      </c>
    </row>
    <row r="1108" spans="1:11">
      <c r="A1108" s="1160"/>
      <c r="B1108" s="657">
        <v>46265</v>
      </c>
      <c r="C1108" s="863" t="s">
        <v>138</v>
      </c>
      <c r="D1108" s="863" t="s">
        <v>14</v>
      </c>
      <c r="E1108" s="871" t="s">
        <v>107</v>
      </c>
      <c r="F1108" s="871">
        <v>179</v>
      </c>
      <c r="G1108" s="643" t="s">
        <v>746</v>
      </c>
      <c r="H1108" s="872" t="s">
        <v>7008</v>
      </c>
      <c r="I1108" s="871" t="s">
        <v>126</v>
      </c>
      <c r="J1108" s="871">
        <v>1</v>
      </c>
      <c r="K1108" s="618" t="s">
        <v>50</v>
      </c>
    </row>
    <row r="1109" spans="1:11">
      <c r="A1109" s="1160"/>
      <c r="B1109" s="657">
        <v>46266</v>
      </c>
      <c r="C1109" s="863" t="s">
        <v>21</v>
      </c>
      <c r="D1109" s="863" t="s">
        <v>14</v>
      </c>
      <c r="E1109" s="871" t="s">
        <v>107</v>
      </c>
      <c r="F1109" s="871" t="s">
        <v>2959</v>
      </c>
      <c r="G1109" s="643" t="s">
        <v>1376</v>
      </c>
      <c r="H1109" s="872" t="s">
        <v>6949</v>
      </c>
      <c r="I1109" s="871" t="s">
        <v>1948</v>
      </c>
      <c r="J1109" s="871">
        <v>1</v>
      </c>
      <c r="K1109" s="618" t="s">
        <v>50</v>
      </c>
    </row>
    <row r="1110" spans="1:11">
      <c r="A1110" s="1160"/>
      <c r="B1110" s="657">
        <v>46267</v>
      </c>
      <c r="C1110" s="863" t="s">
        <v>21</v>
      </c>
      <c r="D1110" s="863" t="s">
        <v>14</v>
      </c>
      <c r="E1110" s="871" t="s">
        <v>107</v>
      </c>
      <c r="F1110" s="871" t="s">
        <v>2959</v>
      </c>
      <c r="G1110" s="643" t="s">
        <v>143</v>
      </c>
      <c r="H1110" s="872" t="s">
        <v>6949</v>
      </c>
      <c r="I1110" s="871"/>
      <c r="J1110" s="871">
        <v>3</v>
      </c>
      <c r="K1110" s="618" t="s">
        <v>50</v>
      </c>
    </row>
    <row r="1111" spans="1:11">
      <c r="A1111" s="1160"/>
      <c r="B1111" s="657">
        <v>46268</v>
      </c>
      <c r="C1111" s="863" t="s">
        <v>21</v>
      </c>
      <c r="D1111" s="863" t="s">
        <v>14</v>
      </c>
      <c r="E1111" s="871" t="s">
        <v>107</v>
      </c>
      <c r="F1111" s="871" t="s">
        <v>2959</v>
      </c>
      <c r="G1111" s="643" t="s">
        <v>1895</v>
      </c>
      <c r="H1111" s="872" t="s">
        <v>6949</v>
      </c>
      <c r="I1111" s="871"/>
      <c r="J1111" s="871">
        <v>3</v>
      </c>
      <c r="K1111" s="618" t="s">
        <v>50</v>
      </c>
    </row>
    <row r="1112" spans="1:11" ht="22.5">
      <c r="A1112" s="1160"/>
      <c r="B1112" s="657">
        <v>46269</v>
      </c>
      <c r="C1112" s="618" t="s">
        <v>21</v>
      </c>
      <c r="D1112" s="618" t="s">
        <v>14</v>
      </c>
      <c r="E1112" s="653" t="s">
        <v>1787</v>
      </c>
      <c r="F1112" s="653" t="s">
        <v>2978</v>
      </c>
      <c r="G1112" s="620" t="s">
        <v>23</v>
      </c>
      <c r="H1112" s="866" t="s">
        <v>7001</v>
      </c>
      <c r="I1112" s="653" t="s">
        <v>1948</v>
      </c>
      <c r="J1112" s="871">
        <v>3</v>
      </c>
      <c r="K1112" s="618" t="s">
        <v>50</v>
      </c>
    </row>
    <row r="1113" spans="1:11">
      <c r="A1113" s="1160"/>
      <c r="B1113" s="657">
        <v>46269</v>
      </c>
      <c r="C1113" s="618" t="s">
        <v>21</v>
      </c>
      <c r="D1113" s="618" t="s">
        <v>14</v>
      </c>
      <c r="E1113" s="653" t="s">
        <v>1787</v>
      </c>
      <c r="F1113" s="653" t="s">
        <v>2978</v>
      </c>
      <c r="G1113" s="620" t="s">
        <v>23</v>
      </c>
      <c r="H1113" s="866" t="s">
        <v>7076</v>
      </c>
      <c r="I1113" s="653"/>
      <c r="J1113" s="871">
        <v>3</v>
      </c>
      <c r="K1113" s="618" t="s">
        <v>50</v>
      </c>
    </row>
    <row r="1114" spans="1:11">
      <c r="A1114" s="1160"/>
      <c r="B1114" s="657">
        <v>46272</v>
      </c>
      <c r="C1114" s="863" t="s">
        <v>21</v>
      </c>
      <c r="D1114" s="863" t="s">
        <v>14</v>
      </c>
      <c r="E1114" s="871" t="s">
        <v>107</v>
      </c>
      <c r="F1114" s="871" t="s">
        <v>2959</v>
      </c>
      <c r="G1114" s="643" t="s">
        <v>143</v>
      </c>
      <c r="H1114" s="872" t="s">
        <v>6949</v>
      </c>
      <c r="I1114" s="871" t="s">
        <v>90</v>
      </c>
      <c r="J1114" s="871">
        <v>1</v>
      </c>
      <c r="K1114" s="618" t="s">
        <v>50</v>
      </c>
    </row>
    <row r="1115" spans="1:11">
      <c r="A1115" s="1160"/>
      <c r="B1115" s="657">
        <v>46273</v>
      </c>
      <c r="C1115" s="863" t="s">
        <v>21</v>
      </c>
      <c r="D1115" s="863" t="s">
        <v>14</v>
      </c>
      <c r="E1115" s="871" t="s">
        <v>107</v>
      </c>
      <c r="F1115" s="871" t="s">
        <v>2959</v>
      </c>
      <c r="G1115" s="643" t="s">
        <v>143</v>
      </c>
      <c r="H1115" s="872" t="s">
        <v>6949</v>
      </c>
      <c r="I1115" s="871" t="s">
        <v>90</v>
      </c>
      <c r="J1115" s="871">
        <v>1</v>
      </c>
      <c r="K1115" s="618" t="s">
        <v>50</v>
      </c>
    </row>
    <row r="1116" spans="1:11">
      <c r="A1116" s="1160"/>
      <c r="B1116" s="657">
        <v>46274</v>
      </c>
      <c r="C1116" s="863" t="s">
        <v>21</v>
      </c>
      <c r="D1116" s="863" t="s">
        <v>14</v>
      </c>
      <c r="E1116" s="871" t="s">
        <v>107</v>
      </c>
      <c r="F1116" s="871" t="s">
        <v>2959</v>
      </c>
      <c r="G1116" s="643" t="s">
        <v>376</v>
      </c>
      <c r="H1116" s="872" t="s">
        <v>7045</v>
      </c>
      <c r="I1116" s="871" t="s">
        <v>90</v>
      </c>
      <c r="J1116" s="871">
        <v>1</v>
      </c>
      <c r="K1116" s="618" t="s">
        <v>50</v>
      </c>
    </row>
    <row r="1117" spans="1:11">
      <c r="A1117" s="1160"/>
      <c r="B1117" s="657">
        <v>46276</v>
      </c>
      <c r="C1117" s="863" t="s">
        <v>21</v>
      </c>
      <c r="D1117" s="863" t="s">
        <v>14</v>
      </c>
      <c r="E1117" s="871" t="s">
        <v>1787</v>
      </c>
      <c r="F1117" s="871" t="s">
        <v>2978</v>
      </c>
      <c r="G1117" s="643" t="s">
        <v>23</v>
      </c>
      <c r="H1117" s="872" t="s">
        <v>5434</v>
      </c>
      <c r="I1117" s="871"/>
      <c r="J1117" s="871">
        <v>2</v>
      </c>
      <c r="K1117" s="618" t="s">
        <v>50</v>
      </c>
    </row>
    <row r="1118" spans="1:11">
      <c r="A1118" s="1160"/>
      <c r="B1118" s="657">
        <v>46279</v>
      </c>
      <c r="C1118" s="863" t="s">
        <v>64</v>
      </c>
      <c r="D1118" s="863" t="s">
        <v>14</v>
      </c>
      <c r="E1118" s="871" t="s">
        <v>107</v>
      </c>
      <c r="F1118" s="871" t="s">
        <v>3386</v>
      </c>
      <c r="G1118" s="643" t="s">
        <v>746</v>
      </c>
      <c r="H1118" s="872" t="s">
        <v>230</v>
      </c>
      <c r="I1118" s="871" t="s">
        <v>90</v>
      </c>
      <c r="J1118" s="871">
        <v>1</v>
      </c>
      <c r="K1118" s="618" t="s">
        <v>50</v>
      </c>
    </row>
    <row r="1119" spans="1:11">
      <c r="A1119" s="1160"/>
      <c r="B1119" s="657">
        <v>46282</v>
      </c>
      <c r="C1119" s="863" t="s">
        <v>21</v>
      </c>
      <c r="D1119" s="863" t="s">
        <v>14</v>
      </c>
      <c r="E1119" s="871" t="s">
        <v>1787</v>
      </c>
      <c r="F1119" s="871" t="s">
        <v>2978</v>
      </c>
      <c r="G1119" s="643" t="s">
        <v>67</v>
      </c>
      <c r="H1119" s="643" t="s">
        <v>7161</v>
      </c>
      <c r="I1119" s="871" t="s">
        <v>90</v>
      </c>
      <c r="J1119" s="871">
        <v>1</v>
      </c>
      <c r="K1119" s="618" t="s">
        <v>50</v>
      </c>
    </row>
    <row r="1120" spans="1:11" ht="22.5">
      <c r="A1120" s="1161"/>
      <c r="B1120" s="657">
        <v>46280</v>
      </c>
      <c r="C1120" s="863" t="s">
        <v>64</v>
      </c>
      <c r="D1120" s="863" t="s">
        <v>14</v>
      </c>
      <c r="E1120" s="871" t="s">
        <v>107</v>
      </c>
      <c r="F1120" s="871" t="s">
        <v>3386</v>
      </c>
      <c r="G1120" s="643" t="s">
        <v>263</v>
      </c>
      <c r="H1120" s="872" t="s">
        <v>7183</v>
      </c>
      <c r="I1120" s="871" t="s">
        <v>90</v>
      </c>
      <c r="J1120" s="871">
        <v>1</v>
      </c>
      <c r="K1120" s="618" t="s">
        <v>50</v>
      </c>
    </row>
    <row r="1121" spans="1:11">
      <c r="A1121" s="1158" t="s">
        <v>1646</v>
      </c>
      <c r="B1121" s="1158"/>
      <c r="C1121" s="1158"/>
      <c r="D1121" s="1158"/>
      <c r="E1121" s="1158"/>
      <c r="F1121" s="1158"/>
      <c r="G1121" s="1158"/>
      <c r="H1121" s="1158"/>
      <c r="I1121" s="1158"/>
      <c r="J1121" s="618">
        <f>SUM(J1106:J1120)</f>
        <v>26</v>
      </c>
      <c r="K1121" s="654"/>
    </row>
    <row r="1123" spans="1:11" ht="22.5">
      <c r="A1123" s="612" t="s">
        <v>43</v>
      </c>
      <c r="B1123" s="612" t="s">
        <v>1620</v>
      </c>
      <c r="C1123" s="613" t="s">
        <v>2</v>
      </c>
      <c r="D1123" s="613" t="s">
        <v>3</v>
      </c>
      <c r="E1123" s="613" t="s">
        <v>4</v>
      </c>
      <c r="F1123" s="613" t="s">
        <v>5</v>
      </c>
      <c r="G1123" s="613" t="s">
        <v>6</v>
      </c>
      <c r="H1123" s="614" t="s">
        <v>45</v>
      </c>
      <c r="I1123" s="613" t="s">
        <v>8</v>
      </c>
      <c r="J1123" s="615" t="s">
        <v>46</v>
      </c>
      <c r="K1123" s="616" t="s">
        <v>47</v>
      </c>
    </row>
    <row r="1124" spans="1:11">
      <c r="A1124" s="1162" t="s">
        <v>7350</v>
      </c>
      <c r="B1124" s="657" t="s">
        <v>6891</v>
      </c>
      <c r="C1124" s="620" t="s">
        <v>19</v>
      </c>
      <c r="D1124" s="866" t="s">
        <v>25</v>
      </c>
      <c r="E1124" s="653" t="s">
        <v>5254</v>
      </c>
      <c r="F1124" s="872">
        <v>2688</v>
      </c>
      <c r="G1124" s="872" t="s">
        <v>18</v>
      </c>
      <c r="H1124" s="866" t="s">
        <v>6890</v>
      </c>
      <c r="I1124" s="653" t="s">
        <v>168</v>
      </c>
      <c r="J1124" s="866">
        <v>3</v>
      </c>
      <c r="K1124" s="618" t="s">
        <v>50</v>
      </c>
    </row>
    <row r="1125" spans="1:11">
      <c r="A1125" s="1163"/>
      <c r="B1125" s="657" t="s">
        <v>6891</v>
      </c>
      <c r="C1125" s="620" t="s">
        <v>49</v>
      </c>
      <c r="D1125" s="866" t="s">
        <v>25</v>
      </c>
      <c r="E1125" s="653" t="s">
        <v>5254</v>
      </c>
      <c r="F1125" s="872">
        <v>7062</v>
      </c>
      <c r="G1125" s="872" t="s">
        <v>143</v>
      </c>
      <c r="H1125" s="866" t="s">
        <v>1105</v>
      </c>
      <c r="I1125" s="653" t="s">
        <v>1259</v>
      </c>
      <c r="J1125" s="866">
        <v>3</v>
      </c>
      <c r="K1125" s="618" t="s">
        <v>50</v>
      </c>
    </row>
    <row r="1126" spans="1:11">
      <c r="A1126" s="1163"/>
      <c r="B1126" s="657">
        <v>46263</v>
      </c>
      <c r="C1126" s="620" t="s">
        <v>6707</v>
      </c>
      <c r="D1126" s="866" t="s">
        <v>748</v>
      </c>
      <c r="E1126" s="653" t="s">
        <v>5254</v>
      </c>
      <c r="F1126" s="872" t="s">
        <v>5754</v>
      </c>
      <c r="G1126" s="872" t="s">
        <v>18</v>
      </c>
      <c r="H1126" s="866" t="s">
        <v>3402</v>
      </c>
      <c r="I1126" s="653" t="s">
        <v>1259</v>
      </c>
      <c r="J1126" s="866">
        <v>1</v>
      </c>
      <c r="K1126" s="618" t="s">
        <v>50</v>
      </c>
    </row>
    <row r="1127" spans="1:11">
      <c r="A1127" s="1163"/>
      <c r="B1127" s="657" t="s">
        <v>7021</v>
      </c>
      <c r="C1127" s="620" t="s">
        <v>6707</v>
      </c>
      <c r="D1127" s="866" t="s">
        <v>748</v>
      </c>
      <c r="E1127" s="653" t="s">
        <v>5254</v>
      </c>
      <c r="F1127" s="872" t="s">
        <v>5754</v>
      </c>
      <c r="G1127" s="872" t="s">
        <v>18</v>
      </c>
      <c r="H1127" s="866" t="s">
        <v>3402</v>
      </c>
      <c r="I1127" s="653" t="s">
        <v>1259</v>
      </c>
      <c r="J1127" s="866">
        <v>2</v>
      </c>
      <c r="K1127" s="618" t="s">
        <v>50</v>
      </c>
    </row>
    <row r="1128" spans="1:11">
      <c r="A1128" s="1163"/>
      <c r="B1128" s="657" t="s">
        <v>7022</v>
      </c>
      <c r="C1128" s="620" t="s">
        <v>6707</v>
      </c>
      <c r="D1128" s="866" t="s">
        <v>748</v>
      </c>
      <c r="E1128" s="653" t="s">
        <v>5254</v>
      </c>
      <c r="F1128" s="872" t="s">
        <v>6075</v>
      </c>
      <c r="G1128" s="872" t="s">
        <v>145</v>
      </c>
      <c r="H1128" s="866" t="s">
        <v>3402</v>
      </c>
      <c r="I1128" s="653" t="s">
        <v>1259</v>
      </c>
      <c r="J1128" s="866">
        <v>2</v>
      </c>
      <c r="K1128" s="618" t="s">
        <v>50</v>
      </c>
    </row>
    <row r="1129" spans="1:11">
      <c r="A1129" s="1163"/>
      <c r="B1129" s="657">
        <v>46270</v>
      </c>
      <c r="C1129" s="620" t="s">
        <v>6707</v>
      </c>
      <c r="D1129" s="866" t="s">
        <v>25</v>
      </c>
      <c r="E1129" s="653" t="s">
        <v>5254</v>
      </c>
      <c r="F1129" s="872" t="s">
        <v>6315</v>
      </c>
      <c r="G1129" s="872" t="s">
        <v>361</v>
      </c>
      <c r="H1129" s="866" t="s">
        <v>3402</v>
      </c>
      <c r="I1129" s="653" t="s">
        <v>4616</v>
      </c>
      <c r="J1129" s="866">
        <v>1</v>
      </c>
      <c r="K1129" s="618" t="s">
        <v>50</v>
      </c>
    </row>
    <row r="1130" spans="1:11">
      <c r="A1130" s="1163"/>
      <c r="B1130" s="657" t="s">
        <v>7079</v>
      </c>
      <c r="C1130" s="620" t="s">
        <v>6707</v>
      </c>
      <c r="D1130" s="866" t="s">
        <v>25</v>
      </c>
      <c r="E1130" s="653" t="s">
        <v>5254</v>
      </c>
      <c r="F1130" s="872" t="s">
        <v>6315</v>
      </c>
      <c r="G1130" s="872" t="s">
        <v>361</v>
      </c>
      <c r="H1130" s="866" t="s">
        <v>3402</v>
      </c>
      <c r="I1130" s="653" t="s">
        <v>4616</v>
      </c>
      <c r="J1130" s="866">
        <v>3</v>
      </c>
      <c r="K1130" s="618" t="s">
        <v>50</v>
      </c>
    </row>
    <row r="1131" spans="1:11">
      <c r="A1131" s="1163"/>
      <c r="B1131" s="657" t="s">
        <v>7082</v>
      </c>
      <c r="C1131" s="620" t="s">
        <v>6707</v>
      </c>
      <c r="D1131" s="866" t="s">
        <v>25</v>
      </c>
      <c r="E1131" s="653" t="s">
        <v>5254</v>
      </c>
      <c r="F1131" s="872" t="s">
        <v>6315</v>
      </c>
      <c r="G1131" s="872" t="s">
        <v>264</v>
      </c>
      <c r="H1131" s="866" t="s">
        <v>3402</v>
      </c>
      <c r="I1131" s="653" t="s">
        <v>4616</v>
      </c>
      <c r="J1131" s="866">
        <v>2</v>
      </c>
      <c r="K1131" s="618" t="s">
        <v>50</v>
      </c>
    </row>
    <row r="1132" spans="1:11">
      <c r="A1132" s="1163"/>
      <c r="B1132" s="657" t="s">
        <v>7089</v>
      </c>
      <c r="C1132" s="620" t="s">
        <v>6707</v>
      </c>
      <c r="D1132" s="866" t="s">
        <v>25</v>
      </c>
      <c r="E1132" s="653" t="s">
        <v>5254</v>
      </c>
      <c r="F1132" s="872" t="s">
        <v>5754</v>
      </c>
      <c r="G1132" s="872" t="s">
        <v>18</v>
      </c>
      <c r="H1132" s="866" t="s">
        <v>216</v>
      </c>
      <c r="I1132" s="653" t="s">
        <v>168</v>
      </c>
      <c r="J1132" s="866">
        <v>4</v>
      </c>
      <c r="K1132" s="618" t="s">
        <v>50</v>
      </c>
    </row>
    <row r="1133" spans="1:11">
      <c r="A1133" s="1163"/>
      <c r="B1133" s="657">
        <v>46277</v>
      </c>
      <c r="C1133" s="620" t="s">
        <v>6707</v>
      </c>
      <c r="D1133" s="866" t="s">
        <v>25</v>
      </c>
      <c r="E1133" s="653" t="s">
        <v>5254</v>
      </c>
      <c r="F1133" s="872" t="s">
        <v>6075</v>
      </c>
      <c r="G1133" s="872" t="s">
        <v>145</v>
      </c>
      <c r="H1133" s="866" t="s">
        <v>1105</v>
      </c>
      <c r="I1133" s="653" t="s">
        <v>1259</v>
      </c>
      <c r="J1133" s="866">
        <v>1</v>
      </c>
      <c r="K1133" s="618" t="s">
        <v>50</v>
      </c>
    </row>
    <row r="1134" spans="1:11">
      <c r="A1134" s="1163"/>
      <c r="B1134" s="657" t="s">
        <v>7169</v>
      </c>
      <c r="C1134" s="620" t="s">
        <v>6707</v>
      </c>
      <c r="D1134" s="866" t="s">
        <v>25</v>
      </c>
      <c r="E1134" s="653" t="s">
        <v>5254</v>
      </c>
      <c r="F1134" s="872" t="s">
        <v>6075</v>
      </c>
      <c r="G1134" s="872" t="s">
        <v>145</v>
      </c>
      <c r="H1134" s="866" t="s">
        <v>1105</v>
      </c>
      <c r="I1134" s="653" t="s">
        <v>1259</v>
      </c>
      <c r="J1134" s="866">
        <v>2</v>
      </c>
      <c r="K1134" s="618" t="s">
        <v>50</v>
      </c>
    </row>
    <row r="1135" spans="1:11">
      <c r="A1135" s="1163"/>
      <c r="B1135" s="657">
        <v>46281</v>
      </c>
      <c r="C1135" s="620" t="s">
        <v>6707</v>
      </c>
      <c r="D1135" s="866" t="s">
        <v>25</v>
      </c>
      <c r="E1135" s="653" t="s">
        <v>5254</v>
      </c>
      <c r="F1135" s="872" t="s">
        <v>6315</v>
      </c>
      <c r="G1135" s="872" t="s">
        <v>361</v>
      </c>
      <c r="H1135" s="866" t="s">
        <v>6316</v>
      </c>
      <c r="I1135" s="653" t="s">
        <v>1259</v>
      </c>
      <c r="J1135" s="866">
        <v>1</v>
      </c>
      <c r="K1135" s="618" t="s">
        <v>50</v>
      </c>
    </row>
    <row r="1136" spans="1:11">
      <c r="A1136" s="1163"/>
      <c r="B1136" s="657" t="s">
        <v>7172</v>
      </c>
      <c r="C1136" s="620" t="s">
        <v>6707</v>
      </c>
      <c r="D1136" s="866" t="s">
        <v>25</v>
      </c>
      <c r="E1136" s="653" t="s">
        <v>5254</v>
      </c>
      <c r="F1136" s="872" t="s">
        <v>6315</v>
      </c>
      <c r="G1136" s="872" t="s">
        <v>264</v>
      </c>
      <c r="H1136" s="866" t="s">
        <v>6316</v>
      </c>
      <c r="I1136" s="653" t="s">
        <v>1259</v>
      </c>
      <c r="J1136" s="866">
        <v>2</v>
      </c>
      <c r="K1136" s="618" t="s">
        <v>50</v>
      </c>
    </row>
    <row r="1137" spans="1:11">
      <c r="A1137" s="1163"/>
      <c r="B1137" s="657" t="s">
        <v>7171</v>
      </c>
      <c r="C1137" s="620" t="s">
        <v>6707</v>
      </c>
      <c r="D1137" s="866" t="s">
        <v>25</v>
      </c>
      <c r="E1137" s="653" t="s">
        <v>5254</v>
      </c>
      <c r="F1137" s="872" t="s">
        <v>5754</v>
      </c>
      <c r="G1137" s="872" t="s">
        <v>18</v>
      </c>
      <c r="H1137" s="866" t="s">
        <v>216</v>
      </c>
      <c r="I1137" s="653" t="s">
        <v>168</v>
      </c>
      <c r="J1137" s="866">
        <v>3</v>
      </c>
      <c r="K1137" s="618" t="s">
        <v>50</v>
      </c>
    </row>
    <row r="1138" spans="1:11">
      <c r="A1138" s="1163"/>
      <c r="B1138" s="657" t="s">
        <v>7172</v>
      </c>
      <c r="C1138" s="620" t="s">
        <v>6707</v>
      </c>
      <c r="D1138" s="866" t="s">
        <v>25</v>
      </c>
      <c r="E1138" s="653" t="s">
        <v>5254</v>
      </c>
      <c r="F1138" s="872">
        <v>7065</v>
      </c>
      <c r="G1138" s="872" t="s">
        <v>6889</v>
      </c>
      <c r="H1138" s="866" t="s">
        <v>7174</v>
      </c>
      <c r="I1138" s="653" t="s">
        <v>168</v>
      </c>
      <c r="J1138" s="866">
        <v>2</v>
      </c>
      <c r="K1138" s="618" t="s">
        <v>50</v>
      </c>
    </row>
    <row r="1139" spans="1:11">
      <c r="A1139" s="1163"/>
      <c r="B1139" s="657">
        <v>46284</v>
      </c>
      <c r="C1139" s="620" t="s">
        <v>6707</v>
      </c>
      <c r="D1139" s="866" t="s">
        <v>25</v>
      </c>
      <c r="E1139" s="653" t="s">
        <v>5254</v>
      </c>
      <c r="F1139" s="872">
        <v>7065</v>
      </c>
      <c r="G1139" s="872" t="s">
        <v>7018</v>
      </c>
      <c r="H1139" s="866" t="s">
        <v>7222</v>
      </c>
      <c r="I1139" s="653" t="s">
        <v>168</v>
      </c>
      <c r="J1139" s="866">
        <v>2</v>
      </c>
      <c r="K1139" s="618" t="s">
        <v>50</v>
      </c>
    </row>
    <row r="1140" spans="1:11">
      <c r="A1140" s="1163"/>
      <c r="B1140" s="657" t="s">
        <v>7230</v>
      </c>
      <c r="C1140" s="620" t="s">
        <v>6707</v>
      </c>
      <c r="D1140" s="866" t="s">
        <v>25</v>
      </c>
      <c r="E1140" s="653" t="s">
        <v>5254</v>
      </c>
      <c r="F1140" s="872">
        <v>7065</v>
      </c>
      <c r="G1140" s="872" t="s">
        <v>1895</v>
      </c>
      <c r="H1140" s="866" t="s">
        <v>378</v>
      </c>
      <c r="I1140" s="653" t="s">
        <v>7351</v>
      </c>
      <c r="J1140" s="866">
        <v>3</v>
      </c>
      <c r="K1140" s="618" t="s">
        <v>50</v>
      </c>
    </row>
    <row r="1141" spans="1:11">
      <c r="A1141" s="1164"/>
      <c r="B1141" s="657" t="s">
        <v>7230</v>
      </c>
      <c r="C1141" s="620" t="s">
        <v>6707</v>
      </c>
      <c r="D1141" s="866" t="s">
        <v>25</v>
      </c>
      <c r="E1141" s="653" t="s">
        <v>5254</v>
      </c>
      <c r="F1141" s="872" t="s">
        <v>6315</v>
      </c>
      <c r="G1141" s="872" t="s">
        <v>762</v>
      </c>
      <c r="H1141" s="866" t="s">
        <v>3402</v>
      </c>
      <c r="I1141" s="653" t="s">
        <v>7352</v>
      </c>
      <c r="J1141" s="866">
        <v>3</v>
      </c>
      <c r="K1141" s="618" t="s">
        <v>50</v>
      </c>
    </row>
    <row r="1142" spans="1:11">
      <c r="A1142" s="1158" t="s">
        <v>1646</v>
      </c>
      <c r="B1142" s="1158"/>
      <c r="C1142" s="1158"/>
      <c r="D1142" s="1158"/>
      <c r="E1142" s="1158"/>
      <c r="F1142" s="1158"/>
      <c r="G1142" s="1158"/>
      <c r="H1142" s="1158"/>
      <c r="I1142" s="1158"/>
      <c r="J1142" s="866">
        <f>SUM(J1124:J1141)</f>
        <v>40</v>
      </c>
      <c r="K1142" s="654"/>
    </row>
  </sheetData>
  <autoFilter ref="A349:L357"/>
  <mergeCells count="378">
    <mergeCell ref="A1064:I1064"/>
    <mergeCell ref="A1060:A1063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952:I952"/>
    <mergeCell ref="A948:A951"/>
    <mergeCell ref="A956:I956"/>
    <mergeCell ref="A964:I964"/>
    <mergeCell ref="A960:A963"/>
    <mergeCell ref="A976:I976"/>
    <mergeCell ref="A967:A975"/>
    <mergeCell ref="A1039:A1044"/>
    <mergeCell ref="A1056:I1056"/>
    <mergeCell ref="A1050:A1055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A688:I688"/>
    <mergeCell ref="A686:A687"/>
    <mergeCell ref="A699:I699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703:A716"/>
    <mergeCell ref="A717:I717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1121:I1121"/>
    <mergeCell ref="A1106:A1120"/>
    <mergeCell ref="A1142:I1142"/>
    <mergeCell ref="A1124:A1141"/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1102:I1102"/>
    <mergeCell ref="A1096:A1101"/>
    <mergeCell ref="A1082:I1082"/>
    <mergeCell ref="A1068:A1081"/>
    <mergeCell ref="A1090:I1090"/>
    <mergeCell ref="A1086:A1089"/>
    <mergeCell ref="A1032:I1032"/>
    <mergeCell ref="A1023:A1031"/>
    <mergeCell ref="A1045:I1045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949" t="s">
        <v>5385</v>
      </c>
      <c r="I12" s="949"/>
      <c r="J12" s="949"/>
      <c r="K12" s="949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949" t="s">
        <v>5386</v>
      </c>
      <c r="I20" s="949"/>
      <c r="J20" s="949"/>
      <c r="K20" s="949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01" t="s">
        <v>2</v>
      </c>
      <c r="B23" s="701" t="s">
        <v>6124</v>
      </c>
      <c r="C23" s="701" t="s">
        <v>6125</v>
      </c>
    </row>
    <row r="24" spans="1:13">
      <c r="A24" s="701" t="s">
        <v>6126</v>
      </c>
      <c r="B24" s="700">
        <v>10500000</v>
      </c>
      <c r="C24" s="701" t="s">
        <v>6127</v>
      </c>
    </row>
    <row r="25" spans="1:13">
      <c r="A25" s="701" t="s">
        <v>6128</v>
      </c>
      <c r="B25" s="700">
        <v>4500000</v>
      </c>
      <c r="C25" s="701" t="s">
        <v>6129</v>
      </c>
    </row>
    <row r="26" spans="1:13">
      <c r="A26" s="701" t="s">
        <v>6130</v>
      </c>
      <c r="B26" s="700">
        <v>15000000</v>
      </c>
      <c r="C26" s="701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06" t="s">
        <v>6146</v>
      </c>
      <c r="E4" s="702" t="s">
        <v>6147</v>
      </c>
      <c r="F4" s="702" t="s">
        <v>6</v>
      </c>
      <c r="G4" s="702" t="s">
        <v>6148</v>
      </c>
      <c r="H4" s="702" t="s">
        <v>6149</v>
      </c>
      <c r="I4" s="702" t="s">
        <v>6150</v>
      </c>
    </row>
    <row r="5" spans="4:9" ht="66">
      <c r="D5" s="707">
        <v>5</v>
      </c>
      <c r="E5" s="704">
        <v>45701</v>
      </c>
      <c r="F5" s="705" t="s">
        <v>6151</v>
      </c>
      <c r="G5" s="705" t="s">
        <v>6152</v>
      </c>
      <c r="H5" s="705" t="s">
        <v>6153</v>
      </c>
      <c r="I5" s="705" t="s">
        <v>6154</v>
      </c>
    </row>
    <row r="6" spans="4:9" ht="82.5">
      <c r="D6" s="707">
        <v>51</v>
      </c>
      <c r="E6" s="704">
        <v>45746</v>
      </c>
      <c r="F6" s="705" t="s">
        <v>6155</v>
      </c>
      <c r="G6" s="705" t="s">
        <v>6156</v>
      </c>
      <c r="H6" s="705" t="s">
        <v>6157</v>
      </c>
      <c r="I6" s="705" t="s">
        <v>6158</v>
      </c>
    </row>
    <row r="7" spans="4:9" ht="49.5">
      <c r="D7" s="707">
        <v>61</v>
      </c>
      <c r="E7" s="704">
        <v>45783</v>
      </c>
      <c r="F7" s="705" t="s">
        <v>6159</v>
      </c>
      <c r="G7" s="705" t="s">
        <v>6160</v>
      </c>
      <c r="H7" s="705" t="s">
        <v>6161</v>
      </c>
      <c r="I7" s="705" t="s">
        <v>6162</v>
      </c>
    </row>
    <row r="8" spans="4:9" ht="66">
      <c r="D8" s="707">
        <v>87</v>
      </c>
      <c r="E8" s="704">
        <v>45859</v>
      </c>
      <c r="F8" s="705" t="s">
        <v>6163</v>
      </c>
      <c r="G8" s="705" t="s">
        <v>6164</v>
      </c>
      <c r="H8" s="705" t="s">
        <v>6165</v>
      </c>
      <c r="I8" s="705" t="s">
        <v>6166</v>
      </c>
    </row>
    <row r="9" spans="4:9" ht="49.5">
      <c r="D9" s="707">
        <v>88</v>
      </c>
      <c r="E9" s="704">
        <v>45859</v>
      </c>
      <c r="F9" s="705" t="s">
        <v>6167</v>
      </c>
      <c r="G9" s="705" t="s">
        <v>6168</v>
      </c>
      <c r="H9" s="705" t="s">
        <v>6169</v>
      </c>
      <c r="I9" s="705" t="s">
        <v>6170</v>
      </c>
    </row>
    <row r="10" spans="4:9" ht="33">
      <c r="D10" s="707">
        <v>96</v>
      </c>
      <c r="E10" s="704">
        <v>45872</v>
      </c>
      <c r="F10" s="705" t="s">
        <v>6171</v>
      </c>
      <c r="G10" s="705" t="s">
        <v>6172</v>
      </c>
      <c r="H10" s="705" t="s">
        <v>6173</v>
      </c>
      <c r="I10" s="705" t="s">
        <v>6174</v>
      </c>
    </row>
    <row r="11" spans="4:9" ht="49.5">
      <c r="D11" s="707">
        <v>114</v>
      </c>
      <c r="E11" s="704">
        <v>45899</v>
      </c>
      <c r="F11" s="705" t="s">
        <v>6171</v>
      </c>
      <c r="G11" s="705" t="s">
        <v>6175</v>
      </c>
      <c r="H11" s="705" t="s">
        <v>6176</v>
      </c>
      <c r="I11" s="705" t="s">
        <v>6177</v>
      </c>
    </row>
    <row r="12" spans="4:9" ht="49.5">
      <c r="D12" s="707">
        <v>130</v>
      </c>
      <c r="E12" s="703" t="s">
        <v>6178</v>
      </c>
      <c r="F12" s="705" t="s">
        <v>6179</v>
      </c>
      <c r="G12" s="705" t="s">
        <v>6180</v>
      </c>
      <c r="H12" s="705" t="s">
        <v>6181</v>
      </c>
      <c r="I12" s="705" t="s">
        <v>6182</v>
      </c>
    </row>
    <row r="13" spans="4:9" ht="33">
      <c r="D13" s="707">
        <v>150</v>
      </c>
      <c r="E13" s="703" t="s">
        <v>6178</v>
      </c>
      <c r="F13" s="705" t="s">
        <v>6183</v>
      </c>
      <c r="G13" s="705" t="s">
        <v>6184</v>
      </c>
      <c r="H13" s="705" t="s">
        <v>6185</v>
      </c>
      <c r="I13" s="705" t="s">
        <v>6186</v>
      </c>
    </row>
    <row r="14" spans="4:9" ht="33">
      <c r="D14" s="707">
        <v>158</v>
      </c>
      <c r="E14" s="703" t="s">
        <v>6178</v>
      </c>
      <c r="F14" s="705" t="s">
        <v>6187</v>
      </c>
      <c r="G14" s="705" t="s">
        <v>6188</v>
      </c>
      <c r="H14" s="705" t="s">
        <v>6189</v>
      </c>
      <c r="I14" s="705" t="s">
        <v>6190</v>
      </c>
    </row>
    <row r="15" spans="4:9" ht="66">
      <c r="D15" s="707">
        <v>166</v>
      </c>
      <c r="E15" s="704">
        <v>46051</v>
      </c>
      <c r="F15" s="705" t="s">
        <v>6191</v>
      </c>
      <c r="G15" s="705" t="s">
        <v>6192</v>
      </c>
      <c r="H15" s="705" t="s">
        <v>6193</v>
      </c>
      <c r="I15" s="705" t="s">
        <v>6194</v>
      </c>
    </row>
    <row r="16" spans="4:9" ht="49.5">
      <c r="D16" s="707">
        <v>168</v>
      </c>
      <c r="E16" s="703" t="s">
        <v>6178</v>
      </c>
      <c r="F16" s="705" t="s">
        <v>6195</v>
      </c>
      <c r="G16" s="705" t="s">
        <v>6196</v>
      </c>
      <c r="H16" s="705" t="s">
        <v>6197</v>
      </c>
      <c r="I16" s="705" t="s">
        <v>6198</v>
      </c>
    </row>
    <row r="17" spans="4:9" ht="33">
      <c r="D17" s="707">
        <v>176</v>
      </c>
      <c r="E17" s="703" t="s">
        <v>6178</v>
      </c>
      <c r="F17" s="705" t="s">
        <v>6199</v>
      </c>
      <c r="G17" s="705" t="s">
        <v>6200</v>
      </c>
      <c r="H17" s="705" t="s">
        <v>6201</v>
      </c>
      <c r="I17" s="705" t="s">
        <v>6202</v>
      </c>
    </row>
    <row r="18" spans="4:9" ht="49.5">
      <c r="D18" s="707">
        <v>177</v>
      </c>
      <c r="E18" s="703" t="s">
        <v>6178</v>
      </c>
      <c r="F18" s="705" t="s">
        <v>6203</v>
      </c>
      <c r="G18" s="705" t="s">
        <v>6204</v>
      </c>
      <c r="H18" s="705" t="s">
        <v>6205</v>
      </c>
      <c r="I18" s="70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2026-10-23T05:33:14Z</cp:lastPrinted>
  <dcterms:created xsi:type="dcterms:W3CDTF">2022-12-21T07:00:17Z</dcterms:created>
  <dcterms:modified xsi:type="dcterms:W3CDTF">2026-10-28T06:21:52Z</dcterms:modified>
</cp:coreProperties>
</file>