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29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3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<sst xmlns="http://schemas.openxmlformats.org/spreadsheetml/2006/main" count="23919" uniqueCount="6311">
  <si>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</si>
  <si>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</si>
  <si>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</si>
  <si>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</si>
  <si>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</si>
  <si>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</si>
  <si>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</si>
  <si>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</si>
  <si>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</si>
  <si>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</si>
  <si>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</si>
  <si>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</si>
  <si>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</si>
  <si>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</si>
  <si>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</si>
  <si>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</si>
  <si>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</si>
  <si>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</si>
  <si>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</si>
  <si>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</si>
  <si>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</si>
  <si>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</si>
  <si>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</si>
  <si>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</si>
  <si>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</si>
  <si>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</si>
  <si>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</si>
  <si>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</si>
  <si>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</si>
  <si>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</si>
  <si>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</si>
  <si>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</si>
  <si>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</si>
  <si>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</si>
  <si>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</si>
  <si>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</si>
  <si>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</si>
  <si>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</si>
  <si>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</si>
  <si>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</si>
  <si>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</si>
  <si>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</si>
  <si>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</si>
  <si>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</si>
  <si>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</si>
  <si>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</si>
  <si>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</si>
  <si>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</si>
  <si>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</si>
  <si>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</si>
  <si>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</si>
  <si>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</si>
  <si>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</si>
  <si>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</si>
  <si>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</si>
  <si>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</si>
  <si>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</si>
  <si>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</si>
  <si>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</si>
  <si>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</si>
  <si>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</si>
  <si>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</si>
  <si>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</si>
  <si>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</si>
  <si>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</si>
  <si>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</si>
  <si>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</si>
  <si>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</si>
  <si>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</si>
  <si>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</si>
  <si>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</si>
  <si>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</si>
  <si>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</si>
  <si>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</si>
  <si>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</si>
  <si>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</si>
  <si>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</si>
  <si>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</si>
  <si>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</si>
  <si>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</si>
  <si>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</si>
  <si>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</si>
  <si>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</si>
  <si>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</si>
  <si>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</si>
  <si>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</si>
  <si>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</si>
  <si>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</si>
  <si>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</si>
  <si>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</si>
  <si>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</si>
  <si>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</si>
  <si>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</si>
  <si>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</si>
  <si>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</si>
  <si>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</si>
  <si>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</si>
  <si>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</si>
  <si>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</si>
  <si>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</si>
  <si>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</si>
  <si>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</si>
  <si>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</si>
  <si>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</si>
  <si>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</si>
  <si>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</si>
  <si>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</si>
  <si>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</si>
  <si>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</si>
  <si>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</si>
  <si>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</si>
  <si>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</si>
  <si>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</si>
  <si>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</si>
  <si>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</si>
  <si>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</si>
  <si>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</si>
  <si>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</si>
  <si>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</si>
  <si>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</si>
  <si>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</si>
  <si>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</si>
  <si>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</si>
  <si>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</si>
  <si>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</si>
  <si>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</si>
  <si>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</si>
  <si>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</si>
  <si>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</si>
  <si>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</si>
  <si>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</si>
  <si>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</si>
  <si>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</si>
  <si>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</si>
  <si>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</si>
  <si>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</si>
  <si>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</si>
  <si>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</si>
  <si>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</si>
  <si>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</si>
  <si>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</si>
  <si>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</si>
  <si>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</si>
  <si>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</si>
  <si>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</si>
  <si>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</si>
  <si>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</si>
  <si>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</si>
  <si>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</si>
  <si>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</si>
  <si>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</si>
  <si>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</si>
  <si>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</si>
  <si>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</si>
  <si>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</si>
  <si>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</si>
  <si>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</si>
  <si>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</si>
  <si>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</si>
  <si>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</si>
  <si>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</si>
  <si>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</si>
  <si>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</si>
  <si>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</si>
  <si>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</si>
  <si>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</si>
  <si>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</si>
  <si>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</si>
  <si>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</si>
  <si>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</si>
  <si>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</si>
  <si>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</si>
  <si>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</si>
  <si>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</si>
  <si>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</si>
  <si>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</si>
  <si>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</si>
  <si>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</si>
  <si>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</si>
  <si>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</si>
  <si>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</si>
  <si>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</si>
  <si>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</si>
  <si>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</si>
  <si>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</si>
  <si>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</si>
  <si>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</si>
  <si>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</si>
  <si>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</si>
  <si>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</si>
  <si>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</si>
  <si>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</si>
  <si>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</si>
  <si>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</si>
  <si>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</si>
  <si>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</si>
  <si>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</si>
  <si>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</si>
  <si>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</si>
  <si>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</si>
  <si>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</si>
  <si>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</si>
  <si>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</si>
  <si>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</si>
  <si>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</si>
  <si>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</si>
  <si>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</si>
  <si>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</si>
  <si>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</si>
  <si>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</si>
  <si>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</si>
  <si>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</si>
  <si>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</si>
  <si>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</si>
  <si>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</si>
  <si>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</si>
  <si>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</si>
  <si>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</si>
  <si>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</si>
  <si>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</si>
  <si>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</si>
  <si>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</si>
  <si>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</si>
  <si>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</si>
  <si>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</si>
  <si>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</si>
  <si>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</si>
  <si>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</si>
  <si>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</si>
  <si>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</si>
  <si>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</si>
  <si>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</si>
  <si>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</si>
  <si>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</si>
  <si>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</si>
  <si>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</si>
  <si>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</si>
  <si>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</si>
  <si>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</si>
  <si>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</si>
  <si>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</si>
  <si>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</si>
  <si>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</si>
  <si>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</si>
  <si>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</si>
  <si>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</si>
  <si>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</si>
  <si>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</si>
  <si>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</si>
  <si>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</si>
  <si>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</si>
  <si>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</si>
  <si>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</si>
  <si>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</si>
  <si>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</si>
  <si>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</si>
  <si>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</si>
  <si>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</si>
  <si>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</si>
  <si>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</si>
  <si>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</si>
  <si>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</si>
  <si>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</si>
  <si>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</si>
  <si>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</si>
  <si>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</si>
  <si>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</si>
  <si>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</si>
  <si>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</si>
  <si>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</si>
  <si>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</si>
  <si>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</si>
  <si>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</si>
  <si>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</si>
  <si>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</si>
  <si>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</si>
  <si>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</si>
  <si>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</si>
  <si>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</si>
  <si>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</si>
  <si>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</si>
  <si>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</si>
  <si>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</si>
  <si>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</si>
  <si>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</si>
  <si>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</si>
  <si>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</si>
  <si>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</si>
  <si>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</si>
  <si>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</si>
  <si>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</si>
  <si>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</si>
  <si>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</si>
  <si>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</si>
  <si>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</si>
  <si>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</si>
  <si>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</si>
  <si>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</si>
  <si>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</si>
  <si>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</si>
  <si>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</si>
  <si>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</si>
  <si>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</si>
  <si>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</si>
  <si>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</si>
  <si>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</si>
  <si>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</si>
  <si>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</si>
  <si>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</si>
  <si>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</si>
  <si>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</si>
  <si>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</si>
  <si>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</si>
  <si>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</si>
  <si>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</si>
  <si>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</si>
  <si>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</si>
  <si>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</si>
  <si>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</si>
  <si>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</si>
  <si>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</si>
  <si>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</si>
  <si>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</si>
  <si>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</si>
  <si>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</si>
  <si>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</si>
  <si>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</si>
  <si>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</si>
  <si>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</si>
  <si>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</si>
  <si>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</si>
  <si>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</si>
  <si>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</si>
  <si>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</si>
  <si>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</si>
  <si>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</si>
  <si>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</si>
  <si>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</si>
  <si>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</si>
  <si>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</si>
  <si>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</si>
  <si>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</si>
  <si>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</si>
  <si>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</si>
  <si>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</si>
  <si>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</si>
  <si>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</si>
  <si>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</si>
  <si>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</si>
  <si>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</si>
  <si>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</si>
  <si>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</si>
  <si>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</si>
  <si>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</si>
  <si>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</si>
  <si>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</si>
  <si>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</si>
  <si>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</si>
  <si>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</si>
  <si>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</si>
  <si>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</si>
  <si>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</si>
  <si>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</si>
  <si>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</si>
  <si>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</si>
  <si>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</si>
  <si>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</si>
  <si>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</si>
  <si>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</si>
  <si>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</si>
  <si>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</si>
  <si>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</si>
  <si>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</si>
  <si>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</si>
  <si>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</si>
  <si>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</si>
  <si>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</si>
  <si>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</si>
  <si>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</si>
  <si>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</si>
  <si>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</si>
  <si>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</si>
  <si>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</si>
  <si>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</si>
  <si>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</si>
  <si>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</si>
  <si>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</si>
  <si>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</si>
  <si>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</si>
  <si>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</si>
  <si>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</si>
  <si>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</si>
  <si>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</si>
  <si>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</si>
  <si>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</si>
  <si>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</si>
  <si>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</si>
  <si>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</si>
  <si>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</si>
  <si>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</si>
  <si>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</si>
  <si>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</si>
  <si>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</si>
  <si>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</si>
  <si>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</si>
  <si>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</si>
  <si>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</si>
  <si>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</si>
  <si>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</si>
  <si>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</si>
  <si>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</si>
  <si>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</si>
  <si>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</si>
  <si>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</si>
  <si>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</si>
  <si>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</si>
  <si>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</si>
  <si>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</si>
  <si>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</si>
  <si>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</si>
  <si>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</si>
  <si>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</si>
  <si>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</si>
  <si>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</si>
  <si>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</si>
  <si>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</si>
  <si>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</si>
  <si>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</si>
  <si>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</si>
  <si>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</si>
  <si>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</si>
  <si>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</si>
  <si>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</si>
  <si>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</si>
  <si>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</si>
  <si>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</si>
  <si>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</si>
  <si>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</si>
  <si>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</si>
  <si>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</si>
  <si>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</si>
  <si>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</si>
  <si>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</si>
  <si>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</si>
  <si>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</si>
  <si>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</si>
  <si>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</si>
  <si>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</si>
  <si>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</si>
  <si>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</si>
  <si>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</si>
  <si>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</si>
  <si>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</si>
  <si>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</si>
  <si>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</si>
  <si>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</si>
  <si>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</si>
  <si>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</si>
  <si>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</si>
  <si>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</si>
  <si>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</si>
  <si>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</si>
  <si>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</si>
  <si>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</si>
  <si>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</si>
  <si>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</si>
  <si>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</si>
  <si>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</si>
  <si>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</si>
  <si>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</si>
  <si>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</si>
  <si>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</si>
  <si>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</si>
  <si>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</si>
  <si>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</si>
  <si>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</si>
  <si>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</si>
  <si>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</si>
  <si>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</si>
  <si>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</si>
  <si>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</si>
  <si>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</si>
  <si>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</si>
  <si>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</si>
  <si>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</si>
  <si>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</si>
  <si>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</si>
  <si>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</si>
  <si>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</si>
  <si>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</si>
  <si>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</si>
  <si>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</si>
  <si>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</si>
  <si>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</si>
  <si>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</si>
  <si>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</si>
  <si>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</si>
  <si>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</si>
  <si>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</si>
  <si>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</si>
  <si>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</si>
  <si>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</si>
  <si>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</si>
  <si>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</si>
  <si>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</si>
  <si>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</si>
  <si>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</si>
  <si>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</si>
  <si>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</si>
  <si>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</si>
  <si>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</si>
  <si>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</si>
  <si>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</si>
  <si>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</si>
  <si>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</si>
  <si>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</si>
  <si>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</si>
  <si>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</si>
  <si>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</si>
  <si>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</si>
  <si>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</si>
  <si>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</si>
  <si>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</si>
  <si>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</si>
  <si>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</si>
  <si>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</si>
  <si>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</si>
  <si>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</si>
  <si>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</si>
  <si>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</si>
  <si>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</si>
  <si>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</si>
  <si>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</si>
  <si>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</si>
  <si>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</si>
  <si>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</si>
  <si>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</si>
  <si>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</si>
  <si>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</si>
  <si>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</si>
  <si>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</si>
  <si>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</si>
  <si>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</si>
  <si>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</si>
  <si>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</si>
  <si>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</si>
  <si>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</si>
  <si>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</si>
  <si>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</si>
  <si>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</si>
  <si>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</si>
  <si>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</si>
  <si>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</si>
  <si>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</si>
  <si>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</si>
  <si>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</si>
  <si>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</si>
  <si>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</si>
  <si>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</si>
  <si>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</si>
  <si>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</si>
  <si>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</si>
  <si>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</si>
  <si>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</si>
  <si>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</si>
  <si>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</si>
  <si>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</si>
  <si>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</si>
  <si>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</si>
  <si>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</si>
  <si>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</si>
  <si>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</si>
  <si>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</si>
  <si>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</si>
  <si>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</si>
  <si>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</si>
  <si>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</si>
  <si>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</si>
  <si>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</si>
  <si>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</si>
  <si>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</si>
  <si>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</si>
  <si>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</si>
  <si>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</si>
  <si>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</si>
  <si>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</si>
  <si>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</si>
  <si>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</si>
  <si>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</si>
  <si>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</si>
  <si>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</si>
  <si>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</si>
  <si>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</si>
  <si>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</si>
  <si>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</si>
  <si>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</si>
  <si>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</si>
  <si>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</si>
  <si>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</si>
  <si>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</si>
  <si>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</si>
  <si>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</si>
  <si>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</si>
  <si>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</si>
  <si>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</si>
  <si>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</si>
  <si>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</si>
  <si>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</si>
  <si>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</si>
  <si>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</si>
  <si>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</si>
  <si>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</si>
  <si>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</si>
  <si>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</si>
  <si>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</si>
  <si>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</si>
  <si>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</si>
  <si>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</si>
  <si>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</si>
  <si>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</si>
  <si>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</si>
  <si>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</si>
  <si>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</si>
  <si>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</si>
  <si>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</si>
  <si>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</si>
  <si>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</si>
  <si>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</si>
  <si>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</si>
  <si>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</si>
  <si>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</si>
  <si>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</si>
  <si>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</si>
  <si>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</si>
  <si>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</si>
  <si>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</si>
  <si>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</si>
  <si>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</si>
  <si>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</si>
  <si>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</si>
  <si>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</si>
  <si>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</si>
  <si>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</si>
  <si>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</si>
  <si>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</si>
  <si>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</si>
  <si>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</si>
  <si>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</si>
  <si>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</si>
  <si>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</si>
  <si>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</si>
  <si>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</si>
  <si>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</si>
  <si>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</si>
  <si>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</si>
  <si>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</si>
  <si>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</si>
  <si>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</si>
  <si>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</si>
  <si>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</si>
  <si>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</si>
  <si>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</si>
  <si>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</si>
  <si>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</si>
  <si>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</si>
  <si>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</si>
  <si>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</si>
  <si>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</si>
  <si>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</si>
  <si>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</si>
  <si>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</si>
  <si>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</si>
  <si>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</si>
  <si>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</si>
  <si>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</si>
  <si>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</si>
  <si>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</si>
  <si>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</si>
  <si>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</si>
  <si>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</si>
  <si>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</si>
  <si>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</si>
  <si>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</si>
  <si>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</si>
  <si>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</si>
  <si>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</si>
  <si>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</si>
  <si>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</si>
  <si>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</si>
  <si>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</si>
  <si>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</si>
  <si>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</si>
  <si>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</si>
  <si>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</si>
  <si>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</si>
  <si>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</si>
  <si>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</si>
  <si>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</si>
  <si>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</si>
  <si>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</si>
  <si>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</si>
  <si>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</si>
  <si>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</si>
  <si>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</si>
  <si>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</si>
  <si>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</si>
  <si>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</si>
  <si>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</si>
  <si>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</si>
  <si>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</si>
  <si>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</si>
  <si>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</si>
  <si>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</si>
  <si>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</si>
  <si>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</si>
  <si>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</si>
  <si>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</si>
  <si>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</si>
  <si>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</si>
  <si>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</si>
  <si>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</si>
  <si>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</si>
  <si>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</si>
  <si>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</si>
  <si>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</si>
  <si>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</si>
  <si>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</si>
  <si>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</si>
  <si>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</si>
  <si>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</si>
  <si>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</si>
  <si>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</si>
  <si>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</si>
  <si>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</si>
  <si>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</si>
  <si>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</si>
  <si>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</si>
  <si>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</si>
  <si>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</si>
  <si>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</si>
  <si>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</si>
  <si>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</si>
  <si>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</si>
  <si>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</si>
  <si>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</si>
  <si>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</si>
  <si>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</si>
  <si>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</si>
  <si>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</si>
  <si>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</si>
  <si>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</si>
  <si>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</si>
  <si>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</si>
  <si>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</si>
  <si>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</si>
  <si>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</si>
  <si>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</si>
  <si>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</si>
  <si>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</si>
  <si>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</si>
  <si>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</si>
  <si>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</si>
  <si>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</si>
  <si>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</si>
  <si>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</si>
  <si>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</si>
  <si>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</si>
  <si>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</si>
  <si>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</si>
  <si>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</si>
  <si>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</si>
  <si>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</si>
  <si>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</si>
  <si>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</si>
  <si>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</si>
  <si>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</si>
  <si>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</si>
  <si>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</si>
  <si>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</si>
  <si>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</si>
  <si>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</si>
  <si>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</si>
  <si>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</si>
  <si>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</si>
  <si>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</si>
  <si>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</si>
  <si>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</si>
  <si>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</si>
  <si>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</si>
  <si>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</si>
  <si>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</si>
  <si>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</si>
  <si>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</si>
  <si>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</si>
  <si>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</si>
  <si>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</si>
  <si>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</si>
  <si>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</si>
  <si>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</si>
  <si>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</si>
  <si>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</si>
  <si>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</si>
  <si>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</si>
  <si>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</si>
  <si>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</si>
  <si>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</si>
  <si>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</si>
  <si>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</si>
  <si>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</si>
  <si>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</si>
  <si>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</si>
  <si>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</si>
  <si>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</si>
  <si>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</si>
  <si>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</si>
  <si>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</si>
  <si>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</si>
  <si>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</si>
  <si>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</si>
  <si>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</si>
  <si>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</si>
  <si>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</si>
  <si>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</si>
  <si>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</si>
  <si>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</si>
  <si>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</si>
  <si>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</si>
  <si>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</si>
  <si>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</si>
  <si>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</si>
  <si>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</si>
  <si>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</si>
  <si>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</si>
  <si>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</si>
  <si>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</si>
  <si>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</si>
  <si>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</si>
  <si>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</si>
  <si>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</si>
  <si>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</si>
  <si>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</si>
  <si>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</si>
  <si>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</si>
  <si>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</si>
  <si>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</si>
  <si>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</si>
  <si>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</si>
  <si>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</si>
  <si>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</si>
  <si>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</si>
  <si>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</si>
  <si>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</si>
  <si>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</si>
  <si>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</si>
  <si>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</si>
  <si>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</si>
  <si>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</si>
  <si>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</si>
  <si>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</si>
  <si>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</si>
  <si>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</si>
  <si>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</si>
  <si>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</si>
  <si>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</si>
  <si>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</si>
  <si>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</si>
  <si>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</si>
  <si>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</si>
  <si>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</si>
  <si>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</si>
  <si>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</si>
  <si>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</si>
  <si>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</si>
  <si>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</si>
  <si>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</si>
  <si>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</si>
  <si>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</si>
  <si>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</si>
  <si>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</si>
  <si>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</si>
  <si>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</si>
  <si>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</si>
  <si>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</si>
  <si>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</si>
  <si>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</si>
  <si>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</si>
  <si>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</si>
  <si>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</si>
  <si>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</si>
  <si>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</si>
  <si>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</si>
  <si>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</si>
  <si>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</si>
  <si>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</si>
  <si>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</si>
  <si>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</si>
  <si>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</si>
  <si>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</si>
  <si>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</si>
  <si>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</si>
  <si>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</si>
  <si>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</si>
  <si>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</si>
  <si>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</si>
  <si>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</si>
  <si>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</si>
  <si>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</si>
  <si>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</si>
  <si>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</si>
  <si>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</si>
  <si>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</si>
  <si>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</si>
  <si>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</si>
  <si>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</si>
  <si>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</si>
  <si>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</si>
  <si>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</si>
  <si>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</si>
  <si>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</si>
  <si>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</si>
  <si>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</si>
  <si>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</si>
  <si>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</si>
  <si>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</si>
  <si>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</si>
  <si>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</si>
  <si>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</si>
  <si>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</si>
  <si>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</si>
  <si>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</si>
  <si>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</si>
  <si>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</si>
  <si>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</si>
  <si>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</si>
  <si>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</si>
  <si>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</si>
  <si>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</si>
  <si>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</si>
  <si>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</si>
  <si>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</si>
  <si>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</si>
  <si>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</si>
  <si>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</si>
  <si>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</si>
  <si>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</si>
  <si>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</si>
  <si>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</si>
  <si>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</si>
  <si>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</si>
  <si>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</si>
  <si>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</si>
  <si>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</si>
  <si>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</si>
  <si>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</si>
  <si>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</si>
  <si>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</si>
  <si>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</si>
  <si>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</si>
  <si>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</si>
  <si>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</si>
  <si>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</si>
  <si>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</si>
  <si>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</si>
  <si>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</si>
  <si>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</si>
  <si>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</si>
  <si>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</si>
  <si>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</si>
  <si>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</si>
  <si>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</si>
  <si>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</si>
  <si>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</si>
  <si>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</si>
  <si>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</si>
  <si>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</si>
  <si>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</si>
  <si>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</si>
  <si>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</si>
  <si>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</si>
  <si>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</si>
  <si>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</si>
  <si>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</si>
  <si>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</si>
  <si>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</si>
  <si>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</si>
  <si>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</si>
  <si>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</si>
  <si>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</si>
  <si>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</si>
  <si>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</si>
  <si>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</si>
  <si>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</si>
  <si>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</si>
  <si>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</si>
  <si>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</si>
  <si>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</si>
  <si>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</si>
  <si>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</si>
  <si>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</si>
  <si>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</si>
  <si>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</si>
  <si>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</si>
  <si>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</si>
  <si>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</si>
  <si>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</si>
  <si>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</si>
  <si>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</si>
  <si>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</si>
  <si>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</si>
  <si>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</si>
  <si>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</si>
  <si>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</si>
  <si>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</si>
  <si>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</si>
  <si>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</si>
  <si>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</si>
  <si>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</si>
  <si>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</si>
  <si>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</si>
  <si>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</si>
  <si>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</si>
  <si>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</si>
  <si>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</si>
  <si>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</si>
  <si>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</si>
  <si>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</si>
  <si>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</si>
  <si>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</si>
  <si>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</si>
  <si>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</si>
  <si>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</si>
  <si>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</si>
  <si>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</si>
  <si>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</si>
  <si>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</si>
  <si>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</si>
  <si>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</si>
  <si>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</si>
  <si>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</si>
  <si>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</si>
  <si>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</si>
  <si>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</si>
  <si>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</si>
  <si>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</si>
  <si>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</si>
  <si>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</si>
  <si>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</si>
  <si>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</si>
  <si>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</si>
  <si>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</si>
  <si>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</si>
  <si>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</si>
  <si>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</si>
  <si>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</si>
  <si>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</si>
  <si>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</si>
  <si>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</si>
  <si>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</si>
  <si>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</si>
  <si>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</si>
  <si>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</si>
  <si>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</si>
  <si>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</si>
  <si>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</si>
  <si>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</si>
  <si>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</si>
  <si>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</si>
  <si>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</si>
  <si>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</si>
  <si>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</si>
  <si>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</si>
  <si>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</si>
  <si>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</si>
  <si>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</si>
  <si>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</si>
  <si>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</si>
  <si>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</si>
  <si>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</si>
  <si>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</si>
  <si>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</si>
  <si>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</si>
  <si>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</si>
  <si>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</si>
  <si>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</si>
  <si>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</si>
  <si>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</si>
  <si>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</si>
  <si>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</si>
  <si>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</si>
  <si>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</si>
  <si>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</si>
  <si>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</si>
  <si>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</si>
  <si>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</si>
  <si>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</si>
  <si>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</si>
  <si>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</si>
  <si>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</si>
  <si>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</si>
  <si>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</si>
  <si>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</si>
  <si>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</si>
  <si>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</si>
  <si>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</si>
  <si>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</si>
  <si>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</si>
  <si>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</si>
  <si>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</si>
  <si>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</si>
  <si>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</si>
  <si>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</si>
  <si>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</si>
  <si>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</si>
  <si>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</si>
  <si>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</si>
  <si>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</si>
  <si>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</si>
  <si>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</si>
  <si>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</si>
  <si>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</si>
  <si>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</si>
  <si>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</si>
  <si>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</si>
  <si>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</si>
  <si>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</si>
  <si>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</si>
  <si>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</si>
  <si>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</si>
  <si>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</si>
  <si>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</si>
  <si>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</si>
  <si>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</si>
  <si>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</si>
  <si>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</si>
  <si>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</si>
  <si>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</si>
  <si>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</si>
  <si>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</si>
  <si>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</si>
  <si>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</si>
  <si>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</si>
  <si>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</si>
  <si>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</si>
  <si>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</si>
  <si>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</si>
  <si>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</si>
  <si>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</si>
  <si>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</si>
  <si>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</si>
  <si>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</si>
  <si>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</si>
  <si>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</si>
  <si>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</si>
  <si>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</si>
  <si>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</si>
  <si>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</si>
  <si>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</si>
  <si>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</si>
  <si>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</si>
  <si>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</si>
  <si>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</si>
  <si>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</si>
  <si>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</si>
  <si>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</si>
  <si>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</si>
  <si>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</si>
  <si>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</si>
  <si>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</si>
  <si>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</si>
  <si>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</si>
  <si>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</si>
  <si>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</si>
  <si>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</si>
  <si>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</si>
  <si>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</si>
  <si>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</si>
  <si>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</si>
  <si>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</si>
  <si>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</si>
  <si>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</si>
  <si>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</si>
  <si>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</si>
  <si>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</si>
  <si>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</si>
  <si>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</si>
  <si>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</si>
  <si>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</si>
  <si>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</si>
  <si>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</si>
  <si>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</si>
  <si>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</si>
  <si>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</si>
  <si>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</si>
  <si>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</si>
  <si>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</si>
  <si>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</si>
  <si>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</si>
  <si>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</si>
  <si>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</si>
  <si>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</si>
  <si>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</si>
  <si>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</si>
  <si>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</si>
  <si>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</si>
  <si>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</si>
  <si>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</si>
  <si>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</si>
  <si>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</si>
  <si>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</si>
  <si>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</si>
  <si>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</si>
  <si>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</si>
  <si>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</si>
  <si>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</si>
  <si>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</si>
  <si>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</si>
  <si>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</si>
  <si>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</si>
  <si>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</si>
  <si>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</si>
  <si>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</si>
  <si>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</si>
  <si>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</si>
  <si>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</si>
  <si>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</si>
  <si>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</si>
  <si>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</si>
  <si>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</si>
  <si>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</si>
  <si>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</si>
  <si>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</si>
  <si>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</si>
  <si>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</si>
  <si>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</si>
  <si>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</si>
  <si>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</si>
  <si>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</si>
  <si>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</si>
  <si>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</si>
  <si>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</si>
  <si>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</si>
  <si>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</si>
  <si>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</si>
  <si>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</si>
  <si>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</si>
  <si>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</si>
  <si>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</si>
  <si>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</si>
  <si>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</si>
  <si>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</si>
  <si>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</si>
  <si>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</si>
  <si>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</si>
  <si>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</si>
  <si>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</si>
  <si>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</si>
  <si>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</si>
  <si>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</si>
  <si>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</si>
  <si>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</si>
  <si>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</si>
  <si>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</si>
  <si>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</si>
  <si>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</si>
  <si>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</si>
  <si>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</si>
  <si>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</si>
  <si>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</si>
  <si>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</si>
  <si>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</si>
  <si>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</si>
  <si>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</si>
  <si>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</si>
  <si>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</si>
  <si>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</si>
  <si>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</si>
  <si>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</si>
  <si>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</si>
  <si>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</si>
  <si>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</si>
  <si>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</si>
  <si>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</si>
  <si>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</si>
  <si>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</si>
  <si>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</si>
  <si>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</si>
  <si>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</si>
  <si>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</si>
  <si>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</si>
  <si>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</si>
  <si>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</si>
  <si>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</si>
  <si>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</si>
  <si>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</si>
  <si>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</si>
  <si>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</si>
  <si>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</si>
  <si>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</si>
  <si>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</si>
  <si>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</si>
  <si>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</si>
  <si>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</si>
  <si>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</si>
  <si>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</si>
  <si>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</si>
  <si>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</si>
  <si>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</si>
  <si>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</si>
  <si>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</si>
  <si>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</si>
  <si>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</si>
  <si>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</si>
  <si>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</si>
  <si>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</si>
  <si>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</si>
  <si>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</si>
  <si>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</si>
  <si>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</si>
  <si>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</si>
  <si>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</si>
  <si>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</si>
  <si>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</si>
  <si>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</si>
  <si>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</si>
  <si>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</si>
  <si>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</si>
  <si>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</si>
  <si>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</si>
  <si>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</si>
  <si>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</si>
  <si>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</si>
  <si>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</si>
  <si>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</si>
  <si>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</si>
  <si>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</si>
  <si>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</si>
  <si>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</si>
  <si>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</si>
  <si>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</si>
  <si>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</si>
  <si>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</si>
  <si>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</si>
  <si>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</si>
  <si>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</si>
  <si>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</si>
  <si>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</si>
  <si>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</si>
  <si>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</si>
  <si>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</si>
  <si>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</si>
  <si>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</si>
  <si>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</si>
  <si>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</si>
  <si>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</si>
  <si>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</si>
  <si>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</si>
  <si>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</si>
  <si>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</si>
  <si>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</si>
  <si>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</si>
  <si>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</si>
  <si>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</si>
  <si>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</si>
  <si>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</si>
  <si>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</si>
  <si>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</si>
  <si>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</si>
  <si>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</si>
  <si>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</si>
  <si>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</si>
  <si>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</si>
  <si>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</si>
  <si>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</si>
  <si>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</si>
  <si>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</si>
  <si>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</si>
  <si>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</si>
  <si>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</si>
  <si>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</si>
  <si>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</si>
  <si>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</si>
  <si>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</si>
  <si>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</si>
  <si>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</si>
  <si>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</si>
  <si>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</si>
  <si>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</si>
  <si>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</si>
  <si>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</si>
  <si>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</si>
  <si>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</si>
  <si>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</si>
  <si>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</si>
  <si>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</si>
  <si>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</si>
  <si>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</si>
  <si>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</si>
  <si>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</si>
  <si>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</si>
  <si>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</si>
  <si>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</si>
  <si>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</si>
  <si>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</si>
  <si>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</si>
  <si>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</si>
  <si>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</si>
  <si>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</si>
  <si>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</si>
  <si>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</si>
  <si>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</si>
  <si>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</si>
  <si>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</si>
  <si>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</si>
  <si>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</si>
  <si>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</si>
  <si>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</si>
  <si>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</si>
  <si>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</si>
  <si>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</si>
  <si>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</si>
  <si>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</si>
  <si>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</si>
  <si>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</si>
  <si>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</si>
  <si>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</si>
  <si>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</si>
  <si>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</si>
  <si>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</si>
  <si>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</si>
  <si>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</si>
  <si>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</si>
  <si>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</si>
  <si>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</si>
  <si>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</si>
  <si>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</si>
  <si>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</si>
  <si>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</si>
  <si>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</si>
  <si>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</si>
  <si>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</si>
  <si>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</si>
  <si>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</si>
  <si>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</si>
  <si>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</si>
  <si>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</si>
  <si>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</si>
  <si>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</si>
  <si>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</si>
  <si>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</si>
  <si>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</si>
  <si>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</si>
  <si>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</si>
  <si>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</si>
  <si>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</si>
  <si>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</si>
  <si>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</si>
  <si>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</si>
  <si>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</si>
  <si>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</si>
  <si>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</si>
  <si>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</si>
  <si>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</si>
  <si>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</si>
  <si>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</si>
  <si>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</si>
  <si>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</si>
  <si>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</si>
  <si>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</si>
  <si>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</si>
  <si>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</si>
  <si>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</si>
  <si>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</si>
  <si>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</si>
  <si>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</si>
  <si>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</si>
  <si>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</si>
  <si>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</si>
  <si>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</si>
  <si>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</si>
  <si>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</si>
  <si>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</si>
  <si>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</si>
  <si>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</si>
  <si>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</si>
  <si>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</si>
  <si>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</si>
  <si>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</si>
  <si>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</si>
  <si>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</si>
  <si>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</si>
  <si>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</si>
  <si>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</si>
  <si>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</si>
  <si>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</si>
  <si>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</si>
  <si>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</si>
  <si>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</si>
  <si>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</si>
  <si>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</si>
  <si>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</si>
  <si>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</si>
  <si>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</si>
  <si>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</si>
  <si>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</si>
  <si>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</si>
  <si>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</si>
  <si>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</si>
  <si>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</si>
  <si>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</si>
  <si>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</si>
  <si>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</si>
  <si>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</si>
  <si>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</si>
  <si>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</si>
  <si>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</si>
  <si>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</si>
  <si>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</si>
  <si>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</si>
  <si>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</si>
  <si>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</si>
  <si>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</si>
  <si>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</si>
  <si>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</si>
  <si>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</si>
  <si>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</si>
  <si>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</si>
  <si>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</si>
  <si>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</si>
  <si>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</si>
  <si>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</si>
  <si>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</si>
  <si>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</si>
  <si>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</si>
  <si>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</si>
  <si>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</si>
  <si>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</si>
  <si>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</si>
  <si>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</si>
  <si>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</si>
  <si>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</si>
  <si>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</si>
  <si>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</si>
  <si>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</si>
  <si>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</si>
  <si>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</si>
  <si>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</si>
  <si>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</si>
  <si>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</si>
  <si>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</si>
  <si>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</si>
  <si>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</si>
  <si>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</si>
  <si>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</si>
  <si>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</si>
  <si>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</si>
  <si>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</si>
  <si>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</si>
  <si>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</si>
  <si>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</si>
  <si>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</si>
  <si>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</si>
  <si>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</si>
  <si>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</si>
  <si>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</si>
  <si>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</si>
  <si>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</si>
  <si>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</si>
  <si>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</si>
  <si>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</si>
  <si>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</si>
  <si>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</si>
  <si>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</si>
  <si>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</si>
  <si>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</si>
  <si>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</si>
  <si>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</si>
  <si>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</si>
  <si>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</si>
  <si>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</si>
  <si>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</si>
  <si>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</si>
  <si>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</si>
  <si>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</si>
  <si>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</si>
  <si>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</si>
  <si>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</si>
  <si>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</si>
  <si>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</si>
  <si>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</si>
  <si>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</si>
  <si>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</si>
  <si>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</si>
  <si>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</si>
  <si>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</si>
  <si>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</si>
  <si>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</si>
  <si>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</si>
  <si>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</si>
  <si>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</si>
  <si>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</si>
  <si>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</si>
  <si>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</si>
  <si>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</si>
  <si>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</si>
  <si>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</si>
  <si>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</si>
  <si>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</si>
  <si>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</si>
  <si>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</si>
  <si>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</si>
  <si>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</si>
  <si>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</si>
  <si>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</si>
  <si>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</si>
  <si>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</si>
  <si>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</si>
  <si>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</si>
  <si>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</si>
  <si>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</si>
  <si>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</si>
  <si>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</si>
  <si>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</si>
  <si>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</si>
  <si>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</si>
  <si>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</si>
  <si>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</si>
  <si>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</si>
  <si>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</si>
  <si>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</si>
  <si>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</si>
  <si>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</si>
  <si>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</si>
  <si>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</si>
  <si>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</si>
  <si>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</si>
  <si>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</si>
  <si>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</si>
  <si>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</si>
  <si>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</si>
  <si>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</si>
  <si>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</si>
  <si>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</si>
  <si>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</si>
  <si>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</si>
  <si>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</si>
  <si>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</si>
  <si>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</si>
  <si>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</si>
  <si>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</si>
  <si>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</si>
  <si>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</si>
  <si>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</si>
  <si>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</si>
  <si>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</si>
  <si>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</si>
  <si>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</si>
  <si>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</si>
  <si>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</si>
  <si>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</si>
  <si>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</si>
  <si>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</si>
  <si>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</si>
  <si>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</si>
  <si>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</si>
  <si>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</si>
  <si>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</si>
  <si>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</si>
  <si>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</si>
  <si>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</si>
  <si>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</si>
  <si>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</si>
  <si>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</si>
  <si>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</si>
  <si>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</si>
  <si>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</si>
  <si>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</si>
  <si>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</si>
  <si>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</si>
  <si>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</si>
  <si>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</si>
  <si>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</si>
  <si>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</si>
  <si>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</si>
  <si>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</si>
  <si>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</si>
  <si>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</si>
  <si>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</si>
  <si>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</si>
  <si>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</si>
  <si>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</si>
  <si>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</si>
  <si>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</si>
  <si>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</si>
  <si>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</si>
  <si>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</si>
  <si>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</si>
  <si>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</si>
  <si>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</si>
  <si>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</si>
  <si>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</si>
  <si>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</si>
  <si>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</si>
  <si>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</si>
  <si>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</si>
  <si>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</si>
  <si>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</si>
  <si>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</si>
  <si>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</si>
  <si>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</si>
  <si>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</si>
  <si>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</si>
  <si>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</si>
  <si>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</si>
  <si>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</si>
  <si>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</si>
  <si>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</si>
  <si>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</si>
  <si>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</si>
  <si>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</si>
  <si>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</si>
  <si>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</si>
  <si>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</si>
  <si>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</si>
  <si>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</si>
  <si>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</si>
  <si>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</si>
  <si>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</si>
  <si>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</si>
  <si>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</si>
  <si>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</si>
  <si>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</si>
  <si>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</si>
  <si>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</si>
  <si>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</si>
  <si>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</si>
  <si>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</si>
  <si>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</si>
  <si>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</si>
  <si>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</si>
  <si>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</si>
  <si>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</si>
  <si>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</si>
  <si>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</si>
  <si>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</si>
  <si>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</si>
  <si>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</si>
  <si>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</si>
  <si>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</si>
  <si>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</si>
  <si>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</si>
  <si>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</si>
  <si>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</si>
  <si>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</si>
  <si>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</si>
  <si>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</si>
  <si>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</si>
  <si>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</si>
  <si>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</si>
  <si>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</si>
  <si>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</si>
  <si>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</si>
  <si>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</si>
  <si>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</si>
  <si>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</si>
  <si>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</si>
  <si>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</si>
  <si>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</si>
  <si>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</si>
  <si>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</si>
  <si>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</si>
  <si>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</si>
  <si>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</si>
  <si>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</si>
  <si>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</si>
  <si>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</si>
  <si>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</si>
  <si>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</si>
  <si>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</si>
  <si>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</si>
  <si>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</si>
  <si>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</si>
  <si>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</si>
  <si>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</si>
  <si>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</si>
  <si>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</si>
  <si>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</si>
  <si>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</si>
  <si>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</si>
  <si>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</si>
  <si>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</si>
  <si>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</si>
  <si>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</si>
  <si>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</si>
  <si>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</si>
  <si>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</si>
  <si>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</si>
  <si>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</si>
  <si>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</si>
  <si>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</si>
  <si>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</si>
  <si>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</si>
  <si>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</si>
  <si>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</si>
  <si>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</si>
  <si>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</si>
  <si>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</si>
  <si>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</si>
  <si>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</si>
  <si>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</si>
  <si>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</si>
  <si>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</si>
  <si>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</si>
  <si>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</si>
  <si>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</si>
  <si>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</si>
  <si>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</si>
  <si>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</si>
  <si>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</si>
  <si>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</si>
  <si>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</si>
  <si>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</si>
  <si>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</si>
  <si>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</si>
  <si>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</si>
  <si>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</si>
  <si>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</si>
  <si>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</si>
  <si>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</si>
  <si>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</si>
  <si>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</si>
  <si>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</si>
  <si>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</si>
  <si>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</si>
  <si>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</si>
  <si>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</si>
  <si>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</si>
  <si>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</si>
  <si>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</si>
  <si>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</si>
  <si>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</si>
  <si>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</si>
  <si>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</si>
  <si>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</si>
  <si>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</si>
  <si>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</si>
  <si>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</si>
  <si>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</si>
  <si>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</si>
  <si>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</si>
  <si>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</si>
  <si>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</si>
  <si>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</si>
  <si>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</si>
  <si>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</si>
  <si>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</si>
  <si>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</si>
  <si>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</si>
  <si>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</si>
  <si>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</si>
  <si>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</si>
  <si>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</si>
  <si>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</si>
  <si>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</si>
  <si>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</si>
  <si>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</si>
  <si>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</si>
  <si>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</si>
  <si>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</si>
  <si>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</si>
  <si>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</si>
  <si>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</si>
  <si>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</si>
  <si>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</si>
  <si>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</si>
  <si>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</si>
  <si>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</si>
  <si>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</si>
  <si>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</si>
  <si>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</si>
  <si>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</si>
  <si>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</si>
  <si>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</si>
  <si>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</si>
  <si>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</si>
  <si>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</si>
  <si>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</si>
  <si>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</si>
  <si>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</si>
  <si>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</si>
  <si>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</si>
  <si>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</si>
  <si>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</si>
  <si>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</si>
  <si>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</si>
  <si>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</si>
  <si>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</si>
  <si>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</si>
  <si>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</si>
  <si>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</si>
  <si>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</si>
  <si>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</si>
  <si>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</si>
  <si>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</si>
  <si>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</si>
  <si>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</si>
  <si>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</si>
  <si>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</si>
  <si>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</si>
  <si>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</si>
  <si>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</si>
  <si>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</si>
  <si>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</si>
  <si>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</si>
  <si>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</si>
  <si>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</si>
  <si>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</si>
  <si>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</si>
  <si>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</si>
  <si>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</si>
  <si>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</si>
  <si>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</si>
  <si>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</si>
  <si>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</si>
  <si>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</si>
  <si>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</si>
  <si>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</si>
  <si>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</si>
  <si>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</si>
  <si>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</si>
  <si>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</si>
  <si>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</si>
  <si>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</si>
  <si>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</si>
  <si>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</si>
  <si>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</si>
  <si>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</si>
  <si>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</si>
  <si>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</si>
  <si>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</si>
  <si>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</si>
  <si>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</si>
  <si>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</si>
  <si>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</si>
  <si>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</si>
  <si>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</si>
  <si>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</si>
  <si>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</si>
  <si>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</si>
  <si>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</si>
  <si>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</si>
  <si>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</si>
  <si>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</si>
  <si>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</si>
  <si>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</si>
  <si>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</si>
  <si>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</si>
  <si>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</si>
  <si>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</si>
  <si>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</si>
  <si>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</si>
  <si>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</si>
  <si>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</si>
  <si>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</si>
  <si>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</si>
  <si>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</si>
  <si>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</si>
  <si>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</si>
  <si>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</si>
  <si>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</si>
  <si>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</si>
  <si>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</si>
  <si>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</si>
  <si>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</si>
  <si>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</si>
  <si>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</si>
  <si>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</si>
  <si>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</si>
  <si>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</si>
  <si>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</si>
  <si>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</si>
  <si>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</si>
  <si>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</si>
  <si>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</si>
  <si>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</si>
  <si>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</si>
  <si>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</si>
  <si>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</si>
  <si>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</si>
  <si>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</si>
  <si>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</si>
  <si>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</si>
  <si>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</si>
  <si>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</si>
  <si>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</si>
  <si>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</si>
  <si>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</si>
  <si>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</si>
  <si>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</si>
  <si>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</si>
  <si>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</si>
  <si>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</si>
  <si>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</si>
  <si>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</si>
  <si>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</si>
  <si>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</si>
  <si>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</si>
  <si>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</si>
  <si>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</si>
  <si>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</si>
  <si>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</si>
  <si>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</si>
  <si>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</si>
  <si>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</si>
  <si>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</si>
  <si>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</si>
  <si>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</si>
  <si>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</si>
  <si>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</si>
  <si>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</si>
  <si>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</si>
  <si>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</si>
  <si>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</si>
  <si>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</si>
  <si>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</si>
  <si>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</si>
  <si>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</si>
  <si>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</si>
  <si>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</si>
  <si>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</si>
  <si>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</si>
  <si>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</si>
  <si>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</si>
  <si>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</si>
  <si>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</si>
  <si>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</si>
  <si>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</si>
  <si>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</si>
  <si>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</si>
  <si>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</si>
  <si>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</si>
  <si>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</si>
  <si>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</si>
  <si>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</si>
  <si>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</si>
  <si>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</si>
  <si>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</si>
  <si>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</si>
  <si>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</si>
  <si>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</si>
  <si>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</si>
  <si>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</si>
  <si>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</si>
  <si>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</si>
  <si>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</si>
  <si>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</si>
  <si>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</si>
  <si>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</si>
  <si>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</si>
  <si>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</si>
  <si>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</si>
  <si>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</si>
  <si>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</si>
  <si>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</si>
  <si>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</si>
  <si>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</si>
  <si>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</si>
  <si>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</si>
  <si>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</si>
  <si>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</si>
  <si>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</si>
  <si>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</si>
  <si>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</si>
  <si>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</si>
  <si>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</si>
  <si>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</si>
  <si>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</si>
  <si>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</si>
  <si>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</si>
  <si>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</si>
  <si>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</si>
  <si>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</si>
  <si>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</si>
  <si>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</si>
  <si>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</si>
  <si>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</si>
  <si>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</si>
  <si>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</si>
  <si>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</si>
  <si>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</si>
  <si>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</si>
  <si>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</si>
  <si>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</si>
  <si>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</si>
  <si>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</si>
  <si>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</si>
  <si>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</si>
  <si>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</si>
  <si>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</si>
  <si>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</si>
  <si>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</si>
  <si>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</si>
  <si>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</si>
  <si>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</si>
  <si>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</si>
  <si>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</si>
  <si>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</si>
  <si>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</si>
  <si>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</si>
  <si>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</si>
  <si>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</si>
  <si>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</si>
  <si>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</si>
  <si>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</si>
  <si>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</si>
  <si>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</si>
  <si>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</si>
  <si>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</si>
  <si>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</si>
  <si>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</si>
  <si>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</si>
  <si>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</si>
  <si>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</si>
  <si>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</si>
  <si>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</si>
  <si>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</si>
  <si>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</si>
  <si>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</si>
  <si>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</si>
  <si>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</si>
  <si>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</si>
  <si>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</si>
  <si>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</si>
  <si>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</si>
  <si>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</si>
  <si>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</si>
  <si>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</si>
  <si>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</si>
  <si>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</si>
  <si>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</si>
  <si>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</si>
  <si>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</si>
  <si>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</si>
  <si>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</si>
  <si>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</si>
  <si>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</si>
  <si>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</si>
  <si>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</si>
  <si>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</si>
  <si>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</si>
  <si>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</si>
  <si>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</si>
  <si>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</si>
  <si>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</si>
  <si>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</si>
  <si>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</si>
  <si>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</si>
  <si>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</si>
  <si>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</si>
  <si>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</si>
  <si>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</si>
  <si>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</si>
  <si>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</si>
  <si>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</si>
  <si>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</si>
  <si>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</si>
  <si>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</si>
  <si>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</si>
  <si>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</si>
  <si>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</si>
  <si>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</si>
  <si>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</si>
  <si>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</si>
  <si>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</si>
  <si>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</si>
  <si>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</si>
  <si>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</si>
  <si>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</si>
  <si>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</si>
  <si>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</si>
  <si>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</si>
  <si>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</si>
  <si>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</si>
  <si>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</si>
  <si>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</si>
  <si>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</si>
  <si>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</si>
  <si>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</si>
  <si>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</si>
  <si>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</si>
  <si>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</si>
  <si>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</si>
  <si>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</si>
  <si>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</si>
  <si>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</si>
  <si>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</si>
  <si>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</si>
  <si>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</si>
  <si>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</si>
  <si>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</si>
  <si>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</si>
  <si>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</si>
  <si>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</si>
  <si>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</si>
  <si>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</si>
  <si>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</si>
  <si>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</si>
  <si>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</si>
  <si>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</si>
  <si>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</si>
  <si>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</si>
  <si>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</si>
  <si>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</si>
  <si>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</si>
  <si>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</si>
  <si>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</si>
  <si>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</si>
  <si>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</si>
  <si>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</si>
  <si>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</si>
  <si>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</si>
  <si>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</si>
  <si>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</si>
  <si>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</si>
  <si>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</si>
  <si>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</si>
  <si>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</si>
  <si>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</si>
  <si>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</si>
  <si>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</si>
  <si>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</si>
  <si>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</si>
  <si>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</si>
  <si>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</si>
  <si>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</si>
  <si>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</si>
  <si>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</si>
  <si>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</si>
  <si>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</si>
  <si>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</si>
  <si>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</si>
  <si>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</si>
  <si>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</si>
  <si>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</si>
  <si>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</si>
  <si>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</si>
  <si>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</si>
  <si>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</si>
  <si>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</si>
  <si>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</si>
  <si>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</si>
  <si>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</si>
  <si>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</si>
  <si>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</si>
  <si>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</si>
  <si>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</si>
  <si>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</si>
  <si>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</si>
  <si>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</si>
  <si>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</si>
  <si>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</si>
  <si>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</si>
  <si>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</si>
  <si>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</si>
  <si>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</si>
  <si>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</si>
  <si>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</si>
  <si>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</si>
  <si>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</si>
  <si>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</si>
  <si>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</si>
  <si>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</si>
  <si>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</si>
  <si>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</si>
  <si>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</si>
  <si>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</si>
  <si>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</si>
  <si>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</si>
  <si>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</si>
  <si>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</si>
  <si>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</si>
  <si>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</si>
  <si>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</si>
  <si>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</si>
  <si>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</si>
  <si>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</si>
  <si>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</si>
  <si>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</si>
  <si>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</si>
  <si>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</si>
  <si>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</si>
  <si>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</si>
  <si>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</si>
  <si>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</si>
  <si>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</si>
  <si>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</si>
  <si>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</si>
  <si>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</si>
  <si>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</si>
  <si>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</si>
  <si>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</si>
  <si>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</si>
  <si>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</si>
  <si>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</si>
  <si>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</si>
  <si>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</si>
  <si>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</si>
  <si>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</si>
  <si>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</si>
  <si>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</si>
  <si>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</si>
  <si>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</si>
  <si>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</si>
  <si>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</si>
  <si>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</si>
  <si>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</si>
  <si>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</si>
  <si>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</si>
  <si>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</si>
  <si>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</si>
  <si>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</si>
  <si>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</si>
  <si>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</si>
  <si>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</si>
  <si>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</si>
  <si>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</si>
  <si>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</si>
  <si>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</si>
  <si>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</si>
  <si>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</si>
  <si>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</si>
  <si>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</si>
  <si>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</si>
  <si>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</si>
  <si>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</si>
  <si>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</si>
  <si>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</si>
  <si>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</si>
  <si>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</si>
  <si>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</si>
  <si>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</si>
  <si>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</si>
  <si>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</si>
  <si>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</si>
  <si>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</si>
  <si>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</si>
  <si>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</si>
  <si>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</si>
  <si>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</si>
  <si>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</si>
  <si>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</si>
  <si>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</si>
  <si>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</si>
  <si>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</si>
  <si>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</si>
  <si>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</si>
  <si>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</si>
  <si>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</si>
  <si>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</si>
  <si>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</si>
  <si>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</si>
  <si>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</si>
  <si>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</si>
  <si>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</si>
  <si>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</si>
  <si>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</si>
  <si>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</si>
  <si>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</si>
  <si>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</si>
  <si>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</si>
  <si>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</si>
  <si>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</si>
  <si>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</si>
  <si>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</si>
  <si>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</si>
  <si>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</si>
  <si>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</si>
  <si>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</si>
  <si>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</si>
  <si>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</si>
  <si>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</si>
  <si>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</si>
  <si>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</si>
  <si>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</si>
  <si>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</si>
  <si>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</si>
  <si>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</si>
  <si>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</si>
  <si>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</si>
  <si>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</si>
  <si>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</si>
  <si>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</si>
  <si>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</si>
  <si>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</si>
  <si>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</si>
  <si>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</si>
  <si>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</si>
  <si>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</si>
  <si>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</si>
  <si>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</si>
  <si>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</si>
  <si>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</si>
  <si>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</si>
  <si>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</si>
  <si>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</si>
  <si>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</si>
  <si>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</si>
  <si>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</si>
  <si>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</si>
  <si>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</si>
  <si>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</si>
  <si>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</si>
  <si>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</si>
  <si>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</si>
  <si>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</si>
  <si>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</si>
  <si>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</si>
  <si>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</si>
  <si>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</si>
  <si>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</si>
  <si>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</si>
  <si>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</si>
  <si>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</si>
  <si>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</si>
  <si>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</si>
  <si>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</si>
  <si>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</si>
  <si>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</si>
  <si>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</si>
  <si>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</si>
  <si>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</si>
  <si>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</si>
  <si>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</si>
  <si>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</si>
  <si>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</si>
  <si>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</si>
  <si>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</si>
  <si>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</si>
  <si>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</si>
  <si>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</si>
  <si>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</si>
  <si>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</si>
  <si>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</si>
  <si>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</si>
  <si>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</si>
  <si>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</si>
  <si>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</si>
  <si>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</si>
  <si>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</si>
  <si>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</si>
  <si>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</si>
  <si>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</si>
  <si>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</si>
  <si>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</si>
  <si>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</si>
  <si>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</si>
  <si>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</si>
  <si>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</si>
  <si>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</si>
  <si>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</si>
  <si>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</si>
  <si>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</si>
  <si>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</si>
  <si>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</si>
  <si>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</si>
  <si>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</si>
  <si>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</si>
  <si>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</si>
  <si>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</si>
  <si>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</si>
  <si>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</si>
  <si>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</si>
  <si>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</si>
  <si>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</si>
  <si>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</si>
  <si>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</si>
  <si>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</si>
  <si>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</si>
  <si>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</si>
  <si>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</si>
  <si>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</si>
  <si>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</si>
  <si>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</si>
  <si>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</si>
  <si>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</si>
  <si>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</si>
  <si>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</si>
  <si>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</si>
  <si>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</si>
  <si>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</si>
  <si>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</si>
  <si>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</si>
  <si>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</si>
  <si>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</si>
  <si>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</si>
  <si>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</si>
  <si>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</si>
  <si>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</si>
  <si>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</si>
  <si>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</si>
  <si>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</si>
  <si>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</si>
  <si>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</si>
  <si>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</si>
  <si>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</si>
  <si>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</si>
  <si>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</si>
  <si>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</si>
  <si>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</si>
  <si>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</si>
  <si>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</si>
  <si>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</si>
  <si>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</si>
  <si>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</si>
  <si>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</si>
  <si>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</si>
  <si>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</si>
  <si>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</si>
  <si>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</si>
  <si>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</si>
  <si>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</si>
  <si>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</si>
  <si>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</si>
  <si>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</si>
  <si>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</si>
  <si>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</si>
  <si>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</si>
  <si>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</si>
  <si>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</si>
  <si>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</si>
  <si>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</si>
  <si>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</si>
  <si>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</si>
  <si>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</si>
  <si>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</si>
  <si>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</si>
  <si>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</si>
  <si>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</si>
  <si>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</si>
  <si>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</si>
  <si>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</si>
  <si>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</si>
  <si>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</si>
  <si>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</si>
  <si>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</si>
  <si>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</si>
  <si>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</si>
  <si>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</si>
  <si>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</si>
  <si>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</si>
  <si>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</si>
  <si>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</si>
  <si>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</si>
  <si>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</si>
  <si>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</si>
  <si>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</si>
  <si>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</si>
  <si>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</si>
  <si>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</si>
  <si>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</si>
  <si>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</si>
  <si>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</si>
  <si>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</si>
  <si>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</si>
  <si>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</si>
  <si>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</si>
  <si>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</si>
  <si>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</si>
  <si>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</si>
  <si>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</si>
  <si>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</si>
  <si>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</si>
  <si>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</si>
  <si>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</si>
  <si>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</si>
  <si>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</si>
  <si>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</si>
  <si>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</si>
  <si>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</si>
  <si>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</si>
  <si>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</si>
  <si>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</si>
  <si>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</si>
  <si>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</si>
  <si>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</si>
  <si>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</si>
  <si>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</si>
  <si>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</si>
  <si>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</si>
  <si>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</si>
  <si>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</si>
  <si>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</si>
  <si>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</si>
  <si>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</si>
  <si>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</si>
  <si>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</si>
  <si>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</si>
  <si>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</si>
  <si>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</si>
  <si>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</si>
  <si>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</si>
  <si>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</si>
  <si>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</si>
  <si>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</si>
  <si>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</si>
  <si>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</si>
  <si>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</si>
  <si>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</si>
  <si>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</si>
  <si>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</si>
  <si>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</si>
  <si>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</si>
  <si>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</si>
  <si>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</si>
  <si>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</si>
  <si>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</si>
  <si>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</si>
  <si>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</si>
  <si>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</si>
  <si>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</si>
  <si>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</si>
  <si>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</si>
  <si>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</si>
  <si>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</si>
  <si>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</si>
  <si>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</si>
  <si>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</si>
  <si>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</si>
  <si>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</si>
  <si>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</si>
  <si>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</si>
  <si>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</si>
  <si>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</si>
  <si>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</si>
  <si>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</si>
  <si>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</si>
  <si>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</si>
  <si>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</si>
  <si>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</si>
  <si>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</si>
  <si>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</si>
  <si>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</si>
  <si>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</si>
  <si>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</si>
  <si>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</si>
  <si>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</si>
  <si>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</si>
  <si>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</si>
  <si>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</si>
  <si>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</si>
  <si>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</si>
  <si>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</si>
  <si>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</si>
  <si>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</si>
  <si>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</si>
  <si>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</si>
  <si>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</si>
  <si>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</si>
  <si>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</si>
  <si>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</si>
  <si>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</si>
  <si>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</si>
  <si>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</si>
  <si>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</si>
  <si>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</si>
  <si>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</si>
  <si>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</si>
  <si>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</si>
  <si>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</si>
  <si>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</si>
  <si>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</si>
  <si>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</si>
  <si>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</si>
  <si>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</si>
  <si>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</si>
  <si>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</si>
  <si>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</si>
  <si>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</si>
  <si>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</si>
  <si>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</si>
  <si>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</si>
  <si>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</si>
  <si>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</si>
  <si>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</si>
  <si>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</si>
  <si>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</si>
  <si>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</si>
  <si>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</si>
  <si>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</si>
  <si>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</si>
  <si>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</si>
  <si>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</si>
  <si>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</si>
  <si>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</si>
  <si>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</si>
  <si>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</si>
  <si>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</si>
  <si>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</si>
  <si>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</si>
  <si>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</si>
  <si>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</si>
  <si>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</si>
  <si>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</si>
  <si>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</si>
  <si>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</si>
  <si>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</si>
  <si>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</si>
  <si>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</si>
  <si>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</si>
  <si>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</si>
  <si>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</si>
  <si>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</si>
  <si>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</si>
  <si>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</si>
  <si>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</si>
  <si>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</si>
  <si>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</si>
  <si>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</si>
  <si>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</si>
  <si>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</si>
  <si>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</si>
  <si>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</si>
  <si>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</si>
  <si>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</si>
  <si>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</si>
  <si>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</si>
  <si>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</si>
  <si>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</si>
  <si>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</si>
  <si>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</si>
  <si>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</si>
  <si>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</si>
  <si>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</si>
  <si>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</si>
  <si>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</si>
  <si>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</si>
  <si>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</si>
  <si>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</si>
  <si>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</si>
  <si>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</si>
  <si>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</si>
  <si>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</si>
  <si>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</si>
  <si>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</si>
  <si>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</si>
  <si>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</si>
  <si>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</si>
  <si>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</si>
  <si>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</si>
  <si>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</si>
  <si>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</si>
  <si>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</si>
  <si>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</si>
  <si>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</si>
  <si>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</si>
  <si>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</si>
  <si>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</si>
  <si>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</si>
  <si>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</si>
  <si>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</si>
  <si>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</si>
  <si>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</si>
  <si>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</si>
  <si>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</si>
  <si>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</si>
  <si>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</si>
  <si>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</si>
  <si>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</si>
  <si>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</si>
  <si>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</si>
  <si>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</si>
  <si>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</si>
  <si>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</si>
  <si>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</si>
  <si>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</si>
  <si>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</si>
  <si>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</si>
  <si>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</si>
  <si>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</si>
  <si>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</si>
  <si>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</si>
  <si>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</si>
  <si>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</si>
  <si>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</si>
  <si>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</si>
  <si>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</si>
  <si>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</si>
  <si>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</si>
  <si>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</si>
  <si>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</si>
  <si>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</si>
  <si>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</si>
  <si>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</si>
  <si>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</si>
  <si>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</si>
  <si>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</si>
  <si>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</si>
  <si>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</si>
  <si>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</si>
  <si>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</si>
  <si>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</si>
  <si>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</si>
  <si>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</si>
  <si>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</si>
  <si>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</si>
  <si>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</si>
  <si>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</si>
  <si>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</si>
  <si>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</si>
  <si>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</si>
  <si>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</si>
  <si>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</si>
  <si>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</si>
  <si>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</si>
  <si>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</si>
  <si>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</si>
  <si>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</si>
  <si>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</si>
  <si>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</si>
  <si>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</si>
  <si>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</si>
  <si>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</si>
  <si>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</si>
  <si>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</si>
  <si>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</si>
  <si>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</si>
  <si>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</si>
  <si>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</si>
  <si>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</si>
  <si>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</si>
  <si>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</si>
  <si>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</si>
  <si>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</si>
  <si>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</si>
  <si>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</si>
  <si>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</si>
  <si>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</si>
  <si>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</si>
  <si>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</si>
  <si>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</si>
  <si>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</si>
  <si>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</si>
  <si>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</si>
  <si>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</si>
  <si>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</si>
  <si>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</si>
  <si>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</si>
  <si>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</si>
  <si>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</si>
  <si>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</si>
  <si>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</si>
  <si>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</si>
  <si>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</si>
  <si>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</si>
  <si>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</si>
  <si>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</si>
  <si>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</si>
  <si>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</si>
  <si>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</si>
  <si>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</si>
  <si>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</si>
  <si>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</si>
  <si>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</si>
  <si>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</si>
  <si>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</si>
  <si>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</si>
  <si>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</si>
  <si>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</si>
  <si>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</si>
  <si>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</si>
  <si>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</si>
  <si>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</si>
  <si>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</si>
  <si>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</si>
  <si>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</si>
  <si>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</si>
  <si>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</si>
  <si>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</si>
  <si>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</si>
  <si>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</si>
  <si>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</si>
  <si>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</si>
  <si>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</si>
  <si>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</si>
  <si>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</si>
  <si>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</si>
  <si>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</si>
  <si>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</si>
  <si>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</si>
  <si>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</si>
  <si>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</si>
  <si>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</si>
  <si>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</si>
  <si>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</si>
  <si>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</si>
  <si>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</si>
  <si>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</si>
  <si>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</si>
  <si>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</si>
  <si>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</si>
  <si>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</si>
  <si>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</si>
  <si>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</si>
  <si>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</si>
  <si>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</si>
  <si>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</si>
  <si>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</si>
  <si>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</si>
  <si>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</si>
  <si>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</si>
  <si>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</si>
  <si>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</si>
  <si>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</si>
  <si>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</si>
  <si>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</si>
  <si>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</si>
  <si>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</si>
  <si>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</si>
  <si>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</si>
  <si>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</si>
  <si>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</si>
  <si>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</si>
  <si>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</si>
  <si>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</si>
  <si>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</si>
  <si>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</si>
  <si>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</si>
  <si>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</si>
  <si>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</si>
  <si>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</si>
  <si>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</si>
  <si>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</si>
  <si>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</si>
  <si>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</si>
  <si>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</si>
  <si>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</si>
  <si>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</si>
  <si>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</si>
  <si>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</si>
  <si>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</si>
  <si>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</si>
  <si>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</si>
  <si>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</si>
  <si>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</si>
  <si>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</si>
  <si>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</si>
  <si>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</si>
  <si>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</si>
  <si>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</si>
  <si>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</si>
  <si>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</si>
  <si>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</si>
  <si>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</si>
  <si>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</si>
  <si>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</si>
  <si>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</si>
  <si>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</si>
  <si>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</si>
  <si>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</si>
  <si>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</si>
  <si>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</si>
  <si>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</si>
  <si>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</si>
  <si>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</si>
  <si>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</si>
  <si>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</si>
  <si>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</si>
  <si>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</si>
  <si>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</si>
  <si>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</si>
  <si>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</si>
  <si>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</si>
  <si>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</si>
  <si>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</si>
  <si>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</si>
  <si>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</si>
  <si>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</si>
  <si>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</si>
  <si>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</si>
  <si>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</si>
  <si>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</si>
  <si>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</si>
  <si>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</si>
  <si>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</si>
  <si>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</si>
  <si>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</si>
  <si>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</si>
  <si>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</si>
  <si>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</si>
  <si>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</si>
  <si>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</si>
  <si>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</si>
  <si>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</si>
  <si>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</si>
  <si>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</si>
  <si>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</si>
  <si>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</si>
  <si>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</si>
  <si>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</si>
  <si>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</si>
  <si>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</si>
  <si>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</si>
  <si>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</si>
  <si>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</si>
  <si>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</si>
  <si>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</si>
  <si>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</si>
  <si>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</si>
  <si>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</si>
  <si>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</si>
  <si>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</si>
  <si>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</si>
  <si>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</si>
  <si>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</si>
  <si>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</si>
  <si>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</si>
  <si>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</si>
  <si>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</si>
  <si>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</si>
  <si>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</si>
  <si>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</si>
  <si>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</si>
  <si>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</si>
  <si>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</si>
  <si>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</si>
  <si>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</si>
  <si>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</si>
  <si>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</si>
  <si>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</si>
  <si>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</si>
  <si>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</si>
  <si>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</si>
  <si>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</si>
  <si>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</si>
  <si>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</si>
  <si>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</si>
  <si>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</si>
  <si>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</si>
  <si>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</si>
  <si>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</si>
  <si>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</si>
  <si>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</si>
  <si>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</si>
  <si>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</si>
  <si>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</si>
  <si>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</si>
  <si>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</si>
  <si>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</si>
  <si>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</si>
  <si>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</si>
  <si>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</si>
  <si>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</si>
  <si>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</si>
  <si>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</si>
  <si>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</si>
  <si>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</si>
  <si>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</si>
  <si>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</si>
  <si>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</si>
  <si>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</si>
  <si>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</si>
  <si>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</si>
  <si>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</si>
  <si>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</si>
  <si>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</si>
  <si>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</si>
  <si>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</si>
  <si>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</si>
  <si>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</si>
  <si>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</si>
  <si>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</si>
  <si>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</si>
  <si>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</si>
  <si>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</si>
  <si>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</si>
  <si>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</si>
  <si>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</si>
  <si>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</si>
  <si>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</si>
  <si>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</si>
  <si>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</si>
  <si>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</si>
  <si>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</si>
  <si>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</si>
  <si>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</si>
  <si>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</si>
  <si>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</si>
  <si>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</si>
  <si>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</si>
  <si>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</si>
  <si>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</si>
  <si>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</si>
  <si>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</si>
  <si>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</si>
  <si>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</si>
  <si>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</si>
  <si>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</si>
  <si>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</si>
  <si>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</si>
  <si>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</si>
  <si>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</si>
  <si>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</si>
  <si>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</si>
  <si>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</si>
  <si>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</si>
  <si>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</si>
  <si>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</si>
  <si>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</si>
  <si>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</si>
  <si>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</si>
  <si>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</si>
  <si>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</si>
  <si>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</si>
  <si>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</si>
  <si>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</si>
  <si>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</si>
  <si>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</si>
  <si>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</si>
  <si>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</si>
  <si>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</si>
  <si>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</si>
  <si>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</si>
  <si>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</si>
  <si>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</si>
  <si>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</si>
  <si>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</si>
  <si>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</si>
  <si>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</si>
  <si>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</si>
  <si>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</si>
  <si>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</si>
  <si>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</si>
  <si>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</si>
  <si>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</si>
  <si>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</si>
  <si>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</si>
  <si>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</si>
  <si>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</si>
  <si>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</si>
  <si>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</si>
  <si>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</si>
  <si>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</si>
  <si>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</si>
  <si>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</si>
  <si>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</si>
  <si>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</si>
  <si>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</si>
  <si>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</si>
  <si>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</si>
  <si>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</si>
  <si>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</si>
  <si>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</si>
  <si>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</si>
  <si>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</si>
  <si>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</si>
  <si>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</si>
  <si>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</si>
  <si>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</si>
  <si>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</si>
  <si>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</si>
  <si>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</si>
  <si>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</si>
  <si>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</si>
  <si>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</si>
  <si>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</si>
  <si>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</si>
  <si>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</si>
  <si>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</si>
  <si>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</si>
  <si>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</si>
  <si>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</si>
  <si>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</si>
  <si>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</si>
  <si>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</si>
  <si>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</si>
  <si>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</si>
  <si>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</si>
  <si>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</si>
  <si>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</si>
  <si>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</si>
  <si>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</si>
  <si>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</si>
  <si>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</si>
  <si>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</si>
  <si>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</si>
  <si>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</si>
  <si>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</si>
  <si>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</si>
  <si>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</si>
  <si>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</si>
  <si>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</si>
  <si>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</si>
  <si>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</si>
  <si>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</si>
  <si>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</si>
  <si>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</si>
  <si>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</si>
  <si>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</si>
  <si>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</si>
  <si>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</si>
  <si>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</si>
  <si>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</si>
  <si>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</si>
  <si>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</si>
  <si>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</si>
  <si>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</si>
  <si>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</si>
  <si>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</si>
  <si>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</si>
  <si>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</si>
  <si>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</si>
  <si>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</si>
  <si>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</si>
  <si>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</si>
  <si>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</si>
  <si>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</si>
  <si>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</si>
  <si>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</si>
  <si>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</si>
  <si>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</si>
  <si>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</si>
  <si>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</si>
  <si>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</si>
  <si>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</si>
  <si>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</si>
  <si>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</si>
  <si>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</si>
  <si>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</si>
  <si>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</si>
  <si>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</si>
  <si>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</si>
  <si>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</si>
  <si>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</si>
  <si>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</si>
  <si>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</si>
  <si>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</si>
  <si>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</si>
  <si>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</si>
  <si>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</si>
  <si>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</si>
  <si>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</si>
  <si>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</si>
  <si>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</si>
  <si>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</si>
  <si>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</si>
  <si>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</si>
  <si>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</si>
  <si>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</si>
  <si>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</si>
  <si>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</si>
  <si>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</si>
  <si>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</si>
  <si>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</si>
  <si>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</si>
  <si>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</si>
  <si>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</si>
  <si>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</si>
  <si>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</si>
  <si>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</si>
  <si>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</si>
  <si>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</si>
  <si>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</si>
  <si>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</si>
  <si>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</si>
  <si>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</si>
  <si>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</si>
  <si>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</si>
  <si>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</si>
  <si>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</si>
  <si>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</si>
  <si>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</si>
  <si>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</si>
  <si>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</si>
  <si>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</si>
  <si>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</si>
  <si>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</si>
  <si>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</si>
  <si>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</si>
  <si>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</si>
  <si>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</si>
  <si>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</si>
  <si>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</si>
  <si>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</si>
  <si>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</si>
  <si>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</si>
  <si>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</si>
  <si>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</si>
  <si>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</si>
  <si>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</si>
  <si>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</si>
  <si>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</si>
  <si>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</si>
  <si>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</si>
  <si>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</si>
  <si>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</si>
  <si>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</si>
  <si>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</si>
  <si>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</si>
  <si>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</si>
  <si>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</si>
  <si>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</si>
  <si>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</si>
  <si>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</si>
  <si>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</si>
  <si>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</si>
  <si>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</si>
  <si>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</si>
  <si>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</si>
  <si>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</si>
  <si>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</si>
  <si>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</si>
  <si>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</si>
  <si>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</si>
  <si>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</si>
  <si>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</si>
  <si>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</si>
  <si>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</si>
  <si>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</si>
  <si>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</si>
  <si>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</si>
  <si>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</si>
  <si>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</si>
  <si>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</si>
  <si>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</si>
  <si>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</si>
  <si>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</si>
  <si>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</si>
  <si>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</si>
  <si>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</si>
  <si>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</si>
  <si>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</si>
  <si>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</si>
  <si>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</si>
  <si>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</si>
  <si>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</si>
  <si>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</si>
  <si>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</si>
  <si>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</si>
  <si>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</si>
  <si>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</si>
  <si>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</si>
  <si>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</si>
  <si>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</si>
  <si>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</si>
  <si>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</si>
  <si>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</si>
  <si>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</si>
  <si>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</si>
  <si>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</si>
  <si>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</si>
  <si>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</si>
  <si>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</si>
  <si>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</si>
  <si>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</si>
  <si>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</si>
  <si>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</si>
  <si>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</si>
  <si>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</si>
  <si>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</si>
  <si>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</si>
  <si>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</si>
  <si>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</si>
  <si>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</si>
  <si>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</si>
  <si>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</si>
  <si>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</si>
  <si>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</si>
  <si>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</si>
  <si>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</si>
  <si>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</si>
  <si>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</si>
  <si>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</si>
  <si>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</si>
  <si>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</si>
  <si>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</si>
  <si>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</si>
  <si>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</si>
  <si>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</si>
  <si>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</si>
  <si>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</si>
  <si>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</si>
  <si>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</si>
  <si>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</si>
  <si>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</si>
  <si>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</si>
  <si>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</si>
  <si>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</si>
  <si>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</si>
  <si>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</si>
  <si>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</si>
  <si>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</si>
  <si>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</si>
  <si>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</si>
  <si>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</si>
  <si>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</si>
  <si>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</si>
  <si>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</si>
  <si>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</si>
  <si>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</si>
  <si>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</si>
  <si>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</si>
  <si>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</si>
  <si>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</si>
  <si>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</si>
  <si>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</si>
  <si>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</si>
  <si>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</si>
  <si>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</si>
  <si>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</si>
  <si>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</si>
  <si>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</si>
  <si>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</si>
  <si>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</si>
  <si>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</si>
  <si>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</si>
  <si>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</si>
  <si>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</si>
  <si>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</si>
  <si>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</si>
  <si>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</si>
  <si>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</si>
  <si>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</si>
  <si>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</si>
  <si>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</si>
  <si>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</si>
  <si>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</si>
  <si>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</si>
  <si>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</si>
  <si>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</si>
  <si>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</si>
  <si>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</si>
  <si>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</si>
  <si>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</si>
  <si>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</si>
  <si>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</si>
  <si>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</si>
  <si>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</si>
  <si>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</si>
  <si>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</si>
  <si>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</si>
  <si>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</si>
  <si>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</si>
  <si>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</si>
  <si>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</si>
  <si>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</si>
  <si>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</si>
  <si>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</si>
  <si>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</si>
  <si>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</si>
  <si>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</si>
  <si>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</si>
  <si>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</si>
  <si>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</si>
  <si>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</si>
  <si>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</si>
  <si>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</si>
  <si>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</si>
  <si>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</si>
  <si>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</si>
  <si>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</si>
  <si>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</si>
  <si>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</si>
  <si>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</si>
  <si>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</si>
  <si>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</si>
  <si>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</si>
  <si>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</si>
  <si>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</si>
  <si>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</si>
  <si>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</si>
  <si>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</si>
  <si>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</si>
  <si>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</si>
  <si>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</si>
  <si>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</si>
  <si>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</si>
  <si>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</si>
  <si>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</si>
  <si>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</si>
  <si>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</si>
  <si>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</si>
  <si>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</si>
  <si>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</si>
  <si>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</si>
  <si>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</si>
  <si>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</si>
  <si>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</si>
  <si>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</si>
  <si>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</si>
  <si>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</si>
  <si>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</si>
  <si>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</si>
  <si>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</si>
  <si>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</si>
  <si>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</si>
  <si>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</si>
  <si>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</si>
  <si>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</si>
  <si>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</si>
  <si>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</si>
  <si>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</si>
  <si>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</si>
  <si>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</si>
  <si>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</si>
  <si>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</si>
  <si>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</si>
  <si>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</si>
  <si>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</si>
  <si>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</si>
  <si>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</si>
  <si>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</si>
  <si>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</si>
  <si>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</si>
  <si>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</si>
  <si>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</si>
  <si>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</si>
  <si>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</si>
  <si>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</si>
  <si>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</si>
  <si>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</si>
  <si>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</si>
  <si>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</si>
  <si>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</si>
  <si>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</si>
  <si>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</si>
  <si>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</si>
  <si>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</si>
  <si>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</si>
  <si>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</si>
  <si>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</si>
  <si>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</si>
  <si>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</si>
  <si>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</si>
  <si>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</si>
  <si>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</si>
  <si>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</si>
  <si>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</si>
  <si>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</si>
  <si>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</si>
  <si>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</si>
  <si>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</si>
  <si>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</si>
  <si>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</si>
  <si>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</si>
  <si>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</si>
  <si>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</si>
  <si>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</si>
  <si>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</si>
  <si>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</si>
  <si>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</si>
  <si>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</si>
  <si>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</si>
  <si>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</si>
  <si>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</si>
  <si>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</si>
  <si>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</si>
  <si>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</si>
  <si>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</si>
  <si>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</si>
  <si>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</si>
  <si>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</si>
  <si>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</si>
  <si>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</si>
  <si>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</si>
  <si>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</si>
  <si>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</si>
  <si>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</si>
  <si>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</si>
  <si>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</si>
  <si>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</si>
  <si>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</si>
  <si>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</si>
  <si>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</si>
  <si>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</si>
  <si>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</si>
  <si>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</si>
  <si>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</si>
  <si>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</si>
  <si>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</si>
  <si>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</si>
  <si>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</si>
  <si>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</si>
  <si>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</si>
  <si>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</si>
  <si>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</si>
  <si>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</si>
  <si>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</si>
  <si>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</si>
  <si>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</si>
  <si>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</si>
  <si>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</si>
  <si>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</si>
  <si>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</si>
  <si>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</si>
  <si>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</si>
  <si>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</si>
  <si>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</si>
  <si>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</si>
  <si>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</si>
  <si>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</si>
  <si>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</si>
  <si>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</si>
  <si>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</si>
  <si>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</si>
  <si>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</si>
  <si>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</si>
  <si>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</si>
  <si>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</si>
  <si>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</si>
  <si>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</si>
  <si>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</si>
  <si>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</si>
  <si>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</si>
  <si>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</si>
  <si>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</si>
  <si>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</si>
  <si>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</si>
  <si>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</si>
  <si>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</si>
  <si>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</si>
  <si>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</si>
  <si>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</si>
  <si>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</si>
  <si>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</si>
  <si>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</si>
  <si>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</si>
  <si>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</si>
  <si>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</si>
  <si>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</si>
  <si>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</si>
  <si>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</si>
  <si>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</si>
  <si>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</si>
  <si>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</si>
  <si>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</si>
  <si>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</si>
  <si>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</si>
  <si>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</si>
  <si>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</si>
  <si>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</si>
  <si>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</si>
  <si>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</si>
  <si>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</si>
  <si>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</si>
  <si>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</si>
  <si>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</si>
  <si>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</si>
  <si>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</si>
  <si>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</si>
  <si>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</si>
  <si>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</si>
  <si>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</si>
  <si>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</si>
  <si>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</si>
  <si>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</si>
  <si>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</si>
  <si>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</si>
  <si>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</si>
  <si>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</si>
  <si>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</si>
  <si>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</si>
  <si>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</si>
  <si>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</si>
  <si>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</si>
  <si>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</si>
  <si>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</si>
  <si>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</si>
  <si>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</si>
  <si>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</si>
  <si>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</si>
  <si>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</si>
  <si>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</si>
  <si>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</si>
  <si>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</si>
  <si>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</si>
  <si>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</si>
  <si>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</si>
  <si>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</si>
  <si>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</si>
  <si>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</si>
  <si>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</si>
  <si>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</si>
  <si>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</si>
  <si>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</si>
  <si>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</si>
  <si>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</si>
  <si>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</si>
  <si>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</si>
  <si>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</si>
  <si>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</si>
  <si>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</si>
  <si>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</si>
  <si>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</si>
  <si>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</si>
  <si>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</si>
  <si>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</si>
  <si>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</si>
  <si>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</si>
  <si>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</si>
  <si>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</si>
  <si>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</si>
  <si>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</si>
  <si>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</si>
  <si>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</si>
  <si>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</si>
  <si>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</si>
  <si>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</si>
  <si>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</si>
  <si>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</si>
  <si>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</si>
  <si>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</si>
  <si>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</si>
  <si>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</si>
  <si>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</si>
  <si>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</si>
  <si>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</si>
  <si>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</si>
  <si>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</si>
  <si>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</si>
  <si>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</si>
  <si>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</si>
  <si>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</si>
  <si>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</si>
  <si>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</si>
  <si>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</si>
  <si>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</si>
  <si>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</si>
  <si>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</si>
  <si>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</si>
  <si>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</si>
  <si>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</si>
  <si>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</si>
  <si>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</si>
  <si>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</si>
  <si>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</si>
  <si>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</si>
  <si>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</si>
  <si>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</si>
  <si>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</si>
  <si>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</si>
  <si>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</si>
  <si>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</si>
  <si>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</si>
  <si>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</si>
  <si>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</si>
  <si>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</si>
  <si>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</si>
  <si>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</si>
  <si>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</si>
  <si>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</si>
  <si>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</si>
  <si>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</si>
  <si>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</si>
  <si>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</si>
  <si>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</si>
  <si>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</si>
  <si>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</si>
  <si>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</si>
  <si>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</si>
  <si>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</si>
  <si>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</si>
  <si>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</si>
  <si>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</si>
  <si>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</si>
  <si>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</si>
  <si>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</si>
  <si>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</si>
  <si>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</si>
  <si>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</si>
  <si>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</si>
  <si>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</si>
  <si>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</si>
  <si>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</si>
  <si>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</si>
  <si>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</si>
  <si>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</si>
  <si>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</si>
  <si>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</si>
  <si>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</si>
  <si>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</si>
  <si>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</si>
  <si>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</si>
  <si>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</si>
  <si>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</si>
  <si>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</si>
  <si>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</si>
  <si>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</si>
  <si>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</si>
  <si>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</si>
  <si>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</si>
  <si>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</si>
  <si>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</si>
  <si>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</si>
  <si>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</si>
  <si>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</si>
  <si>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</si>
  <si>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</si>
  <si>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</si>
  <si>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</si>
  <si>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</si>
  <si>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</si>
  <si>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</si>
  <si>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</si>
  <si>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</si>
  <si>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</si>
  <si>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</si>
  <si>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</si>
  <si>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</si>
  <si>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</si>
  <si>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</si>
  <si>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</si>
  <si>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</si>
  <si>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</si>
  <si>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</si>
  <si>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</si>
  <si>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</si>
  <si>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</si>
  <si>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</si>
  <si>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</si>
  <si>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</si>
  <si>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</si>
  <si>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</si>
  <si>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</si>
  <si>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</si>
  <si>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</si>
  <si>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</si>
  <si>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</si>
  <si>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</si>
  <si>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</si>
  <si>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</si>
  <si>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</si>
  <si>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</si>
  <si>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</si>
  <si>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</si>
  <si>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</si>
  <si>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</si>
  <si>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</si>
  <si>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</si>
  <si>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</si>
  <si>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</si>
  <si>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</si>
  <si>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</si>
  <si>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</si>
  <si>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</si>
  <si>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</si>
  <si>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</si>
  <si>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</si>
  <si>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</si>
  <si>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</si>
  <si>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</si>
  <si>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</si>
  <si>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</si>
  <si>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</si>
  <si>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</si>
  <si>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</si>
  <si>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</si>
  <si>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</si>
  <si>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</si>
  <si>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</si>
  <si>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</si>
  <si>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</si>
  <si>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</si>
  <si>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</si>
  <si>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</si>
  <si>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</si>
  <si>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</si>
  <si>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</si>
  <si>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</si>
  <si>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</si>
  <si>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</si>
  <si>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</si>
  <si>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</si>
  <si>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</si>
  <si>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</si>
  <si>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</si>
  <si>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</si>
  <si>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</si>
  <si>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</si>
  <si>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</si>
  <si>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</si>
  <si>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</si>
  <si>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</si>
  <si>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</si>
  <si>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</si>
  <si>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</si>
  <si>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</si>
  <si>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</si>
  <si>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</si>
  <si>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</si>
  <si>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</si>
  <si>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</si>
  <si>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</si>
  <si>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</si>
  <si>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</si>
  <si>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</si>
  <si>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</si>
  <si>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</si>
  <si>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</si>
  <si>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</si>
  <si>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</si>
  <si>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</si>
  <si>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</si>
  <si>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</si>
  <si>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</si>
  <si>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</si>
  <si>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</si>
  <si>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</si>
  <si>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</si>
  <si>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</si>
  <si>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</si>
  <si>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</si>
  <si>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</si>
  <si>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</si>
  <si>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</si>
  <si>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</si>
  <si>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</si>
  <si>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</si>
  <si>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</si>
  <si>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</si>
  <si>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</si>
  <si>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</si>
  <si>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</si>
  <si>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</si>
  <si>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</si>
  <si>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</si>
  <si>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</si>
  <si>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</si>
  <si>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</si>
  <si>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</si>
  <si>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</si>
  <si>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</si>
  <si>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</si>
  <si>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</si>
  <si>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</si>
  <si>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</si>
  <si>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</si>
  <si>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</si>
  <si>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</si>
  <si>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</si>
  <si>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</si>
  <si>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</si>
  <si>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</si>
  <si>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</si>
  <si>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</si>
  <si>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</si>
  <si>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</si>
  <si>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</si>
  <si>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</si>
  <si>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</si>
  <si>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</si>
  <si>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</si>
  <si>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</si>
  <si>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</si>
  <si>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</si>
  <si>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</si>
  <si>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</si>
  <si>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</si>
  <si>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</si>
  <si>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</si>
  <si>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</si>
  <si>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</si>
  <si>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</si>
  <si>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</si>
  <si>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</si>
  <si>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</si>
  <si>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</si>
  <si>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</si>
  <si>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</si>
  <si>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</si>
  <si>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</si>
  <si>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</si>
  <si>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</si>
  <si>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</si>
  <si>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</si>
  <si>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</si>
  <si>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</si>
  <si>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</si>
  <si>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</si>
  <si>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</si>
  <si>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</si>
  <si>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</si>
  <si>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</si>
  <si>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</si>
  <si>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</si>
  <si>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</si>
  <si>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</si>
  <si>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</si>
  <si>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</si>
  <si>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</si>
  <si>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</si>
  <si>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</si>
  <si>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</si>
  <si>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</si>
  <si>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</si>
  <si>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</si>
  <si>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</si>
  <si>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</si>
  <si>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</si>
  <si>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</si>
  <si>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</si>
  <si>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</si>
  <si>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</si>
  <si>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</si>
  <si>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</si>
  <si>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</si>
  <si>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</si>
  <si>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</si>
  <si>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</si>
  <si>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</si>
  <si>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</si>
  <si>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</si>
  <si>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</si>
  <si>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</si>
  <si>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</si>
  <si>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</si>
  <si>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</si>
  <si>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</si>
  <si>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</si>
  <si>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</si>
  <si>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</si>
  <si>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</si>
  <si>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</si>
  <si>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</si>
  <si>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</si>
  <si>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</si>
  <si>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</si>
  <si>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</si>
  <si>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</si>
  <si>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</si>
  <si>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</si>
  <si>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</si>
  <si>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</si>
  <si>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</si>
  <si>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</si>
  <si>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</si>
  <si>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</si>
  <si>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</si>
  <si>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</si>
  <si>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</si>
  <si>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</si>
  <si>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</si>
  <si>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</si>
  <si>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</si>
  <si>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</si>
  <si>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</si>
  <si>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</si>
  <si>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</si>
  <si>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</si>
  <si>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</si>
  <si>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</si>
  <si>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</si>
  <si>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</si>
  <si>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</si>
  <si>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</si>
  <si>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</si>
  <si>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</si>
  <si>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</si>
  <si>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</si>
  <si>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</si>
  <si>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</si>
  <si>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</si>
  <si>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</si>
  <si>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</si>
  <si>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</si>
  <si>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</si>
  <si>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</si>
  <si>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</si>
  <si>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</si>
  <si>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</si>
  <si>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</si>
  <si>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</si>
  <si>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</si>
  <si>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</si>
  <si>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</si>
  <si>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</si>
  <si>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</si>
  <si>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</si>
  <si>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</si>
  <si>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</si>
  <si>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</si>
  <si>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</si>
  <si>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</si>
  <si>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</si>
  <si>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</si>
  <si>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</si>
  <si>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</si>
  <si>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</si>
  <si>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</si>
  <si>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</si>
  <si>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</si>
  <si>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</si>
  <si>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</si>
  <si>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</si>
  <si>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</si>
  <si>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</si>
  <si>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</si>
  <si>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</si>
  <si>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</si>
  <si>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</si>
  <si>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</si>
  <si>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</si>
  <si>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</si>
  <si>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</si>
  <si>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</si>
  <si>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</si>
  <si>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</si>
  <si>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</si>
  <si>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</si>
  <si>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</si>
  <si>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</si>
  <si>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</si>
  <si>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</si>
  <si>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</si>
  <si>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</si>
  <si>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</si>
  <si>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</si>
  <si>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</si>
  <si>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</si>
  <si>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</si>
  <si>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</si>
  <si>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</si>
  <si>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</si>
  <si>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</si>
  <si>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</si>
  <si>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</si>
  <si>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</si>
  <si>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</si>
  <si>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</si>
  <si>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</si>
  <si>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</si>
  <si>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</si>
  <si>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</si>
  <si>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</si>
  <si>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</si>
  <si>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</si>
  <si>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</si>
  <si>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</si>
  <si>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</si>
  <si>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</si>
  <si>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</si>
  <si>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</si>
  <si>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</si>
  <si>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</si>
  <si>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</si>
  <si>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</si>
  <si>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</si>
  <si>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</si>
  <si>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</si>
  <si>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</si>
  <si>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</si>
  <si>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</si>
  <si>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</si>
  <si>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</si>
  <si>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</si>
  <si>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</si>
  <si>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</si>
  <si>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</si>
  <si>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</si>
  <si>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</si>
  <si>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</si>
  <si>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</si>
  <si>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</si>
  <si>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</si>
  <si>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</si>
  <si>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</si>
  <si>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</si>
  <si>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</si>
  <si>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</si>
  <si>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</si>
  <si>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</si>
  <si>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</si>
  <si>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</si>
  <si>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</si>
  <si>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</si>
  <si>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</si>
  <si>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</si>
  <si>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</si>
  <si>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</si>
  <si>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</si>
  <si>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</si>
  <si>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</si>
  <si>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</si>
  <si>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</si>
  <si>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</si>
  <si>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</si>
  <si>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</si>
  <si>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</si>
  <si>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</si>
  <si>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</si>
  <si>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</si>
  <si>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</si>
  <si>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</si>
  <si>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</si>
  <si>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</si>
  <si>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</si>
  <si>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</si>
  <si>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</si>
  <si>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</si>
  <si>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</si>
  <si>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</si>
  <si>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</si>
  <si>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</si>
  <si>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</si>
  <si>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</si>
  <si>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</si>
  <si>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</si>
  <si>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</si>
  <si>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</si>
  <si>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</si>
  <si>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</si>
  <si>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</si>
  <si>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</si>
  <si>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</si>
  <si>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</si>
  <si>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</si>
  <si>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</si>
  <si>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</si>
  <si>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</si>
  <si>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</si>
  <si>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</si>
  <si>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</si>
  <si>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</si>
  <si>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</si>
  <si>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</si>
  <si>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</si>
  <si>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</si>
  <si>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</si>
  <si>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</si>
  <si>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</si>
  <si>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</si>
  <si>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</si>
  <si>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</si>
  <si>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</si>
  <si>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</si>
  <si>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</si>
  <si>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</si>
  <si>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</si>
  <si>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</si>
  <si>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</si>
  <si>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</si>
  <si>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</si>
  <si>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</si>
  <si>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</si>
  <si>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</si>
  <si>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</si>
  <si>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</si>
  <si>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</si>
  <si>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</si>
  <si>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</si>
  <si>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</si>
  <si>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</si>
  <si>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</si>
  <si>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</si>
  <si>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</si>
  <si>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</si>
  <si>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</si>
  <si>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</si>
  <si>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</si>
  <si>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</si>
  <si>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</si>
  <si>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</si>
  <si>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</si>
  <si>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</si>
  <si>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</si>
  <si>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</si>
  <si>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</si>
  <si>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</si>
  <si>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</si>
  <si>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</si>
  <si>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</si>
  <si>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</si>
  <si>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</si>
  <si>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</si>
  <si>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</si>
  <si>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</si>
  <si>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</si>
  <si>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</si>
  <si>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</si>
  <si>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</si>
  <si>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</si>
  <si>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</si>
  <si>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</si>
  <si>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</si>
  <si>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</si>
  <si>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</si>
  <si>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</si>
  <si>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</si>
  <si>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</si>
  <si>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</si>
  <si>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</si>
  <si>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</si>
  <si>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</si>
  <si>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</si>
  <si>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</si>
  <si>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</si>
  <si>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</si>
  <si>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</si>
  <si>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</si>
  <si>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</si>
  <si>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</si>
  <si>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</si>
  <si>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</si>
  <si>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</si>
  <si>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</si>
  <si>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</si>
  <si>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</si>
  <si>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</si>
  <si>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</si>
  <si>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</si>
  <si>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</si>
  <si>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</si>
  <si>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</si>
  <si>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</si>
  <si>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</si>
  <si>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</si>
  <si>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</si>
  <si>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</si>
  <si>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</si>
  <si>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</si>
  <si>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</si>
  <si>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</si>
  <si>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</si>
  <si>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</si>
  <si>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</si>
  <si>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</si>
  <si>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</si>
  <si>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</si>
  <si>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</si>
  <si>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</si>
  <si>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</si>
  <si>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</si>
  <si>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</si>
  <si>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</si>
  <si>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</si>
  <si>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</si>
  <si>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</si>
  <si>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</si>
  <si>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</si>
  <si>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</si>
  <si>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</si>
  <si>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</si>
  <si>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</si>
  <si>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</si>
  <si>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</si>
  <si>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</si>
  <si>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</si>
  <si>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</si>
  <si>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</si>
  <si>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</si>
  <si>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</si>
  <si>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</si>
  <si>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</si>
  <si>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</si>
  <si>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</si>
  <si>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</si>
  <si>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</si>
  <si>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</si>
  <si>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</si>
  <si>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</si>
  <si>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</si>
  <si>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</si>
  <si>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</si>
  <si>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</si>
  <si>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</si>
  <si>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</si>
  <si>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</si>
  <si>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</si>
  <si>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</si>
  <si>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</si>
  <si>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</si>
  <si>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</si>
  <si>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</si>
  <si>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</si>
  <si>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</si>
  <si>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</si>
  <si>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</si>
  <si>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</si>
  <si>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</si>
  <si>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</si>
  <si>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</si>
  <si>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</si>
  <si>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</si>
  <si>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</si>
  <si>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</si>
  <si>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</si>
  <si>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</si>
  <si>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</si>
  <si>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</si>
  <si>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</si>
  <si>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</si>
  <si>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</si>
  <si>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</si>
  <si>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</si>
  <si>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</si>
  <si>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</si>
  <si>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</si>
  <si>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</si>
  <si>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</si>
  <si>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</si>
  <si>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</si>
  <si>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</si>
  <si>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</si>
  <si>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</si>
  <si>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</si>
  <si>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</si>
  <si>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</si>
  <si>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</si>
  <si>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</si>
  <si>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</si>
  <si>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</si>
  <si>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</si>
  <si>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</si>
  <si>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</si>
  <si>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</si>
  <si>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</si>
  <si>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</si>
  <si>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</si>
  <si>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</si>
  <si>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</si>
  <si>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</si>
  <si>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</si>
  <si>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</si>
  <si>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</si>
  <si>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</si>
  <si>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</si>
  <si>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</si>
  <si>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</si>
  <si>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</si>
  <si>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</si>
  <si>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</si>
  <si>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</si>
  <si>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</si>
  <si>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</si>
  <si>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</si>
  <si>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</si>
  <si>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</si>
  <si>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</si>
  <si>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</si>
  <si>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</si>
  <si>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</si>
  <si>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</si>
  <si>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</si>
  <si>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</si>
  <si>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</si>
  <si>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</si>
  <si>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</si>
  <si>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</si>
  <si>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</si>
  <si>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</si>
  <si>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</si>
  <si>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</si>
  <si>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</si>
  <si>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</si>
  <si>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</si>
  <si>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</si>
  <si>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</si>
  <si>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</si>
  <si>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</si>
  <si>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</si>
  <si>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</si>
  <si>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</si>
  <si>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</si>
  <si>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</si>
  <si>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</si>
  <si>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</si>
  <si>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</si>
  <si>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</si>
  <si>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</si>
  <si>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</si>
  <si>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</si>
  <si>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</si>
  <si>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</si>
  <si>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</si>
  <si>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</si>
  <si>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</si>
  <si>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</si>
  <si>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</si>
  <si>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</si>
  <si>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</si>
  <si>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</si>
  <si>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</si>
  <si>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</si>
  <si>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</si>
  <si>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</si>
  <si>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</si>
  <si>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</si>
  <si>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</si>
  <si>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</si>
  <si>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</si>
  <si>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</si>
  <si>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</si>
  <si>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</si>
  <si>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</si>
  <si>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</si>
  <si>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</si>
  <si>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</si>
  <si>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</si>
  <si>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</si>
  <si>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</si>
  <si>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</si>
  <si>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</si>
  <si>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</si>
  <si>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</si>
  <si>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</si>
  <si>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</si>
  <si>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</si>
  <si>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</si>
  <si>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</si>
  <si>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</si>
  <si>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</si>
  <si>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</si>
  <si>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</si>
  <si>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</si>
  <si>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</si>
  <si>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</si>
  <si>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</si>
  <si>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</si>
  <si>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</si>
  <si>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</si>
  <si>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</si>
  <si>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</si>
  <si>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</si>
  <si>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</si>
  <si>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</si>
  <si>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</si>
  <si>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</si>
  <si>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</si>
  <si>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</si>
  <si>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</si>
  <si>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</si>
  <si>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</si>
  <si>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</si>
  <si>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</si>
  <si>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</si>
  <si>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</si>
  <si>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</si>
  <si>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</si>
  <si>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</si>
  <si>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</si>
  <si>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</si>
  <si>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</si>
  <si>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</si>
  <si>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</si>
  <si>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</si>
  <si>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</si>
  <si>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</si>
  <si>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</si>
  <si>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</si>
  <si>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</si>
  <si>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</si>
  <si>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</si>
  <si>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</si>
  <si>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</si>
  <si>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</si>
  <si>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</si>
  <si>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</si>
  <si>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</si>
  <si>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</si>
  <si>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</si>
  <si>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</si>
  <si>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</si>
  <si>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</si>
  <si>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</si>
  <si>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</si>
  <si>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</si>
  <si>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</si>
  <si>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</si>
  <si>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</si>
  <si>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</si>
  <si>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</si>
  <si>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</si>
  <si>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</si>
  <si>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</si>
  <si>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</si>
  <si>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</si>
  <si>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</si>
  <si>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</si>
  <si>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</si>
  <si>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</si>
  <si>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</si>
  <si>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</si>
  <si>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</si>
  <si>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</si>
  <si>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</si>
  <si>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</si>
  <si>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</si>
  <si>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</si>
  <si>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</si>
  <si>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</si>
  <si>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</si>
  <si>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</si>
  <si>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</si>
  <si>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</si>
  <si>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</si>
  <si>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</si>
  <si>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</si>
  <si>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</si>
  <si>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</si>
  <si>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</si>
  <si>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</si>
  <si>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</si>
  <si>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</si>
  <si>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</si>
  <si>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</si>
  <si>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</si>
  <si>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</si>
  <si>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</si>
  <si>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</si>
  <si>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</si>
  <si>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</si>
  <si>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</si>
  <si>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</si>
  <si>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</si>
  <si>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</si>
  <si>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</si>
  <si>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</si>
  <si>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</si>
  <si>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</si>
  <si>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</si>
  <si>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</si>
  <si>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</si>
  <si>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</si>
  <si>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</si>
  <si>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</si>
  <si>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</si>
  <si>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</si>
  <si>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</si>
  <si>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</si>
  <si>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</si>
  <si>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</si>
  <si>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</si>
  <si>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</si>
  <si>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</si>
  <si>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</si>
  <si>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</si>
  <si>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</si>
  <si>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</si>
  <si>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</si>
  <si>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</si>
  <si>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</si>
  <si>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</si>
  <si>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</si>
  <si>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</si>
  <si>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</si>
  <si>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</si>
  <si>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</si>
  <si>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</si>
  <si>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</si>
  <si>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</si>
  <si>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</si>
  <si>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</si>
  <si>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</si>
  <si>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</si>
  <si>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</si>
  <si>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</si>
  <si>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</si>
  <si>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</si>
  <si>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</si>
  <si>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</si>
  <si>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</si>
  <si>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</si>
  <si>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</si>
  <si>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</si>
  <si>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</si>
  <si>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</si>
  <si>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</si>
  <si>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</si>
  <si>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</si>
  <si>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</si>
  <si>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</si>
  <si>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</si>
  <si>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</si>
  <si>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</si>
  <si>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</si>
  <si>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</si>
  <si>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</si>
  <si>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</si>
  <si>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</si>
  <si>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</si>
  <si>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</si>
  <si>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</si>
  <si>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</si>
  <si>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</si>
  <si>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</si>
  <si>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</si>
  <si>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</si>
  <si>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</si>
  <si>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</si>
  <si>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</si>
  <si>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</si>
  <si>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</si>
  <si>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</si>
  <si>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</si>
  <si>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</si>
  <si>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</si>
  <si>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</si>
  <si>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</si>
  <si>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</si>
  <si>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</si>
  <si>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</si>
  <si>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</si>
  <si>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</si>
  <si>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</si>
  <si>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</si>
  <si>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</si>
  <si>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</si>
  <si>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</si>
  <si>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</si>
  <si>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</si>
  <si>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</si>
  <si>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</si>
  <si>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</si>
  <si>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</si>
  <si>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</si>
  <si>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</si>
  <si>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</si>
  <si>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</si>
  <si>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</si>
  <si>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</si>
  <si>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</si>
  <si>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</si>
  <si>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</si>
  <si>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</si>
  <si>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</si>
  <si>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</si>
  <si>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</si>
  <si>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</si>
  <si>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</si>
  <si>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</si>
  <si>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</si>
  <si>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</si>
  <si>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</si>
  <si>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</si>
  <si>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</si>
  <si>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</si>
  <si>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</si>
  <si>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</si>
  <si>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</si>
  <si>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</si>
  <si>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</si>
  <si>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</si>
  <si>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</si>
  <si>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</si>
  <si>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</si>
  <si>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</si>
  <si>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</si>
  <si>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</si>
  <si>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</si>
  <si>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</si>
  <si>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</si>
  <si>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</si>
  <si>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</si>
  <si>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</si>
  <si>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</si>
  <si>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</si>
  <si>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</si>
  <si>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</si>
  <si>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</si>
  <si>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</si>
  <si>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</si>
  <si>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</si>
  <si>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</si>
  <si>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</si>
  <si>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</si>
  <si>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</si>
  <si>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</si>
  <si>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</si>
  <si>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</si>
  <si>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</si>
  <si>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</si>
  <si>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</si>
  <si>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</si>
  <si>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</si>
  <si>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</si>
  <si>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</si>
  <si>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</si>
  <si>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</si>
  <si>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</si>
  <si>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</si>
  <si>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</si>
  <si>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</si>
  <si>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</si>
  <si>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</si>
  <si>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</si>
  <si>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</si>
  <si>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</si>
  <si>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</si>
  <si>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</si>
  <si>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</si>
  <si>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</si>
  <si>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</si>
  <si>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</si>
  <si>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</si>
  <si>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</si>
  <si>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</si>
  <si>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</si>
  <si>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</si>
  <si>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</si>
  <si>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</si>
  <si>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</si>
  <si>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</si>
  <si>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</si>
  <si>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</si>
  <si>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</si>
  <si>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</si>
  <si>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</si>
  <si>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</si>
  <si>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</si>
  <si>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</si>
  <si>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</si>
  <si>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</si>
  <si>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</si>
  <si>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</si>
  <si>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</si>
  <si>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</si>
  <si>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</si>
  <si>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</si>
  <si>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</si>
  <si>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</si>
  <si>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</si>
  <si>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</si>
  <si>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</si>
  <si>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</si>
  <si>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</si>
  <si>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</si>
  <si>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</si>
  <si>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</si>
  <si>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</si>
  <si>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</si>
  <si>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</si>
  <si>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</si>
  <si>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</si>
  <si>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</si>
  <si>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</si>
  <si>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</si>
  <si>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</si>
  <si>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</si>
  <si>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</si>
  <si>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</si>
  <si>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</si>
  <si>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</si>
  <si>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</si>
  <si>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</si>
  <si>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</si>
  <si>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</si>
  <si>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</si>
  <si>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</si>
  <si>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</si>
  <si>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</si>
  <si>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</si>
  <si>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</si>
  <si>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</si>
  <si>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</si>
  <si>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</si>
  <si>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</si>
  <si>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</si>
  <si>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</si>
  <si>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</si>
  <si>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</si>
  <si>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</si>
  <si>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</si>
  <si>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</si>
  <si>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</si>
  <si>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</si>
  <si>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</si>
  <si>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</si>
  <si>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</si>
  <si>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</si>
  <si>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</si>
  <si>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</si>
  <si>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</si>
  <si>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</si>
  <si>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</si>
  <si>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</si>
  <si>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</si>
  <si>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</si>
  <si>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</si>
  <si>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</si>
  <si>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</si>
  <si>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</si>
  <si>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</si>
  <si>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</si>
  <si>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</si>
  <si>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</si>
  <si>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</si>
  <si>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</si>
  <si>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</si>
  <si>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</si>
  <si>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</si>
  <si>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</si>
  <si>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</si>
  <si>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</si>
  <si>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</si>
  <si>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</si>
  <si>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</si>
  <si>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</si>
  <si>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</si>
  <si>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</si>
  <si>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</si>
  <si>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</si>
  <si>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</si>
  <si>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</si>
  <si>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</si>
  <si>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</si>
  <si>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</si>
  <si>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</si>
  <si>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</si>
  <si>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</si>
  <si>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</si>
  <si>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</si>
  <si>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</si>
  <si>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</si>
  <si>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</si>
  <si>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</si>
  <si>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</si>
  <si>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</si>
  <si>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</si>
  <si>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</si>
  <si>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</si>
  <si>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</si>
  <si>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</si>
  <si>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</si>
  <si>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</si>
  <si>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</si>
  <si>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</si>
  <si>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</si>
  <si>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</si>
  <si>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</si>
  <si>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</si>
  <si>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</si>
  <si>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</si>
  <si>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</si>
  <si>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</si>
  <si>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</si>
  <si>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</si>
  <si>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</si>
  <si>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</si>
  <si>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</si>
  <si>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</si>
  <si>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</si>
  <si>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</si>
  <si>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</si>
  <si>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</si>
  <si>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</si>
  <si>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</si>
  <si>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</si>
  <si>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</si>
  <si>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</si>
  <si>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</si>
  <si>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</si>
  <si>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</si>
  <si>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</si>
  <si>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</si>
  <si>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</si>
  <si>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</si>
  <si>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</si>
  <si>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</si>
  <si>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</si>
  <si>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</si>
  <si>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</si>
  <si>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</si>
  <si>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</si>
  <si>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</si>
  <si>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</si>
  <si>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</si>
  <si>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</si>
  <si>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</si>
  <si>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</si>
  <si>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</si>
  <si>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</si>
  <si>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</si>
  <si>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</si>
  <si>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</si>
  <si>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</si>
  <si>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</si>
  <si>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</si>
  <si>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</si>
  <si>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</si>
  <si>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</si>
  <si>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</si>
  <si>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</si>
  <si>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</si>
  <si>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</si>
  <si>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</si>
  <si>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</si>
  <si>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</si>
  <si>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</si>
  <si>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</si>
  <si>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</si>
  <si>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</si>
  <si>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</si>
  <si>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</si>
  <si>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</si>
  <si>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</si>
  <si>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</si>
  <si>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</si>
  <si>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</si>
  <si>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</si>
  <si>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</si>
  <si>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</si>
  <si>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</si>
  <si>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</si>
  <si>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</si>
  <si>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</si>
  <si>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</si>
  <si>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</si>
  <si>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</si>
  <si>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</si>
  <si>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</si>
  <si>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</si>
  <si>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</si>
  <si>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</si>
  <si>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</si>
  <si>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</si>
  <si>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</si>
  <si>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</si>
  <si>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</si>
  <si>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</si>
  <si>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</si>
  <si>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</si>
  <si>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</si>
  <si>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</si>
  <si>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</si>
  <si>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</si>
  <si>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</si>
  <si>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</si>
  <si>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</si>
  <si>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</si>
  <si>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</si>
  <si>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</si>
  <si>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</si>
  <si>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</si>
  <si>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</si>
  <si>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</si>
  <si>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</si>
  <si>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</si>
  <si>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</si>
  <si>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</si>
  <si>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</si>
  <si>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</si>
  <si>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</si>
  <si>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</si>
  <si>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</si>
  <si>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</si>
  <si>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</si>
  <si>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</si>
  <si>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</si>
  <si>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</si>
  <si>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</si>
  <si>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</si>
  <si>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</si>
  <si>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</si>
  <si>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</si>
  <si>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</si>
  <si>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</si>
  <si>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</si>
  <si>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</si>
  <si>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</si>
  <si>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</si>
  <si>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</si>
  <si>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</si>
  <si>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</si>
  <si>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</si>
  <si>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</si>
  <si>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</si>
  <si>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</si>
  <si>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</si>
  <si>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</si>
  <si>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</si>
  <si>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</si>
  <si>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</si>
  <si>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</si>
  <si>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</si>
  <si>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</si>
  <si>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</si>
  <si>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</si>
  <si>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</si>
  <si>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</si>
  <si>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</si>
  <si>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</si>
  <si>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</si>
  <si>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</si>
  <si>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</si>
  <si>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</si>
  <si>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</si>
  <si>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</si>
  <si>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</si>
  <si>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</si>
  <si>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</si>
  <si>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</si>
  <si>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</si>
  <si>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</si>
  <si>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</si>
  <si>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</si>
  <si>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</si>
  <si>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</si>
  <si>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</si>
  <si>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</si>
  <si>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</si>
  <si>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</si>
  <si>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</si>
  <si>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</si>
  <si>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</si>
  <si>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</si>
  <si>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</si>
  <si>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</si>
  <si>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</si>
  <si>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</si>
  <si>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</si>
  <si>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</si>
  <si>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</si>
  <si>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</si>
  <si>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</si>
  <si>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</si>
  <si>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</si>
  <si>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</si>
  <si>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</si>
  <si>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</si>
  <si>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</si>
  <si>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</si>
  <si>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</si>
  <si>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</si>
  <si>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</si>
  <si>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</si>
  <si>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</si>
  <si>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</si>
  <si>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</si>
  <si>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</si>
  <si>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</si>
  <si>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</si>
  <si>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</si>
  <si>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</si>
  <si>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</si>
  <si>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</si>
  <si>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</si>
  <si>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</si>
  <si>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</si>
  <si>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</si>
  <si>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</si>
  <si>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</si>
  <si>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</si>
  <si>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</si>
  <si>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</si>
  <si>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</si>
  <si>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</si>
  <si>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</si>
  <si>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</si>
  <si>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</si>
  <si>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</si>
  <si>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</si>
  <si>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</si>
  <si>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</si>
  <si>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</si>
  <si>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</si>
  <si>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</si>
  <si>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</si>
  <si>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</si>
  <si>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</si>
  <si>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</si>
  <si>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</si>
  <si>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</si>
  <si>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</si>
  <si>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</si>
  <si>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</si>
  <si>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</si>
  <si>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</si>
  <si>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</si>
  <si>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</si>
  <si>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</si>
  <si>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</si>
  <si>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</si>
  <si>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</si>
  <si>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</si>
  <si>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</si>
  <si>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</si>
  <si>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</si>
  <si>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</si>
  <si>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</si>
  <si>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</si>
  <si>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</si>
  <si>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</si>
  <si>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</si>
  <si>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</si>
  <si>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</si>
  <si>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</si>
  <si>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</si>
  <si>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</si>
  <si>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</si>
  <si>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</si>
  <si>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</si>
  <si>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</si>
  <si>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</si>
  <si>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</si>
  <si>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</si>
  <si>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</si>
  <si>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</si>
  <si>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</si>
  <si>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</si>
  <si>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</si>
  <si>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</si>
  <si>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</si>
  <si>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</si>
  <si>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</si>
  <si>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</si>
  <si>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</si>
  <si>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</si>
  <si>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</si>
  <si>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</si>
  <si>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</si>
  <si>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</si>
  <si>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</si>
  <si>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</si>
  <si>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</si>
  <si>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</si>
  <si>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</si>
  <si>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</si>
  <si>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</si>
  <si>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</si>
  <si>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</si>
  <si>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</si>
  <si>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</si>
  <si>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</si>
  <si>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</si>
  <si>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</si>
  <si>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</si>
  <si>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</si>
  <si>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</si>
  <si>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</si>
  <si>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</si>
  <si>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</si>
  <si>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</si>
  <si>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</si>
  <si>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</si>
  <si>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</si>
  <si>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</si>
  <si>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</si>
  <si>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</si>
  <si>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</si>
  <si>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</si>
  <si>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</si>
  <si>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</si>
  <si>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</si>
  <si>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</si>
  <si>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</si>
  <si>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</si>
  <si>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</si>
  <si>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</si>
  <si>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</si>
  <si>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</si>
  <si>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</si>
  <si>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</si>
  <si>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</si>
  <si>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</si>
  <si>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</si>
  <si>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</si>
  <si>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</si>
  <si>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</si>
  <si>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</si>
  <si>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</si>
  <si>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</si>
  <si>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</si>
  <si>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</si>
  <si>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</si>
  <si>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</si>
  <si>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</si>
  <si>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</si>
  <si>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</si>
  <si>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</si>
  <si>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</si>
  <si>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</si>
  <si>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</si>
  <si>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</si>
  <si>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</si>
  <si>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</si>
  <si>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</si>
  <si>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</si>
  <si>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</si>
  <si>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</si>
  <si>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</si>
  <si>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</si>
  <si>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</si>
  <si>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</si>
  <si>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</si>
  <si>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</si>
  <si>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</si>
  <si>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</si>
  <si>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</si>
  <si>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</si>
  <si>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</si>
  <si>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</si>
  <si>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</si>
  <si>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</si>
  <si>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</si>
  <si>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</si>
  <si>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</si>
  <si>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</si>
  <si>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</si>
  <si>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</si>
  <si>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</si>
  <si>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</si>
  <si>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</si>
  <si>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</si>
  <si>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</si>
  <si>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</si>
  <si>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</si>
  <si>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</si>
  <si>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</si>
  <si>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</si>
  <si>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</si>
  <si>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</si>
  <si>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</si>
  <si>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</si>
  <si>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</si>
  <si>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</si>
  <si>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</si>
  <si>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</si>
  <si>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</si>
  <si>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</si>
  <si>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</si>
  <si>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</si>
  <si>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</si>
  <si>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</si>
  <si>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</si>
  <si>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</si>
  <si>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</si>
  <si>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</si>
  <si>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</si>
  <si>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</si>
  <si>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</si>
  <si>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</si>
  <si>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</si>
  <si>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</si>
  <si>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</si>
  <si>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</si>
  <si>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</si>
  <si>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</si>
  <si>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</si>
  <si>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</si>
  <si>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</si>
  <si>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</si>
  <si>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</si>
  <si>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</si>
  <si>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</si>
  <si>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</si>
  <si>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</si>
  <si>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</si>
  <si>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</si>
  <si>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</si>
  <si>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</si>
  <si>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</si>
  <si>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</si>
  <si>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</si>
  <si>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</si>
  <si>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</si>
  <si>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</si>
  <si>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</si>
  <si>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</si>
  <si>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</si>
  <si>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</si>
  <si>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</si>
  <si>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</si>
  <si>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</si>
  <si>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</si>
  <si>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</si>
  <si>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</si>
  <si>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</si>
  <si>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</si>
  <si>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</si>
  <si>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</si>
  <si>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</si>
  <si>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</si>
  <si>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</si>
  <si>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</si>
  <si>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</si>
  <si>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</si>
  <si>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</si>
  <si>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</si>
  <si>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</si>
  <si>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</si>
  <si>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</si>
  <si>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</si>
  <si>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</si>
  <si>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</si>
  <si>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</si>
  <si>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</si>
  <si>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</si>
  <si>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</si>
  <si>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</si>
  <si>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</si>
  <si>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</si>
  <si>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</si>
  <si>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</si>
  <si>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</si>
  <si>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</si>
  <si>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</si>
  <si>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</si>
  <si>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</si>
  <si>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</si>
  <si>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</si>
  <si>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</si>
  <si>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</si>
  <si>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</si>
  <si>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</si>
  <si>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</si>
  <si>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</si>
  <si>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</si>
  <si>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</si>
  <si>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</si>
  <si>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</si>
  <si>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</si>
  <si>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</si>
  <si>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</si>
  <si>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</si>
  <si>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</si>
  <si>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</si>
  <si>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</si>
  <si>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</si>
  <si>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</si>
  <si>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</si>
  <si>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</si>
  <si>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</si>
  <si>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</si>
  <si>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</si>
  <si>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</si>
  <si>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</si>
  <si>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</si>
  <si>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</si>
  <si>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</si>
  <si>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</si>
  <si>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</si>
  <si>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</si>
  <si>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</si>
  <si>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</si>
  <si>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</si>
  <si>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</si>
  <si>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</si>
  <si>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</si>
  <si>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</si>
  <si>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</si>
  <si>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</si>
  <si>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</si>
  <si>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</si>
  <si>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</si>
  <si>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</si>
  <si>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</si>
  <si>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</si>
  <si>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</si>
  <si>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</si>
  <si>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</si>
  <si>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</si>
  <si>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</si>
  <si>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</si>
  <si>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</si>
  <si>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</si>
  <si>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</si>
  <si>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</si>
  <si>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</si>
  <si>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</si>
  <si>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</si>
  <si>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</si>
  <si>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</si>
  <si>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</si>
  <si>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</si>
  <si>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</si>
  <si>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</si>
  <si>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</si>
  <si>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</si>
  <si>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</si>
  <si>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</si>
  <si>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</si>
  <si>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</si>
  <si>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</si>
  <si>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</si>
  <si>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</si>
  <si>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</si>
  <si>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</si>
  <si>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</si>
  <si>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</si>
  <si>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</si>
  <si>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</si>
  <si>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</si>
  <si>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</si>
  <si>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</si>
  <si>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</si>
  <si>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</si>
  <si>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</si>
  <si>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</si>
  <si>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</si>
  <si>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</si>
  <si>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</si>
  <si>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</si>
  <si>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</si>
  <si>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</si>
  <si>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</si>
  <si>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</si>
  <si>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</si>
  <si>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</si>
  <si>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</si>
  <si>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</si>
  <si>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</si>
  <si>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</si>
  <si>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</si>
  <si>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</si>
  <si>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</si>
  <si>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</si>
  <si>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</si>
  <si>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</si>
  <si>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</si>
  <si>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</si>
  <si>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</si>
  <si>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</si>
  <si>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</si>
  <si>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</si>
  <si>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</si>
  <si>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</si>
  <si>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</si>
  <si>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</si>
  <si>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</si>
  <si>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</si>
  <si>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</si>
  <si>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</si>
  <si>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</si>
  <si>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</si>
  <si>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</si>
  <si>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</si>
  <si>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</si>
  <si>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</si>
  <si>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</si>
  <si>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</si>
  <si>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</si>
  <si>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</si>
  <si>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</si>
  <si>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</si>
  <si>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</si>
  <si>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</si>
  <si>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</si>
  <si>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</si>
  <si>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</si>
  <si>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</si>
  <si>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</si>
  <si>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</si>
  <si>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</si>
  <si>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</si>
  <si>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</si>
  <si>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</si>
  <si>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</si>
  <si>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</si>
  <si>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</si>
  <si>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</si>
  <si>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</si>
  <si>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</si>
  <si>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</si>
  <si>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</si>
  <si>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</si>
  <si>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</si>
  <si>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</si>
  <si>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</si>
  <si>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</si>
  <si>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</si>
  <si>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</si>
  <si>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</si>
  <si>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</si>
  <si>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</si>
  <si>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</si>
  <si>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</si>
  <si>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</si>
  <si>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</si>
  <si>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</si>
  <si>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</si>
  <si>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</si>
  <si>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</si>
  <si>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</si>
  <si>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</si>
  <si>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</si>
  <si>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</si>
  <si>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</si>
  <si>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</si>
  <si>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</si>
  <si>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</si>
  <si>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</si>
  <si>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</si>
  <si>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</si>
  <si>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</si>
  <si>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</si>
  <si>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</si>
  <si>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</si>
  <si>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</si>
  <si>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</si>
  <si>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</si>
  <si>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</si>
  <si>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</si>
  <si>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</si>
  <si>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</si>
  <si>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</si>
  <si>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</si>
  <si>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</si>
  <si>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</si>
  <si>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</si>
  <si>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</si>
  <si>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</si>
  <si>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</si>
  <si>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</si>
  <si>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</si>
  <si>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</si>
  <si>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</si>
  <si>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</si>
  <si>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</si>
  <si>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</si>
  <si>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</si>
  <si>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</si>
  <si>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</si>
  <si>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</si>
  <si>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</si>
  <si>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</si>
  <si>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</si>
  <si>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</si>
  <si>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</si>
  <si>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</si>
  <si>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</si>
  <si>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</si>
  <si>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</si>
  <si>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</si>
  <si>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</si>
  <si>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</si>
  <si>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</si>
  <si>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</si>
  <si>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</si>
  <si>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</si>
  <si>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</si>
  <si>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</si>
  <si>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</si>
  <si>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</si>
  <si>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</si>
  <si>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</si>
  <si>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</si>
  <si>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</si>
  <si>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</si>
  <si>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</si>
  <si>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</si>
  <si>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</si>
  <si>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</si>
  <si>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</si>
  <si>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</si>
  <si>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</si>
  <si>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</si>
  <si>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</si>
  <si>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</si>
  <si>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</si>
  <si>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</si>
  <si>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</si>
  <si>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</si>
  <si>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</si>
  <si>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</si>
  <si>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</si>
  <si>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</si>
  <si>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</si>
  <si>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</si>
  <si>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</si>
  <si>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</si>
  <si>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</si>
  <si>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</si>
  <si>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</si>
  <si>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</si>
  <si>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</si>
  <si>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</si>
  <si>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</si>
  <si>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</si>
  <si>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</si>
  <si>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</si>
  <si>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</si>
  <si>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</si>
  <si>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</si>
  <si>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</si>
  <si>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</si>
  <si>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</si>
  <si>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</si>
  <si>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</si>
  <si>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</si>
  <si>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</si>
  <si>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</si>
  <si>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</si>
  <si>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</si>
  <si>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</si>
  <si>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</si>
  <si>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</si>
  <si>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</si>
  <si>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</si>
  <si>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</si>
  <si>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</si>
  <si>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</si>
  <si>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</si>
  <si>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</si>
  <si>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</si>
  <si>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</si>
  <si>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</si>
  <si>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</si>
  <si>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</si>
  <si>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</si>
  <si>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</si>
  <si>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</si>
  <si>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</si>
  <si>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</si>
  <si>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</si>
  <si>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</si>
  <si>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</si>
  <si>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</si>
  <si>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</si>
  <si>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</si>
  <si>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</si>
  <si>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</si>
  <si>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</si>
  <si>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</si>
  <si>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</si>
  <si>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</si>
  <si>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</si>
  <si>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</si>
  <si>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</si>
  <si>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</si>
  <si>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</si>
  <si>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</si>
  <si>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</si>
  <si>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</si>
  <si>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</si>
  <si>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</si>
  <si>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</si>
  <si>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</si>
  <si>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</si>
  <si>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</si>
  <si>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</si>
  <si>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</si>
  <si>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</si>
  <si>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</si>
  <si>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</si>
  <si>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</si>
  <si>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</si>
  <si>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</si>
  <si>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</si>
  <si>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</si>
  <si>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</si>
  <si>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</si>
  <si>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</si>
  <si>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</si>
  <si>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</si>
  <si>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</si>
  <si>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</si>
  <si>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</si>
  <si>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</si>
  <si>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</si>
  <si>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</si>
  <si>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</si>
  <si>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</si>
  <si>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</si>
  <si>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</si>
  <si>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</si>
  <si>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</si>
  <si>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</si>
  <si>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</si>
  <si>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</si>
  <si>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</si>
  <si>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</si>
  <si>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</si>
  <si>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</si>
  <si>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</si>
  <si>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</si>
  <si>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</si>
  <si>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</si>
  <si>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</si>
  <si>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</si>
  <si>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</si>
  <si>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</si>
  <si>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</si>
  <si>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</si>
  <si>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</si>
  <si>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</si>
  <si>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</si>
  <si>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</si>
  <si>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</si>
  <si>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</si>
  <si>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</si>
  <si>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</si>
  <si>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</si>
  <si>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</si>
  <si>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</si>
  <si>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</si>
  <si>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</si>
  <si>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</si>
  <si>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</si>
  <si>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</si>
  <si>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</si>
  <si>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</si>
  <si>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</si>
  <si>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</si>
  <si>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</si>
  <si>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</si>
  <si>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</si>
  <si>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</si>
  <si>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</si>
  <si>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</si>
  <si>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</si>
  <si>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</si>
  <si>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</si>
  <si>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</si>
  <si>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</si>
  <si>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</si>
  <si>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</si>
  <si>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</si>
  <si>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</si>
  <si>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</si>
  <si>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</si>
  <si>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</si>
  <si>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</si>
  <si>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</si>
  <si>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</si>
  <si>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</si>
  <si>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</si>
  <si>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</si>
  <si>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</si>
  <si>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</si>
  <si>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</si>
  <si>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</si>
  <si>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</si>
  <si>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</si>
  <si>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</si>
  <si>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</si>
  <si>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</si>
  <si>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</si>
  <si>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</si>
  <si>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</si>
  <si>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</si>
  <si>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</si>
  <si>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</si>
  <si>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</si>
  <si>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</si>
  <si>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</si>
  <si>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</si>
  <si>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</si>
  <si>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</si>
  <si>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</si>
  <si>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</si>
  <si>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</si>
  <si>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</si>
  <si>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</si>
  <si>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</si>
  <si>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</si>
  <si>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</si>
  <si>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</si>
  <si>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</si>
  <si>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</si>
  <si>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</si>
  <si>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</si>
  <si>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</si>
  <si>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</si>
  <si>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</si>
  <si>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</si>
  <si>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</si>
  <si>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</si>
  <si>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</si>
  <si>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</si>
  <si>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</si>
  <si>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</si>
  <si>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</si>
  <si>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</si>
  <si>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</si>
  <si>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</si>
  <si>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</si>
  <si>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</si>
  <si>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</si>
  <si>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</si>
  <si>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</si>
  <si>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</si>
  <si>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</si>
  <si>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</si>
  <si>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</si>
  <si>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</si>
  <si>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</si>
  <si>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</si>
  <si>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</si>
  <si>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</si>
  <si>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</si>
  <si>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</si>
  <si>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</si>
  <si>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</si>
  <si>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</si>
  <si>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</si>
  <si>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</si>
  <si>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</si>
  <si>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</si>
  <si>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</si>
  <si>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</si>
  <si>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</si>
  <si>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</si>
  <si>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</si>
  <si>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</si>
  <si>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</si>
  <si>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</si>
  <si>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</si>
  <si>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</si>
  <si>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</si>
  <si>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</si>
  <si>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</si>
  <si>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</si>
  <si>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</si>
  <si>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</si>
  <si>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</si>
  <si>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</si>
  <si>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</si>
  <si>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</si>
  <si>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</si>
  <si>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</si>
  <si>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</si>
  <si>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</si>
  <si>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</si>
  <si>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</si>
  <si>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</si>
  <si>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</si>
  <si>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</si>
  <si>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</si>
  <si>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</si>
  <si>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</si>
  <si>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</si>
  <si>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</si>
  <si>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</si>
  <si>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</si>
  <si>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</si>
  <si>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</si>
  <si>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</si>
  <si>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</si>
  <si>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</si>
  <si>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</si>
  <si>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</si>
  <si>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</si>
  <si>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</si>
  <si>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</si>
  <si>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</si>
  <si>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</si>
  <si>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</si>
  <si>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</si>
  <si>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</si>
  <si>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</si>
  <si>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</si>
  <si>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</si>
  <si>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</si>
  <si>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</si>
  <si>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</si>
  <si>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</si>
  <si>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</si>
  <si>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</si>
  <si>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</si>
  <si>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</si>
  <si>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</si>
  <si>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</si>
  <si>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</si>
  <si>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</si>
  <si>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</si>
  <si>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</si>
  <si>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</si>
  <si>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</si>
  <si>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</si>
  <si>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</si>
  <si>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</si>
  <si>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</si>
  <si>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</si>
  <si>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</si>
  <si>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</si>
  <si>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</si>
  <si>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</si>
  <si>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</si>
  <si>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</si>
  <si>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</si>
  <si>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</si>
  <si>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</si>
  <si>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</si>
  <si>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</si>
  <si>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</si>
  <si>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</si>
  <si>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</si>
  <si>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</si>
  <si>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</si>
  <si>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</si>
  <si>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</si>
  <si>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</si>
  <si>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</si>
  <si>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</si>
  <si>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</si>
  <si>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</si>
  <si>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</si>
  <si>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</si>
  <si>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</si>
  <si>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</si>
  <si>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</si>
  <si>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</si>
  <si>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</si>
  <si>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</si>
  <si>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</si>
  <si>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</si>
  <si>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</si>
  <si>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</si>
  <si>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</si>
  <si>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</si>
  <si>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</si>
  <si>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</si>
  <si>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</si>
  <si>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</si>
  <si>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</si>
  <si>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</si>
  <si>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</si>
  <si>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</si>
  <si>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</si>
  <si>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</si>
  <si>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</si>
  <si>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</si>
  <si>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</si>
  <si>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</si>
  <si>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</si>
  <si>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</si>
  <si>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</si>
  <si>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</si>
  <si>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</si>
  <si>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</si>
  <si>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</si>
  <si>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</si>
  <si>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</si>
  <si>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</si>
  <si>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</si>
  <si>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</si>
  <si>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</si>
  <si>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</si>
  <si>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</si>
  <si>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</si>
  <si>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</si>
  <si>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</si>
  <si>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</si>
  <si>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</si>
  <si>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</si>
  <si>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</si>
  <si>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</si>
  <si>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</si>
  <si>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</si>
  <si>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</si>
  <si>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</si>
  <si>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</si>
  <si>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</si>
  <si>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</si>
  <si>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</si>
  <si>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</si>
  <si>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</si>
  <si>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</si>
  <si>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</si>
  <si>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</si>
  <si>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</si>
  <si>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</si>
  <si>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</si>
  <si>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</si>
  <si>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</si>
  <si>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</si>
  <si>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</si>
  <si>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</si>
  <si>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</si>
  <si>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</si>
  <si>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</si>
  <si>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</si>
  <si>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</si>
  <si>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</si>
  <si>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</si>
  <si>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</si>
  <si>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</si>
  <si>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</si>
  <si>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</si>
  <si>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</si>
  <si>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</si>
  <si>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</si>
  <si>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</si>
  <si>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</si>
  <si>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</si>
  <si>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</si>
  <si>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</si>
  <si>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</si>
  <si>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</si>
  <si>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</si>
  <si>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</si>
  <si>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</si>
  <si>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</si>
  <si>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</si>
  <si>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</si>
  <si>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</si>
  <si>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</si>
  <si>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</si>
  <si>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</si>
  <si>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</si>
  <si>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</si>
  <si>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</si>
  <si>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</si>
  <si>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</si>
  <si>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</si>
  <si>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</si>
  <si>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</si>
  <si>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</si>
  <si>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</si>
  <si>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</si>
  <si>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</si>
  <si>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</si>
  <si>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</si>
  <si>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</si>
  <si>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</si>
  <si>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</si>
  <si>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</si>
  <si>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</si>
  <si>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</si>
  <si>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</si>
  <si>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</si>
  <si>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</si>
  <si>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</si>
  <si>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</si>
  <si>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</si>
  <si>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</si>
  <si>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</si>
  <si>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</si>
  <si>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</si>
  <si>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</si>
  <si>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</si>
  <si>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</si>
  <si>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</si>
  <si>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</si>
  <si>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</si>
  <si>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</si>
  <si>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</si>
  <si>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</si>
  <si>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</si>
  <si>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</si>
  <si>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</si>
  <si>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</si>
  <si>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</si>
  <si>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</si>
  <si>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</si>
  <si>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</si>
  <si>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</si>
  <si>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</si>
  <si>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</si>
  <si>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</si>
  <si>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</si>
  <si>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</si>
  <si>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</si>
  <si>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</si>
  <si>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</si>
  <si>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</si>
  <si>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</si>
  <si>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</si>
  <si>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</si>
  <si>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</si>
  <si>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</si>
  <si>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</si>
  <si>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</si>
  <si>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</si>
  <si>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</si>
  <si>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</si>
  <si>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</si>
  <si>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</si>
  <si>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</si>
  <si>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</si>
  <si>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</si>
  <si>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</si>
  <si>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</si>
  <si>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</si>
  <si>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</si>
  <si>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</si>
  <si>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</si>
  <si>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</si>
  <si>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</si>
  <si>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</si>
  <si>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</si>
  <si>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</si>
  <si>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</si>
  <si>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</si>
  <si>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</si>
  <si>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</si>
  <si>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</si>
  <si>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</si>
  <si>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</si>
  <si>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</si>
  <si>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</si>
  <si>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</si>
  <si>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</si>
  <si>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</si>
  <si>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</si>
  <si>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</si>
  <si>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</si>
  <si>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</si>
  <si>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</si>
  <si>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</si>
  <si>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</si>
  <si>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</si>
  <si>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</si>
  <si>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</si>
  <si>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</si>
  <si>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</si>
  <si>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</si>
  <si>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</si>
  <si>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</si>
  <si>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</si>
  <si>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</si>
  <si>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</si>
  <si>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</si>
  <si>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</si>
  <si>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</si>
  <si>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</si>
  <si>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</si>
  <si>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</si>
  <si>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</si>
  <si>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</si>
  <si>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</si>
  <si>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</si>
  <si>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</si>
  <si>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</si>
  <si>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</si>
  <si>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</si>
  <si>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</si>
  <si>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</si>
  <si>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</si>
  <si>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</si>
  <si>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</si>
  <si>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</si>
  <si>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</si>
  <si>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</si>
  <si>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</si>
  <si>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</si>
  <si>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</si>
  <si>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</si>
  <si>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</si>
  <si>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</si>
  <si>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</si>
  <si>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</si>
  <si>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</si>
  <si>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</si>
  <si>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</si>
  <si>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</si>
  <si>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</si>
  <si>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</si>
  <si>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</si>
  <si>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</si>
  <si>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</si>
  <si>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</si>
  <si>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</si>
  <si>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</si>
  <si>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</si>
  <si>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</si>
  <si>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</si>
  <si>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</si>
  <si>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</si>
  <si>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</si>
  <si>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</si>
  <si>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</si>
  <si>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</si>
  <si>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</si>
  <si>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</si>
  <si>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</si>
  <si>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</si>
  <si>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</si>
  <si>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</si>
  <si>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</si>
  <si>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</si>
  <si>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인도전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</si>
  <si>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</si>
  <si>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</si>
  <si>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</si>
  <si>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개인차량</t>
    <phoneticPr fontId="2" type="noConversion"/>
  </si>
  <si>
    <t>박주성</t>
    <phoneticPr fontId="2" type="noConversion"/>
  </si>
  <si>
    <t>박주성</t>
    <phoneticPr fontId="2" type="noConversion"/>
  </si>
  <si>
    <t>박성용</t>
    <phoneticPr fontId="2" type="noConversion"/>
  </si>
  <si>
    <t>이재양책임 일정 확인 중 (6/22일확정)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</si>
  <si>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</si>
  <si>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</si>
  <si>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출발 전 도착시간 사전 연락요함</t>
    <phoneticPr fontId="2" type="noConversion"/>
  </si>
  <si>
    <t>독도함 폐자재 정리</t>
    <phoneticPr fontId="2" type="noConversion"/>
  </si>
  <si>
    <t>이광형</t>
    <phoneticPr fontId="2" type="noConversion"/>
  </si>
  <si>
    <t>이광형</t>
    <phoneticPr fontId="2" type="noConversion"/>
  </si>
  <si>
    <t>-</t>
    <phoneticPr fontId="2" type="noConversion"/>
  </si>
  <si>
    <t>TF</t>
    <phoneticPr fontId="2" type="noConversion"/>
  </si>
  <si>
    <t>독도함</t>
    <phoneticPr fontId="2" type="noConversion"/>
  </si>
  <si>
    <t>6/22 ~ 6/24</t>
    <phoneticPr fontId="2" type="noConversion"/>
  </si>
  <si>
    <t>납품전</t>
    <phoneticPr fontId="2" type="noConversion"/>
  </si>
  <si>
    <t>사내작업</t>
    <phoneticPr fontId="2" type="noConversion"/>
  </si>
  <si>
    <t>납품전</t>
    <phoneticPr fontId="2" type="noConversion"/>
  </si>
  <si>
    <t>납품전</t>
    <phoneticPr fontId="2" type="noConversion"/>
  </si>
  <si>
    <t>P174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</si>
  <si>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</si>
  <si>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</si>
  <si>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</si>
  <si>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</si>
  <si>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6/22 ~ 6/24</t>
    <phoneticPr fontId="2" type="noConversion"/>
  </si>
  <si>
    <t>TF</t>
    <phoneticPr fontId="2" type="noConversion"/>
  </si>
  <si>
    <t>PA55</t>
    <phoneticPr fontId="2" type="noConversion"/>
  </si>
  <si>
    <t>CS</t>
    <phoneticPr fontId="2" type="noConversion"/>
  </si>
  <si>
    <t>조립, 설치, 시운전, 자체테스트</t>
    <phoneticPr fontId="2" type="noConversion"/>
  </si>
  <si>
    <t>이시맥</t>
    <phoneticPr fontId="2" type="noConversion"/>
  </si>
  <si>
    <t>범양(5)</t>
    <phoneticPr fontId="2" type="noConversion"/>
  </si>
  <si>
    <t>SN2688</t>
    <phoneticPr fontId="2" type="noConversion"/>
  </si>
  <si>
    <t>PV</t>
    <phoneticPr fontId="2" type="noConversion"/>
  </si>
  <si>
    <t>도장, 조립</t>
    <phoneticPr fontId="2" type="noConversion"/>
  </si>
  <si>
    <t>박해식</t>
    <phoneticPr fontId="2" type="noConversion"/>
  </si>
  <si>
    <t>HIO(3)</t>
    <phoneticPr fontId="2" type="noConversion"/>
  </si>
  <si>
    <t>NO.1 NO.4 유압 실린더 파이프 교체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</si>
  <si>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</si>
  <si>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</si>
  <si>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</si>
  <si>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</si>
  <si>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</si>
  <si>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와이어로프 꼬임 수정 / 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</si>
  <si>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</si>
  <si>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와이어꼬임 수정 / 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</si>
  <si>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</si>
  <si>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</si>
  <si>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리미트 추? 가져와달라 함(삼원담당자)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</si>
</sst>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22" fillId="0" borderId="1" xfId="0" applyFont="1" applyBorder="1" applyAlignment="1">
      <alignment horizontal="center" vertical="center" wrapText="1" shrinkToFi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0"/>
  <sheetViews>
    <sheetView showGridLines="0" tabSelected="1" topLeftCell="A409" zoomScaleNormal="100" workbookViewId="0">
      <selection activeCell="G422" sqref="G42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9" t="s">
        <v>3261</v>
      </c>
      <c r="B1" s="809"/>
      <c r="C1" s="809"/>
      <c r="D1" s="809"/>
      <c r="E1" s="809"/>
      <c r="F1" s="809"/>
      <c r="G1" s="809"/>
      <c r="H1" s="809"/>
      <c r="I1" s="809"/>
      <c r="J1" s="809"/>
      <c r="K1" s="809"/>
      <c r="L1" s="809"/>
      <c r="M1" s="80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1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2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3"/>
      <c r="Q22" s="804"/>
      <c r="R22" s="804"/>
      <c r="S22" s="80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3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3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3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3"/>
      <c r="Q27" s="804"/>
      <c r="R27" s="804"/>
      <c r="S27" s="80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3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3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3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3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3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3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1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1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3"/>
      <c r="Q36" s="804"/>
      <c r="R36" s="804"/>
      <c r="S36" s="80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3"/>
      <c r="Q37" s="804"/>
      <c r="R37" s="804"/>
      <c r="S37" s="80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1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1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3"/>
      <c r="Q40" s="804"/>
      <c r="R40" s="804"/>
      <c r="S40" s="80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3"/>
      <c r="Q41" s="804"/>
      <c r="R41" s="804"/>
      <c r="S41" s="80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1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3" t="s">
        <v>4390</v>
      </c>
      <c r="Q43" s="804"/>
      <c r="R43" s="804"/>
      <c r="S43" s="80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2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2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4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4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3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3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3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3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3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3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3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3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3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3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3"/>
      <c r="Q61" s="804"/>
      <c r="R61" s="804"/>
      <c r="S61" s="80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3"/>
      <c r="Q64" s="804"/>
      <c r="R64" s="804"/>
      <c r="S64" s="80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3"/>
      <c r="Q67" s="804"/>
      <c r="R67" s="804"/>
      <c r="S67" s="80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3"/>
      <c r="Q74" s="804"/>
      <c r="R74" s="804"/>
      <c r="S74" s="80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5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6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6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6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3"/>
      <c r="Q83" s="804"/>
      <c r="R83" s="804"/>
      <c r="S83" s="80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6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3"/>
      <c r="Q85" s="804"/>
      <c r="R85" s="804"/>
      <c r="S85" s="80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3" t="s">
        <v>4390</v>
      </c>
      <c r="Q93" s="804"/>
      <c r="R93" s="804"/>
      <c r="S93" s="80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2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2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2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2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7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7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7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7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7"/>
      <c r="Q169" s="808"/>
      <c r="R169" s="808"/>
      <c r="S169" s="80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2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05" t="s">
        <v>4688</v>
      </c>
      <c r="Q182" s="806"/>
      <c r="R182" s="806"/>
      <c r="S182" s="80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8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8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9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9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90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8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8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1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2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2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2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2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2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2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2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2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2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2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2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2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2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2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2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2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2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2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2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2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2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4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4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4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4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4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6150</v>
      </c>
      <c r="O384" s="430"/>
      <c r="P384" s="76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4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4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6151</v>
      </c>
      <c r="O396" s="431"/>
      <c r="P396" s="76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5" t="s">
        <v>6243</v>
      </c>
      <c r="O397" s="431"/>
      <c r="P397" s="76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5" t="s">
        <v>6243</v>
      </c>
      <c r="O398" s="431"/>
      <c r="P398" s="76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4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4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5" t="s">
        <v>6243</v>
      </c>
      <c r="O401" s="437" t="s">
        <v>6104</v>
      </c>
      <c r="P401" s="76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6235</v>
      </c>
      <c r="J403" s="453" t="s">
        <v>6234</v>
      </c>
      <c r="K403" s="125" t="s">
        <v>15</v>
      </c>
      <c r="L403" s="459" t="s">
        <v>33</v>
      </c>
      <c r="M403" s="455">
        <v>2</v>
      </c>
      <c r="N403" s="454"/>
      <c r="O403" s="430"/>
      <c r="P403" s="764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5" t="s">
        <v>6243</v>
      </c>
      <c r="O406" s="430"/>
      <c r="P406" s="76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6213</v>
      </c>
      <c r="E409" s="766" t="s">
        <v>6214</v>
      </c>
      <c r="F409" s="764" t="s">
        <v>6215</v>
      </c>
      <c r="G409" s="16" t="s">
        <v>6216</v>
      </c>
      <c r="H409" s="766" t="s">
        <v>6217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5"/>
      <c r="O409" s="430" t="s">
        <v>6269</v>
      </c>
      <c r="P409" s="764" t="s">
        <v>6266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6231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4"/>
      <c r="O410" s="431"/>
      <c r="P410" s="764"/>
    </row>
    <row r="411" spans="1:16" s="17" customFormat="1" ht="33" customHeight="1">
      <c r="A411" s="604"/>
      <c r="B411" s="399">
        <v>46195</v>
      </c>
      <c r="C411" s="3" t="s">
        <v>21</v>
      </c>
      <c r="D411" s="3" t="s">
        <v>14</v>
      </c>
      <c r="E411" s="454" t="s">
        <v>1893</v>
      </c>
      <c r="F411" s="454" t="s">
        <v>4939</v>
      </c>
      <c r="G411" s="459" t="s">
        <v>482</v>
      </c>
      <c r="H411" s="453" t="s">
        <v>271</v>
      </c>
      <c r="I411" s="453" t="s">
        <v>493</v>
      </c>
      <c r="J411" s="453" t="s">
        <v>999</v>
      </c>
      <c r="K411" s="125" t="s">
        <v>15</v>
      </c>
      <c r="L411" s="459">
        <v>9080</v>
      </c>
      <c r="M411" s="455">
        <v>2</v>
      </c>
      <c r="N411" s="764"/>
      <c r="O411" s="431"/>
      <c r="P411" s="764"/>
    </row>
    <row r="412" spans="1:16" s="17" customFormat="1" ht="33" customHeight="1">
      <c r="A412" s="604"/>
      <c r="B412" s="399">
        <v>46196</v>
      </c>
      <c r="C412" s="4" t="s">
        <v>24</v>
      </c>
      <c r="D412" s="4" t="s">
        <v>6213</v>
      </c>
      <c r="E412" s="766" t="s">
        <v>6214</v>
      </c>
      <c r="F412" s="764" t="s">
        <v>6215</v>
      </c>
      <c r="G412" s="16" t="s">
        <v>6216</v>
      </c>
      <c r="H412" s="766" t="s">
        <v>6217</v>
      </c>
      <c r="I412" s="454"/>
      <c r="J412" s="453" t="s">
        <v>641</v>
      </c>
      <c r="K412" s="136" t="s">
        <v>15</v>
      </c>
      <c r="L412" s="459" t="s">
        <v>4550</v>
      </c>
      <c r="M412" s="455">
        <v>2</v>
      </c>
      <c r="N412" s="753"/>
      <c r="O412" s="431"/>
      <c r="P412" s="764"/>
    </row>
    <row r="413" spans="1:16" s="17" customFormat="1" ht="33" customHeight="1">
      <c r="A413" s="604"/>
      <c r="B413" s="399">
        <v>46196</v>
      </c>
      <c r="C413" s="3" t="s">
        <v>21</v>
      </c>
      <c r="D413" s="3" t="s">
        <v>14</v>
      </c>
      <c r="E413" s="454" t="s">
        <v>107</v>
      </c>
      <c r="F413" s="454" t="s">
        <v>3386</v>
      </c>
      <c r="G413" s="459" t="s">
        <v>115</v>
      </c>
      <c r="H413" s="453" t="s">
        <v>6241</v>
      </c>
      <c r="I413" s="764" t="s">
        <v>120</v>
      </c>
      <c r="J413" s="764" t="s">
        <v>6242</v>
      </c>
      <c r="K413" s="125" t="s">
        <v>15</v>
      </c>
      <c r="L413" s="16" t="s">
        <v>6219</v>
      </c>
      <c r="M413" s="8">
        <v>2</v>
      </c>
      <c r="N413" s="711"/>
      <c r="O413" s="430" t="s">
        <v>6268</v>
      </c>
      <c r="P413" s="764"/>
    </row>
    <row r="414" spans="1:16" s="17" customFormat="1" ht="33" customHeight="1">
      <c r="A414" s="604"/>
      <c r="B414" s="399">
        <v>46196</v>
      </c>
      <c r="C414" s="3" t="s">
        <v>21</v>
      </c>
      <c r="D414" s="3" t="s">
        <v>31</v>
      </c>
      <c r="E414" s="454" t="s">
        <v>5276</v>
      </c>
      <c r="F414" s="454">
        <v>7064</v>
      </c>
      <c r="G414" s="459" t="s">
        <v>83</v>
      </c>
      <c r="H414" s="453" t="s">
        <v>6109</v>
      </c>
      <c r="I414" s="454" t="s">
        <v>6231</v>
      </c>
      <c r="J414" s="454" t="s">
        <v>68</v>
      </c>
      <c r="K414" s="136" t="s">
        <v>15</v>
      </c>
      <c r="L414" s="459" t="s">
        <v>4550</v>
      </c>
      <c r="M414" s="455">
        <v>2</v>
      </c>
      <c r="N414" s="764"/>
      <c r="O414" s="431"/>
      <c r="P414" s="764"/>
    </row>
    <row r="415" spans="1:16" s="17" customFormat="1" ht="40.5">
      <c r="A415" s="604"/>
      <c r="B415" s="198">
        <v>46196</v>
      </c>
      <c r="C415" s="3" t="s">
        <v>21</v>
      </c>
      <c r="D415" s="3" t="s">
        <v>14</v>
      </c>
      <c r="E415" s="472" t="s">
        <v>149</v>
      </c>
      <c r="F415" s="454" t="s">
        <v>4090</v>
      </c>
      <c r="G415" s="459" t="s">
        <v>4091</v>
      </c>
      <c r="H415" s="453" t="s">
        <v>6309</v>
      </c>
      <c r="I415" s="454" t="s">
        <v>6236</v>
      </c>
      <c r="J415" s="453" t="s">
        <v>6097</v>
      </c>
      <c r="K415" s="136" t="s">
        <v>15</v>
      </c>
      <c r="L415" s="459">
        <v>9080</v>
      </c>
      <c r="M415" s="455">
        <v>3</v>
      </c>
      <c r="N415" s="454"/>
      <c r="O415" s="473" t="s">
        <v>6310</v>
      </c>
      <c r="P415" s="764"/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72" t="s">
        <v>149</v>
      </c>
      <c r="F416" s="454" t="s">
        <v>4090</v>
      </c>
      <c r="G416" s="459" t="s">
        <v>4091</v>
      </c>
      <c r="H416" s="453" t="s">
        <v>6308</v>
      </c>
      <c r="I416" s="454" t="s">
        <v>6236</v>
      </c>
      <c r="J416" s="453" t="s">
        <v>487</v>
      </c>
      <c r="K416" s="136" t="s">
        <v>15</v>
      </c>
      <c r="L416" s="459">
        <v>9080</v>
      </c>
      <c r="M416" s="455">
        <v>3</v>
      </c>
      <c r="N416" s="456"/>
      <c r="O416" s="473"/>
      <c r="P416" s="764" t="s">
        <v>6248</v>
      </c>
    </row>
    <row r="417" spans="1:16" s="17" customFormat="1" ht="33" customHeight="1">
      <c r="A417" s="604"/>
      <c r="B417" s="198">
        <v>46197</v>
      </c>
      <c r="C417" s="3" t="s">
        <v>21</v>
      </c>
      <c r="D417" s="3" t="s">
        <v>14</v>
      </c>
      <c r="E417" s="454" t="s">
        <v>107</v>
      </c>
      <c r="F417" s="454" t="s">
        <v>2959</v>
      </c>
      <c r="G417" s="459" t="s">
        <v>143</v>
      </c>
      <c r="H417" s="453" t="s">
        <v>6247</v>
      </c>
      <c r="I417" s="454" t="s">
        <v>6264</v>
      </c>
      <c r="J417" s="453" t="s">
        <v>999</v>
      </c>
      <c r="K417" s="136" t="s">
        <v>15</v>
      </c>
      <c r="L417" s="459" t="s">
        <v>6258</v>
      </c>
      <c r="M417" s="455">
        <v>2</v>
      </c>
      <c r="N417" s="456"/>
      <c r="O417" s="473"/>
      <c r="P417" s="764"/>
    </row>
    <row r="418" spans="1:16" s="17" customFormat="1" ht="33" customHeight="1">
      <c r="A418" s="604"/>
      <c r="B418" s="198">
        <v>46197</v>
      </c>
      <c r="C418" s="3" t="s">
        <v>21</v>
      </c>
      <c r="D418" s="3" t="s">
        <v>6259</v>
      </c>
      <c r="E418" s="454" t="s">
        <v>107</v>
      </c>
      <c r="F418" s="454" t="s">
        <v>2959</v>
      </c>
      <c r="G418" s="459" t="s">
        <v>553</v>
      </c>
      <c r="H418" s="453" t="s">
        <v>6232</v>
      </c>
      <c r="I418" s="454" t="s">
        <v>6265</v>
      </c>
      <c r="J418" s="453" t="s">
        <v>6242</v>
      </c>
      <c r="K418" s="136" t="s">
        <v>15</v>
      </c>
      <c r="L418" s="459" t="s">
        <v>6258</v>
      </c>
      <c r="M418" s="455">
        <v>2</v>
      </c>
      <c r="N418" s="456"/>
      <c r="O418" s="473"/>
      <c r="P418" s="764"/>
    </row>
    <row r="419" spans="1:16" s="17" customFormat="1" ht="33" customHeight="1">
      <c r="A419" s="604"/>
      <c r="B419" s="198">
        <v>46197</v>
      </c>
      <c r="C419" s="3" t="s">
        <v>21</v>
      </c>
      <c r="D419" s="3" t="s">
        <v>6259</v>
      </c>
      <c r="E419" s="454" t="s">
        <v>107</v>
      </c>
      <c r="F419" s="454" t="s">
        <v>6223</v>
      </c>
      <c r="G419" s="459" t="s">
        <v>6260</v>
      </c>
      <c r="H419" s="453" t="s">
        <v>6261</v>
      </c>
      <c r="I419" s="454"/>
      <c r="J419" s="453" t="s">
        <v>6262</v>
      </c>
      <c r="K419" s="136" t="s">
        <v>6257</v>
      </c>
      <c r="L419" s="459" t="s">
        <v>6263</v>
      </c>
      <c r="M419" s="455">
        <v>1</v>
      </c>
      <c r="N419" s="456"/>
      <c r="O419" s="473" t="s">
        <v>6267</v>
      </c>
      <c r="P419" s="764"/>
    </row>
    <row r="420" spans="1:16" s="17" customFormat="1" ht="33" customHeight="1">
      <c r="A420" s="604"/>
      <c r="B420" s="198">
        <v>46198</v>
      </c>
      <c r="C420" s="3" t="s">
        <v>24</v>
      </c>
      <c r="D420" s="3" t="s">
        <v>31</v>
      </c>
      <c r="E420" s="453" t="s">
        <v>6096</v>
      </c>
      <c r="F420" s="454" t="s">
        <v>2713</v>
      </c>
      <c r="G420" s="459" t="s">
        <v>115</v>
      </c>
      <c r="H420" s="453" t="s">
        <v>6218</v>
      </c>
      <c r="I420" s="454"/>
      <c r="J420" s="453" t="s">
        <v>6097</v>
      </c>
      <c r="K420" s="136" t="s">
        <v>15</v>
      </c>
      <c r="L420" s="459">
        <v>9080</v>
      </c>
      <c r="M420" s="455">
        <v>2</v>
      </c>
      <c r="N420" s="456"/>
      <c r="O420" s="473" t="s">
        <v>6270</v>
      </c>
      <c r="P420" s="764"/>
    </row>
    <row r="421" spans="1:16" s="17" customFormat="1" ht="33" customHeight="1">
      <c r="A421" s="604"/>
      <c r="B421" s="198">
        <v>46198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 t="s">
        <v>4550</v>
      </c>
      <c r="M421" s="455">
        <v>2</v>
      </c>
      <c r="N421" s="456"/>
      <c r="O421" s="473"/>
      <c r="P421" s="764"/>
    </row>
    <row r="422" spans="1:16" s="17" customFormat="1" ht="33" customHeight="1">
      <c r="A422" s="604"/>
      <c r="B422" s="198">
        <v>46198</v>
      </c>
      <c r="C422" s="3" t="s">
        <v>6249</v>
      </c>
      <c r="D422" s="3" t="s">
        <v>6250</v>
      </c>
      <c r="E422" s="454" t="s">
        <v>6251</v>
      </c>
      <c r="F422" s="454" t="s">
        <v>6252</v>
      </c>
      <c r="G422" s="459" t="s">
        <v>6253</v>
      </c>
      <c r="H422" s="453" t="s">
        <v>6254</v>
      </c>
      <c r="I422" s="454" t="s">
        <v>6255</v>
      </c>
      <c r="J422" s="454" t="s">
        <v>6256</v>
      </c>
      <c r="K422" s="136" t="s">
        <v>6257</v>
      </c>
      <c r="L422" s="459" t="s">
        <v>6258</v>
      </c>
      <c r="M422" s="455">
        <v>3</v>
      </c>
      <c r="N422" s="456"/>
      <c r="O422" s="473"/>
      <c r="P422" s="764"/>
    </row>
    <row r="423" spans="1:16" s="17" customFormat="1" ht="33" customHeight="1">
      <c r="A423" s="604"/>
      <c r="B423" s="198">
        <v>46199</v>
      </c>
      <c r="C423" s="3" t="s">
        <v>6249</v>
      </c>
      <c r="D423" s="3" t="s">
        <v>6250</v>
      </c>
      <c r="E423" s="454" t="s">
        <v>6251</v>
      </c>
      <c r="F423" s="454" t="s">
        <v>6252</v>
      </c>
      <c r="G423" s="459" t="s">
        <v>6253</v>
      </c>
      <c r="H423" s="453" t="s">
        <v>6254</v>
      </c>
      <c r="I423" s="454" t="s">
        <v>6255</v>
      </c>
      <c r="J423" s="454" t="s">
        <v>6256</v>
      </c>
      <c r="K423" s="136" t="s">
        <v>6257</v>
      </c>
      <c r="L423" s="459" t="s">
        <v>6258</v>
      </c>
      <c r="M423" s="455">
        <v>3</v>
      </c>
      <c r="N423" s="456"/>
      <c r="O423" s="473"/>
      <c r="P423" s="764" t="s">
        <v>6248</v>
      </c>
    </row>
    <row r="424" spans="1:16" s="17" customFormat="1" ht="33" customHeight="1">
      <c r="A424" s="604"/>
      <c r="B424" s="198">
        <v>46199</v>
      </c>
      <c r="C424" s="3" t="s">
        <v>21</v>
      </c>
      <c r="D424" s="3" t="s">
        <v>14</v>
      </c>
      <c r="E424" s="454" t="s">
        <v>1893</v>
      </c>
      <c r="F424" s="454" t="s">
        <v>4939</v>
      </c>
      <c r="G424" s="459" t="s">
        <v>482</v>
      </c>
      <c r="H424" s="453" t="s">
        <v>271</v>
      </c>
      <c r="I424" s="453" t="s">
        <v>493</v>
      </c>
      <c r="J424" s="453" t="s">
        <v>999</v>
      </c>
      <c r="K424" s="136" t="s">
        <v>15</v>
      </c>
      <c r="L424" s="459">
        <v>9080</v>
      </c>
      <c r="M424" s="455">
        <v>2</v>
      </c>
      <c r="N424" s="456"/>
      <c r="O424" s="473"/>
      <c r="P424" s="764"/>
    </row>
    <row r="425" spans="1:16" s="17" customFormat="1" ht="33" customHeight="1">
      <c r="A425" s="605"/>
      <c r="B425" s="369">
        <v>46200</v>
      </c>
      <c r="C425" s="4"/>
      <c r="D425" s="4"/>
      <c r="E425" s="291"/>
      <c r="F425" s="594"/>
      <c r="G425" s="16"/>
      <c r="H425" s="598"/>
      <c r="I425" s="594"/>
      <c r="J425" s="594"/>
      <c r="K425" s="125"/>
      <c r="L425" s="16"/>
      <c r="M425" s="8"/>
      <c r="N425" s="594"/>
      <c r="O425" s="432"/>
      <c r="P425" s="764"/>
    </row>
    <row r="426" spans="1:16" s="17" customFormat="1" ht="33" customHeight="1">
      <c r="A426" s="322" t="s">
        <v>0</v>
      </c>
      <c r="B426" s="323" t="s">
        <v>1</v>
      </c>
      <c r="C426" s="322" t="s">
        <v>2</v>
      </c>
      <c r="D426" s="322" t="s">
        <v>3</v>
      </c>
      <c r="E426" s="322" t="s">
        <v>4</v>
      </c>
      <c r="F426" s="322" t="s">
        <v>5</v>
      </c>
      <c r="G426" s="322" t="s">
        <v>6</v>
      </c>
      <c r="H426" s="324" t="s">
        <v>7</v>
      </c>
      <c r="I426" s="322" t="s">
        <v>8</v>
      </c>
      <c r="J426" s="322" t="s">
        <v>9</v>
      </c>
      <c r="K426" s="325" t="s">
        <v>10</v>
      </c>
      <c r="L426" s="326" t="s">
        <v>11</v>
      </c>
      <c r="M426" s="322" t="s">
        <v>12</v>
      </c>
      <c r="N426" s="327" t="s">
        <v>13</v>
      </c>
      <c r="O426" s="427" t="s">
        <v>63</v>
      </c>
      <c r="P426" s="322" t="s">
        <v>123</v>
      </c>
    </row>
    <row r="427" spans="1:16" s="17" customFormat="1" ht="33" customHeight="1">
      <c r="A427" s="603" t="s">
        <v>5627</v>
      </c>
      <c r="B427" s="399">
        <v>46202</v>
      </c>
      <c r="C427" s="3" t="s">
        <v>21</v>
      </c>
      <c r="D427" s="3" t="s">
        <v>14</v>
      </c>
      <c r="E427" s="454" t="s">
        <v>211</v>
      </c>
      <c r="F427" s="454" t="s">
        <v>5754</v>
      </c>
      <c r="G427" s="459" t="s">
        <v>5832</v>
      </c>
      <c r="H427" s="453" t="s">
        <v>6108</v>
      </c>
      <c r="I427" s="764" t="s">
        <v>120</v>
      </c>
      <c r="J427" s="764" t="s">
        <v>2828</v>
      </c>
      <c r="K427" s="125" t="s">
        <v>15</v>
      </c>
      <c r="L427" s="16" t="s">
        <v>33</v>
      </c>
      <c r="M427" s="8">
        <v>2</v>
      </c>
      <c r="N427" s="594"/>
      <c r="O427" s="431"/>
      <c r="P427" s="764"/>
    </row>
    <row r="428" spans="1:16" s="17" customFormat="1" ht="33" customHeight="1">
      <c r="A428" s="604"/>
      <c r="B428" s="399">
        <v>46202</v>
      </c>
      <c r="C428" s="3" t="s">
        <v>21</v>
      </c>
      <c r="D428" s="3" t="s">
        <v>17</v>
      </c>
      <c r="E428" s="454" t="s">
        <v>6144</v>
      </c>
      <c r="F428" s="454" t="s">
        <v>6145</v>
      </c>
      <c r="G428" s="459" t="s">
        <v>6147</v>
      </c>
      <c r="H428" s="453" t="s">
        <v>3390</v>
      </c>
      <c r="I428" s="454"/>
      <c r="J428" s="453" t="s">
        <v>6146</v>
      </c>
      <c r="K428" s="136" t="s">
        <v>15</v>
      </c>
      <c r="L428" s="459" t="s">
        <v>4550</v>
      </c>
      <c r="M428" s="455">
        <v>2</v>
      </c>
      <c r="N428" s="753"/>
      <c r="O428" s="431"/>
      <c r="P428" s="764"/>
    </row>
    <row r="429" spans="1:16" s="17" customFormat="1" ht="33" customHeight="1">
      <c r="A429" s="604"/>
      <c r="B429" s="399">
        <v>46202</v>
      </c>
      <c r="C429" s="3" t="s">
        <v>24</v>
      </c>
      <c r="D429" s="3" t="s">
        <v>6221</v>
      </c>
      <c r="E429" s="454" t="s">
        <v>6222</v>
      </c>
      <c r="F429" s="454" t="s">
        <v>6223</v>
      </c>
      <c r="G429" s="459" t="s">
        <v>6216</v>
      </c>
      <c r="H429" s="453" t="s">
        <v>6229</v>
      </c>
      <c r="I429" s="454" t="s">
        <v>6224</v>
      </c>
      <c r="J429" s="453" t="s">
        <v>6225</v>
      </c>
      <c r="K429" s="136" t="s">
        <v>6220</v>
      </c>
      <c r="L429" s="459" t="s">
        <v>6226</v>
      </c>
      <c r="M429" s="455">
        <v>2</v>
      </c>
      <c r="N429" s="764"/>
      <c r="O429" s="431"/>
      <c r="P429" s="764"/>
    </row>
    <row r="430" spans="1:16" s="17" customFormat="1" ht="33" customHeight="1">
      <c r="A430" s="604"/>
      <c r="B430" s="399">
        <v>46203</v>
      </c>
      <c r="C430" s="3" t="s">
        <v>24</v>
      </c>
      <c r="D430" s="3" t="s">
        <v>6221</v>
      </c>
      <c r="E430" s="454" t="s">
        <v>6222</v>
      </c>
      <c r="F430" s="454" t="s">
        <v>6223</v>
      </c>
      <c r="G430" s="459" t="s">
        <v>6216</v>
      </c>
      <c r="H430" s="453" t="s">
        <v>6228</v>
      </c>
      <c r="I430" s="454" t="s">
        <v>6224</v>
      </c>
      <c r="J430" s="453" t="s">
        <v>6225</v>
      </c>
      <c r="K430" s="136" t="s">
        <v>6220</v>
      </c>
      <c r="L430" s="459" t="s">
        <v>6226</v>
      </c>
      <c r="M430" s="455">
        <v>2</v>
      </c>
      <c r="N430" s="753"/>
      <c r="O430" s="431"/>
      <c r="P430" s="764"/>
    </row>
    <row r="431" spans="1:16" s="17" customFormat="1" ht="33" customHeight="1">
      <c r="A431" s="604"/>
      <c r="B431" s="399">
        <v>46203</v>
      </c>
      <c r="C431" s="4"/>
      <c r="D431" s="4"/>
      <c r="E431" s="753"/>
      <c r="F431" s="753"/>
      <c r="G431" s="16"/>
      <c r="H431" s="755"/>
      <c r="I431" s="753"/>
      <c r="J431" s="753"/>
      <c r="K431" s="125"/>
      <c r="L431" s="16"/>
      <c r="M431" s="8"/>
      <c r="N431" s="594"/>
      <c r="O431" s="431"/>
      <c r="P431" s="764"/>
    </row>
    <row r="432" spans="1:16" s="17" customFormat="1" ht="33" customHeight="1">
      <c r="A432" s="604"/>
      <c r="B432" s="399">
        <v>46203</v>
      </c>
      <c r="C432" s="4" t="s">
        <v>29</v>
      </c>
      <c r="D432" s="4" t="s">
        <v>31</v>
      </c>
      <c r="E432" s="766" t="s">
        <v>78</v>
      </c>
      <c r="F432" s="764" t="s">
        <v>5975</v>
      </c>
      <c r="G432" s="16" t="s">
        <v>145</v>
      </c>
      <c r="H432" s="766" t="s">
        <v>5976</v>
      </c>
      <c r="I432" s="764" t="s">
        <v>5979</v>
      </c>
      <c r="J432" s="764" t="s">
        <v>5977</v>
      </c>
      <c r="K432" s="125" t="s">
        <v>15</v>
      </c>
      <c r="L432" s="16" t="s">
        <v>4550</v>
      </c>
      <c r="M432" s="8">
        <v>4</v>
      </c>
      <c r="N432" s="764"/>
      <c r="O432" s="431" t="s">
        <v>6237</v>
      </c>
      <c r="P432" s="764"/>
    </row>
    <row r="433" spans="1:16" s="17" customFormat="1" ht="33" customHeight="1">
      <c r="A433" s="604"/>
      <c r="B433" s="399">
        <v>46204</v>
      </c>
      <c r="C433" s="3" t="s">
        <v>21</v>
      </c>
      <c r="D433" s="3" t="s">
        <v>17</v>
      </c>
      <c r="E433" s="454" t="s">
        <v>107</v>
      </c>
      <c r="F433" s="454" t="s">
        <v>2959</v>
      </c>
      <c r="G433" s="459" t="s">
        <v>109</v>
      </c>
      <c r="H433" s="453" t="s">
        <v>6233</v>
      </c>
      <c r="I433" s="454"/>
      <c r="J433" s="453" t="s">
        <v>641</v>
      </c>
      <c r="K433" s="136" t="s">
        <v>15</v>
      </c>
      <c r="L433" s="459" t="s">
        <v>4550</v>
      </c>
      <c r="M433" s="455">
        <v>2</v>
      </c>
      <c r="N433" s="764"/>
      <c r="O433" s="431"/>
      <c r="P433" s="764"/>
    </row>
    <row r="434" spans="1:16" s="17" customFormat="1" ht="33" customHeight="1">
      <c r="A434" s="604"/>
      <c r="B434" s="399">
        <v>46204</v>
      </c>
      <c r="C434" s="4"/>
      <c r="D434" s="4"/>
      <c r="E434" s="753"/>
      <c r="F434" s="753"/>
      <c r="G434" s="16"/>
      <c r="H434" s="755"/>
      <c r="I434" s="753"/>
      <c r="J434" s="753"/>
      <c r="K434" s="125"/>
      <c r="L434" s="16"/>
      <c r="M434" s="8"/>
      <c r="N434" s="595"/>
      <c r="O434" s="430"/>
      <c r="P434" s="764"/>
    </row>
    <row r="435" spans="1:16" s="17" customFormat="1" ht="33" customHeight="1">
      <c r="A435" s="604"/>
      <c r="B435" s="399">
        <v>46205</v>
      </c>
      <c r="C435" s="4" t="s">
        <v>21</v>
      </c>
      <c r="D435" s="4" t="s">
        <v>14</v>
      </c>
      <c r="E435" s="594" t="s">
        <v>1787</v>
      </c>
      <c r="F435" s="594" t="s">
        <v>2978</v>
      </c>
      <c r="G435" s="16" t="s">
        <v>4108</v>
      </c>
      <c r="H435" s="598" t="s">
        <v>900</v>
      </c>
      <c r="I435" s="594"/>
      <c r="J435" s="598" t="s">
        <v>3074</v>
      </c>
      <c r="K435" s="125" t="s">
        <v>105</v>
      </c>
      <c r="L435" s="16" t="s">
        <v>4550</v>
      </c>
      <c r="M435" s="8">
        <v>1</v>
      </c>
      <c r="N435" s="595"/>
      <c r="O435" s="430"/>
      <c r="P435" s="764"/>
    </row>
    <row r="436" spans="1:16" s="17" customFormat="1" ht="33" customHeight="1">
      <c r="A436" s="604"/>
      <c r="B436" s="399">
        <v>46205</v>
      </c>
      <c r="C436" s="4"/>
      <c r="D436" s="4"/>
      <c r="E436" s="753"/>
      <c r="F436" s="753"/>
      <c r="G436" s="16"/>
      <c r="H436" s="755"/>
      <c r="I436" s="753"/>
      <c r="J436" s="753"/>
      <c r="K436" s="125"/>
      <c r="L436" s="16"/>
      <c r="M436" s="8"/>
      <c r="N436" s="754"/>
      <c r="O436" s="430"/>
      <c r="P436" s="764"/>
    </row>
    <row r="437" spans="1:16" s="17" customFormat="1" ht="33" customHeight="1">
      <c r="A437" s="604"/>
      <c r="B437" s="399">
        <v>46205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109</v>
      </c>
      <c r="H437" s="453" t="s">
        <v>3390</v>
      </c>
      <c r="I437" s="454"/>
      <c r="J437" s="453" t="s">
        <v>641</v>
      </c>
      <c r="K437" s="136" t="s">
        <v>15</v>
      </c>
      <c r="L437" s="459" t="s">
        <v>4550</v>
      </c>
      <c r="M437" s="455">
        <v>2</v>
      </c>
      <c r="N437" s="765"/>
      <c r="O437" s="430"/>
      <c r="P437" s="764"/>
    </row>
    <row r="438" spans="1:16" s="17" customFormat="1" ht="33" customHeight="1">
      <c r="A438" s="604"/>
      <c r="B438" s="399">
        <v>46206</v>
      </c>
      <c r="C438" s="4" t="s">
        <v>21</v>
      </c>
      <c r="D438" s="4" t="s">
        <v>14</v>
      </c>
      <c r="E438" s="594" t="s">
        <v>1787</v>
      </c>
      <c r="F438" s="594" t="s">
        <v>2978</v>
      </c>
      <c r="G438" s="16" t="s">
        <v>843</v>
      </c>
      <c r="H438" s="598" t="s">
        <v>900</v>
      </c>
      <c r="I438" s="753"/>
      <c r="J438" s="598" t="s">
        <v>3074</v>
      </c>
      <c r="K438" s="125" t="s">
        <v>15</v>
      </c>
      <c r="L438" s="16" t="s">
        <v>4550</v>
      </c>
      <c r="M438" s="8">
        <v>1</v>
      </c>
      <c r="N438" s="595"/>
      <c r="O438" s="430"/>
      <c r="P438" s="764"/>
    </row>
    <row r="439" spans="1:16" s="17" customFormat="1" ht="33" customHeight="1">
      <c r="A439" s="604"/>
      <c r="B439" s="399">
        <v>46206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142</v>
      </c>
      <c r="H439" s="598" t="s">
        <v>900</v>
      </c>
      <c r="I439" s="753"/>
      <c r="J439" s="598" t="s">
        <v>3074</v>
      </c>
      <c r="K439" s="125" t="s">
        <v>105</v>
      </c>
      <c r="L439" s="16" t="s">
        <v>4550</v>
      </c>
      <c r="M439" s="8">
        <v>1</v>
      </c>
      <c r="N439" s="595"/>
      <c r="O439" s="430"/>
      <c r="P439" s="764"/>
    </row>
    <row r="440" spans="1:16" s="17" customFormat="1" ht="33" customHeight="1">
      <c r="A440" s="604"/>
      <c r="B440" s="399">
        <v>46206</v>
      </c>
      <c r="C440" s="3"/>
      <c r="D440" s="3"/>
      <c r="E440" s="454"/>
      <c r="F440" s="454"/>
      <c r="G440" s="459"/>
      <c r="H440" s="766"/>
      <c r="I440" s="764"/>
      <c r="J440" s="766"/>
      <c r="K440" s="125"/>
      <c r="L440" s="16"/>
      <c r="M440" s="8"/>
      <c r="N440" s="765"/>
      <c r="O440" s="430"/>
      <c r="P440" s="764"/>
    </row>
    <row r="441" spans="1:16" s="17" customFormat="1" ht="33" customHeight="1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4"/>
    </row>
    <row r="442" spans="1:16" s="17" customFormat="1" ht="33" customHeight="1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>
      <c r="A443" s="603" t="s">
        <v>5628</v>
      </c>
      <c r="B443" s="399">
        <v>46209</v>
      </c>
      <c r="C443" s="3"/>
      <c r="D443" s="3"/>
      <c r="E443" s="454"/>
      <c r="F443" s="454"/>
      <c r="G443" s="459"/>
      <c r="H443" s="766"/>
      <c r="I443" s="594"/>
      <c r="J443" s="594"/>
      <c r="K443" s="125"/>
      <c r="L443" s="16"/>
      <c r="M443" s="8"/>
      <c r="N443" s="594"/>
      <c r="O443" s="431"/>
      <c r="P443" s="764"/>
    </row>
    <row r="444" spans="1:16" s="17" customFormat="1" ht="33" customHeight="1">
      <c r="A444" s="604"/>
      <c r="B444" s="399">
        <v>46210</v>
      </c>
      <c r="C444" s="3" t="s">
        <v>24</v>
      </c>
      <c r="D444" s="3" t="s">
        <v>6221</v>
      </c>
      <c r="E444" s="454" t="s">
        <v>6222</v>
      </c>
      <c r="F444" s="454" t="s">
        <v>6223</v>
      </c>
      <c r="G444" s="459" t="s">
        <v>6216</v>
      </c>
      <c r="H444" s="598" t="s">
        <v>6230</v>
      </c>
      <c r="I444" s="594"/>
      <c r="J444" s="594"/>
      <c r="K444" s="125"/>
      <c r="L444" s="16"/>
      <c r="M444" s="8"/>
      <c r="N444" s="594"/>
      <c r="O444" s="431"/>
      <c r="P444" s="764"/>
    </row>
    <row r="445" spans="1:16" s="17" customFormat="1" ht="33" customHeight="1">
      <c r="A445" s="604"/>
      <c r="B445" s="399">
        <v>46211</v>
      </c>
      <c r="C445" s="4"/>
      <c r="D445" s="4"/>
      <c r="E445" s="594"/>
      <c r="F445" s="594"/>
      <c r="G445" s="16"/>
      <c r="H445" s="598"/>
      <c r="I445" s="594"/>
      <c r="J445" s="598"/>
      <c r="K445" s="125"/>
      <c r="L445" s="16"/>
      <c r="M445" s="8"/>
      <c r="N445" s="595"/>
      <c r="O445" s="430"/>
      <c r="P445" s="764"/>
    </row>
    <row r="446" spans="1:16" s="17" customFormat="1" ht="33" customHeight="1">
      <c r="A446" s="604"/>
      <c r="B446" s="399">
        <v>46212</v>
      </c>
      <c r="C446" s="4"/>
      <c r="D446" s="4"/>
      <c r="E446" s="594"/>
      <c r="F446" s="594"/>
      <c r="G446" s="16"/>
      <c r="H446" s="598"/>
      <c r="I446" s="594"/>
      <c r="J446" s="598"/>
      <c r="K446" s="125"/>
      <c r="L446" s="16"/>
      <c r="M446" s="8"/>
      <c r="N446" s="595"/>
      <c r="O446" s="430"/>
      <c r="P446" s="764"/>
    </row>
    <row r="447" spans="1:16" s="17" customFormat="1" ht="33" customHeight="1">
      <c r="A447" s="604"/>
      <c r="B447" s="399">
        <v>46213</v>
      </c>
      <c r="C447" s="4"/>
      <c r="D447" s="4"/>
      <c r="E447" s="594"/>
      <c r="F447" s="594"/>
      <c r="G447" s="16"/>
      <c r="H447" s="598"/>
      <c r="I447" s="594"/>
      <c r="J447" s="598"/>
      <c r="K447" s="125"/>
      <c r="L447" s="16"/>
      <c r="M447" s="8"/>
      <c r="N447" s="595"/>
      <c r="O447" s="430"/>
      <c r="P447" s="764"/>
    </row>
    <row r="448" spans="1:16" s="17" customFormat="1" ht="33" customHeight="1">
      <c r="A448" s="605"/>
      <c r="B448" s="369">
        <v>46214</v>
      </c>
      <c r="C448" s="4"/>
      <c r="D448" s="4"/>
      <c r="E448" s="291"/>
      <c r="F448" s="594"/>
      <c r="G448" s="16"/>
      <c r="H448" s="598"/>
      <c r="I448" s="594"/>
      <c r="J448" s="594"/>
      <c r="K448" s="125"/>
      <c r="L448" s="16"/>
      <c r="M448" s="8"/>
      <c r="N448" s="594"/>
      <c r="O448" s="432"/>
      <c r="P448" s="764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5629</v>
      </c>
      <c r="B450" s="399">
        <v>46216</v>
      </c>
      <c r="C450" s="4" t="s">
        <v>21</v>
      </c>
      <c r="D450" s="4" t="s">
        <v>14</v>
      </c>
      <c r="E450" s="764" t="s">
        <v>211</v>
      </c>
      <c r="F450" s="764" t="s">
        <v>2916</v>
      </c>
      <c r="G450" s="16" t="s">
        <v>2917</v>
      </c>
      <c r="H450" s="766" t="s">
        <v>6149</v>
      </c>
      <c r="I450" s="764"/>
      <c r="J450" s="764" t="s">
        <v>1873</v>
      </c>
      <c r="K450" s="125" t="s">
        <v>15</v>
      </c>
      <c r="L450" s="16" t="s">
        <v>6227</v>
      </c>
      <c r="M450" s="8">
        <v>2</v>
      </c>
      <c r="N450" s="594"/>
      <c r="O450" s="431"/>
      <c r="P450" s="764"/>
    </row>
    <row r="451" spans="1:16" s="17" customFormat="1" ht="33" customHeight="1">
      <c r="A451" s="604"/>
      <c r="B451" s="399"/>
      <c r="C451" s="4"/>
      <c r="D451" s="4"/>
      <c r="E451" s="764"/>
      <c r="F451" s="764"/>
      <c r="G451" s="16"/>
      <c r="H451" s="766"/>
      <c r="I451" s="764"/>
      <c r="J451" s="764"/>
      <c r="K451" s="125"/>
      <c r="L451" s="16"/>
      <c r="M451" s="8"/>
      <c r="N451" s="764"/>
      <c r="O451" s="431"/>
      <c r="P451" s="764"/>
    </row>
    <row r="452" spans="1:16" s="17" customFormat="1" ht="33" customHeight="1">
      <c r="A452" s="604"/>
      <c r="B452" s="399">
        <v>46217</v>
      </c>
      <c r="C452" s="4" t="s">
        <v>21</v>
      </c>
      <c r="D452" s="4" t="s">
        <v>14</v>
      </c>
      <c r="E452" s="764" t="s">
        <v>211</v>
      </c>
      <c r="F452" s="764" t="s">
        <v>2916</v>
      </c>
      <c r="G452" s="16" t="s">
        <v>2917</v>
      </c>
      <c r="H452" s="766" t="s">
        <v>6245</v>
      </c>
      <c r="I452" s="764" t="s">
        <v>6224</v>
      </c>
      <c r="J452" s="764" t="s">
        <v>6246</v>
      </c>
      <c r="K452" s="125" t="s">
        <v>15</v>
      </c>
      <c r="L452" s="16" t="s">
        <v>4550</v>
      </c>
      <c r="M452" s="8">
        <v>2</v>
      </c>
      <c r="N452" s="594"/>
      <c r="O452" s="431"/>
      <c r="P452" s="764"/>
    </row>
    <row r="453" spans="1:16" s="17" customFormat="1" ht="33" customHeight="1">
      <c r="A453" s="604"/>
      <c r="B453" s="399">
        <v>46218</v>
      </c>
      <c r="C453" s="4" t="s">
        <v>21</v>
      </c>
      <c r="D453" s="4" t="s">
        <v>14</v>
      </c>
      <c r="E453" s="764" t="s">
        <v>211</v>
      </c>
      <c r="F453" s="764" t="s">
        <v>2916</v>
      </c>
      <c r="G453" s="16" t="s">
        <v>2917</v>
      </c>
      <c r="H453" s="766" t="s">
        <v>6148</v>
      </c>
      <c r="I453" s="764"/>
      <c r="J453" s="764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4"/>
    </row>
    <row r="454" spans="1:16" s="17" customFormat="1" ht="33" customHeight="1">
      <c r="A454" s="604"/>
      <c r="B454" s="399">
        <v>46219</v>
      </c>
      <c r="C454" s="4" t="s">
        <v>21</v>
      </c>
      <c r="D454" s="4" t="s">
        <v>14</v>
      </c>
      <c r="E454" s="764" t="s">
        <v>211</v>
      </c>
      <c r="F454" s="764" t="s">
        <v>2916</v>
      </c>
      <c r="G454" s="16" t="s">
        <v>2917</v>
      </c>
      <c r="H454" s="766" t="s">
        <v>6148</v>
      </c>
      <c r="I454" s="764"/>
      <c r="J454" s="764" t="s">
        <v>1873</v>
      </c>
      <c r="K454" s="125" t="s">
        <v>15</v>
      </c>
      <c r="L454" s="16" t="s">
        <v>4550</v>
      </c>
      <c r="M454" s="8">
        <v>2</v>
      </c>
      <c r="N454" s="595"/>
      <c r="O454" s="430"/>
      <c r="P454" s="764"/>
    </row>
    <row r="455" spans="1:16" s="17" customFormat="1" ht="33" customHeight="1">
      <c r="A455" s="604"/>
      <c r="B455" s="399">
        <v>46220</v>
      </c>
      <c r="C455" s="4" t="s">
        <v>21</v>
      </c>
      <c r="D455" s="4" t="s">
        <v>14</v>
      </c>
      <c r="E455" s="764" t="s">
        <v>211</v>
      </c>
      <c r="F455" s="764" t="s">
        <v>2916</v>
      </c>
      <c r="G455" s="16" t="s">
        <v>2917</v>
      </c>
      <c r="H455" s="766" t="s">
        <v>6244</v>
      </c>
      <c r="I455" s="764"/>
      <c r="J455" s="764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4"/>
    </row>
    <row r="456" spans="1:16" s="17" customFormat="1" ht="33" customHeight="1">
      <c r="A456" s="605"/>
      <c r="B456" s="369">
        <v>46221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4"/>
    </row>
    <row r="457" spans="1:16" s="17" customFormat="1" ht="33" customHeight="1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6" s="17" customFormat="1" ht="33" customHeight="1">
      <c r="A458" s="603" t="s">
        <v>5630</v>
      </c>
      <c r="B458" s="399">
        <v>46223</v>
      </c>
      <c r="C458" s="4" t="s">
        <v>113</v>
      </c>
      <c r="D458" s="4" t="s">
        <v>2202</v>
      </c>
      <c r="E458" s="654" t="s">
        <v>899</v>
      </c>
      <c r="F458" s="654" t="s">
        <v>1968</v>
      </c>
      <c r="G458" s="16" t="s">
        <v>376</v>
      </c>
      <c r="H458" s="655" t="s">
        <v>4109</v>
      </c>
      <c r="I458" s="594"/>
      <c r="J458" s="594"/>
      <c r="K458" s="125"/>
      <c r="L458" s="16"/>
      <c r="M458" s="8"/>
      <c r="N458" s="594"/>
      <c r="O458" s="431"/>
      <c r="P458" s="764"/>
    </row>
    <row r="459" spans="1:16" s="17" customFormat="1" ht="33" customHeight="1">
      <c r="A459" s="604"/>
      <c r="B459" s="399">
        <v>46224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5358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4"/>
    </row>
    <row r="460" spans="1:16" s="17" customFormat="1" ht="33" customHeight="1">
      <c r="A460" s="604"/>
      <c r="B460" s="399">
        <v>46225</v>
      </c>
      <c r="C460" s="4"/>
      <c r="D460" s="4"/>
      <c r="E460" s="594"/>
      <c r="F460" s="594"/>
      <c r="G460" s="16"/>
      <c r="H460" s="598"/>
      <c r="I460" s="594"/>
      <c r="J460" s="598"/>
      <c r="K460" s="125"/>
      <c r="L460" s="16"/>
      <c r="M460" s="8"/>
      <c r="N460" s="595"/>
      <c r="O460" s="430"/>
      <c r="P460" s="764"/>
    </row>
    <row r="461" spans="1:16" s="17" customFormat="1" ht="33" customHeight="1">
      <c r="A461" s="604"/>
      <c r="B461" s="399">
        <v>46226</v>
      </c>
      <c r="C461" s="4"/>
      <c r="D461" s="4"/>
      <c r="E461" s="594"/>
      <c r="F461" s="594"/>
      <c r="G461" s="16"/>
      <c r="H461" s="598"/>
      <c r="I461" s="594"/>
      <c r="J461" s="598"/>
      <c r="K461" s="125"/>
      <c r="L461" s="16"/>
      <c r="M461" s="8"/>
      <c r="N461" s="595"/>
      <c r="O461" s="430"/>
      <c r="P461" s="764"/>
    </row>
    <row r="462" spans="1:16" s="17" customFormat="1" ht="33" customHeight="1">
      <c r="A462" s="604"/>
      <c r="B462" s="399">
        <v>46227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4"/>
    </row>
    <row r="463" spans="1:16" s="17" customFormat="1" ht="33" customHeight="1">
      <c r="A463" s="605"/>
      <c r="B463" s="369">
        <v>46228</v>
      </c>
      <c r="C463" s="4"/>
      <c r="D463" s="4"/>
      <c r="E463" s="291"/>
      <c r="F463" s="594"/>
      <c r="G463" s="16"/>
      <c r="H463" s="598"/>
      <c r="I463" s="594"/>
      <c r="J463" s="594"/>
      <c r="K463" s="125"/>
      <c r="L463" s="16"/>
      <c r="M463" s="8"/>
      <c r="N463" s="594"/>
      <c r="O463" s="432"/>
      <c r="P463" s="764"/>
    </row>
    <row r="464" spans="1:16" s="17" customFormat="1" ht="33" customHeight="1">
      <c r="A464" s="322" t="s">
        <v>0</v>
      </c>
      <c r="B464" s="323" t="s">
        <v>1</v>
      </c>
      <c r="C464" s="322" t="s">
        <v>2</v>
      </c>
      <c r="D464" s="322" t="s">
        <v>3</v>
      </c>
      <c r="E464" s="322" t="s">
        <v>4</v>
      </c>
      <c r="F464" s="322" t="s">
        <v>5</v>
      </c>
      <c r="G464" s="322" t="s">
        <v>6</v>
      </c>
      <c r="H464" s="324" t="s">
        <v>7</v>
      </c>
      <c r="I464" s="322" t="s">
        <v>8</v>
      </c>
      <c r="J464" s="322" t="s">
        <v>9</v>
      </c>
      <c r="K464" s="325" t="s">
        <v>10</v>
      </c>
      <c r="L464" s="326" t="s">
        <v>11</v>
      </c>
      <c r="M464" s="322" t="s">
        <v>12</v>
      </c>
      <c r="N464" s="327" t="s">
        <v>13</v>
      </c>
      <c r="O464" s="427" t="s">
        <v>63</v>
      </c>
      <c r="P464" s="322" t="s">
        <v>123</v>
      </c>
    </row>
    <row r="465" spans="1:16" s="17" customFormat="1" ht="33" customHeight="1">
      <c r="A465" s="603" t="s">
        <v>5631</v>
      </c>
      <c r="B465" s="399">
        <v>46230</v>
      </c>
      <c r="C465" s="4"/>
      <c r="D465" s="4"/>
      <c r="E465" s="594" t="s">
        <v>6115</v>
      </c>
      <c r="F465" s="594"/>
      <c r="G465" s="16"/>
      <c r="H465" s="598"/>
      <c r="I465" s="594"/>
      <c r="J465" s="594"/>
      <c r="K465" s="125"/>
      <c r="L465" s="16"/>
      <c r="M465" s="8"/>
      <c r="N465" s="594"/>
      <c r="O465" s="431"/>
      <c r="P465" s="764"/>
    </row>
    <row r="466" spans="1:16" s="17" customFormat="1" ht="33" customHeight="1">
      <c r="A466" s="604"/>
      <c r="B466" s="399">
        <v>46231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1"/>
      <c r="P466" s="764"/>
    </row>
    <row r="467" spans="1:16" s="17" customFormat="1" ht="33" customHeight="1">
      <c r="A467" s="604"/>
      <c r="B467" s="399">
        <v>46232</v>
      </c>
      <c r="C467" s="4"/>
      <c r="D467" s="4"/>
      <c r="E467" s="594"/>
      <c r="F467" s="594"/>
      <c r="G467" s="16"/>
      <c r="H467" s="598"/>
      <c r="I467" s="594"/>
      <c r="J467" s="598"/>
      <c r="K467" s="125"/>
      <c r="L467" s="16"/>
      <c r="M467" s="8"/>
      <c r="N467" s="595"/>
      <c r="O467" s="430"/>
      <c r="P467" s="764"/>
    </row>
    <row r="468" spans="1:16" s="17" customFormat="1" ht="33" customHeight="1">
      <c r="A468" s="604"/>
      <c r="B468" s="399">
        <v>46233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4"/>
    </row>
    <row r="469" spans="1:16" s="17" customFormat="1" ht="33" customHeight="1">
      <c r="A469" s="604"/>
      <c r="B469" s="399">
        <v>46234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4"/>
    </row>
    <row r="470" spans="1:16" s="17" customFormat="1" ht="33" customHeight="1">
      <c r="A470" s="605"/>
      <c r="B470" s="369">
        <v>46235</v>
      </c>
      <c r="C470" s="4"/>
      <c r="D470" s="4"/>
      <c r="E470" s="291"/>
      <c r="F470" s="594"/>
      <c r="G470" s="16"/>
      <c r="H470" s="598"/>
      <c r="I470" s="594"/>
      <c r="J470" s="594"/>
      <c r="K470" s="125"/>
      <c r="L470" s="16"/>
      <c r="M470" s="8"/>
      <c r="N470" s="594"/>
      <c r="O470" s="432"/>
      <c r="P470" s="764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M1497" sqref="M1497:M14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3" t="s">
        <v>849</v>
      </c>
      <c r="C167" s="86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4"/>
      <c r="C168" s="86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4"/>
      <c r="C169" s="86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45"/>
      <c r="C170" s="86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4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4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4"/>
      <c r="C178" s="86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5"/>
      <c r="C179" s="86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4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>
      <c r="A182" s="55">
        <v>36</v>
      </c>
      <c r="B182" s="844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>
      <c r="A183" s="55">
        <v>36</v>
      </c>
      <c r="B183" s="844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4"/>
      <c r="C187" s="86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5"/>
      <c r="C188" s="86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3" t="s">
        <v>939</v>
      </c>
      <c r="C192" s="86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4"/>
      <c r="C193" s="86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4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4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4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5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3" t="s">
        <v>20</v>
      </c>
      <c r="C200" s="86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4"/>
      <c r="C201" s="86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4"/>
      <c r="C202" s="86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5"/>
      <c r="C203" s="86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3" t="s">
        <v>20</v>
      </c>
      <c r="C207" s="86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4"/>
      <c r="C208" s="86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3" t="s">
        <v>20</v>
      </c>
      <c r="C218" s="86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4"/>
      <c r="C219" s="86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4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0" t="s">
        <v>247</v>
      </c>
    </row>
    <row r="226" spans="1:14">
      <c r="A226" s="55">
        <v>44</v>
      </c>
      <c r="B226" s="84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86"/>
    </row>
    <row r="227" spans="1:14">
      <c r="A227" s="55">
        <v>44</v>
      </c>
      <c r="B227" s="84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>
      <c r="A228" s="55">
        <v>44</v>
      </c>
      <c r="B228" s="84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4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4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4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4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4"/>
      <c r="C249" s="86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>
      <c r="A250" s="55">
        <v>48</v>
      </c>
      <c r="B250" s="845"/>
      <c r="C250" s="86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>
      <c r="A251" s="55">
        <v>48</v>
      </c>
      <c r="B251" s="84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4"/>
      <c r="C256" s="86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>
      <c r="A257" s="55">
        <v>49</v>
      </c>
      <c r="B257" s="845"/>
      <c r="C257" s="86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>
      <c r="A258" s="55">
        <v>49</v>
      </c>
      <c r="B258" s="84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5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5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4" t="s">
        <v>1103</v>
      </c>
    </row>
    <row r="262" spans="1:14" ht="25.5">
      <c r="A262" s="132">
        <v>49</v>
      </c>
      <c r="B262" s="85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5"/>
    </row>
    <row r="263" spans="1:14" ht="16.5" customHeight="1">
      <c r="A263" s="55">
        <v>50</v>
      </c>
      <c r="B263" s="843" t="s">
        <v>20</v>
      </c>
      <c r="C263" s="86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4"/>
      <c r="C264" s="86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4"/>
      <c r="C265" s="86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4"/>
      <c r="C266" s="86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5"/>
      <c r="C267" s="86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56" t="s">
        <v>658</v>
      </c>
      <c r="C268" s="85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57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58"/>
      <c r="C270" s="85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3" t="s">
        <v>20</v>
      </c>
      <c r="C271" s="86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4"/>
      <c r="C272" s="86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4"/>
      <c r="C273" s="86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4"/>
      <c r="C275" s="86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44"/>
      <c r="C276" s="86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>
      <c r="A279" s="55">
        <v>1</v>
      </c>
      <c r="B279" s="843" t="s">
        <v>20</v>
      </c>
      <c r="C279" s="86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5"/>
      <c r="C280" s="86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3" t="s">
        <v>64</v>
      </c>
      <c r="C281" s="86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4"/>
      <c r="C282" s="86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4"/>
      <c r="C283" s="86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4"/>
      <c r="C284" s="86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3" t="s">
        <v>123</v>
      </c>
      <c r="C287" s="85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84"/>
      <c r="C288" s="85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56" t="s">
        <v>64</v>
      </c>
      <c r="C289" s="85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57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57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4" t="s">
        <v>638</v>
      </c>
      <c r="K291" s="872" t="s">
        <v>671</v>
      </c>
      <c r="L291" s="148" t="s">
        <v>309</v>
      </c>
      <c r="M291" s="863" t="s">
        <v>672</v>
      </c>
      <c r="N291" s="148" t="s">
        <v>723</v>
      </c>
    </row>
    <row r="292" spans="1:15">
      <c r="A292" s="55">
        <v>2</v>
      </c>
      <c r="B292" s="857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5"/>
      <c r="K292" s="873"/>
      <c r="L292" s="148" t="s">
        <v>309</v>
      </c>
      <c r="M292" s="864"/>
      <c r="N292" s="148" t="s">
        <v>723</v>
      </c>
    </row>
    <row r="293" spans="1:15">
      <c r="A293" s="55">
        <v>2</v>
      </c>
      <c r="B293" s="857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57"/>
      <c r="C294" s="85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5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3" t="s">
        <v>20</v>
      </c>
      <c r="C296" s="86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4"/>
      <c r="C297" s="86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5"/>
      <c r="C298" s="86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3" t="s">
        <v>20</v>
      </c>
      <c r="C302" s="86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4"/>
      <c r="C303" s="86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4"/>
      <c r="C304" s="86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4"/>
      <c r="C305" s="86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5"/>
      <c r="C306" s="86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3" t="s">
        <v>20</v>
      </c>
      <c r="C308" s="86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5"/>
      <c r="C309" s="86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56" t="s">
        <v>307</v>
      </c>
      <c r="C313" s="85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58"/>
      <c r="C314" s="85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3" t="s">
        <v>20</v>
      </c>
      <c r="C316" s="86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4"/>
      <c r="C317" s="86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5"/>
      <c r="C318" s="86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3" t="s">
        <v>20</v>
      </c>
      <c r="C322" s="86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5"/>
      <c r="C323" s="86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3" t="s">
        <v>20</v>
      </c>
      <c r="C329" s="86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4"/>
      <c r="C330" s="86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5"/>
      <c r="C331" s="86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3" t="s">
        <v>20</v>
      </c>
      <c r="C334" s="86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4"/>
      <c r="C335" s="86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4"/>
      <c r="C336" s="86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5"/>
      <c r="C337" s="86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3" t="s">
        <v>20</v>
      </c>
      <c r="C342" s="86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4"/>
      <c r="C343" s="86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4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5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5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5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5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5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5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5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5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5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5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56" t="s">
        <v>307</v>
      </c>
      <c r="C375" s="128" t="s">
        <v>1531</v>
      </c>
      <c r="D375" s="854" t="s">
        <v>306</v>
      </c>
      <c r="E375" s="854" t="s">
        <v>322</v>
      </c>
      <c r="F375" s="854" t="s">
        <v>307</v>
      </c>
      <c r="G375" s="859">
        <v>4266</v>
      </c>
      <c r="H375" s="854" t="s">
        <v>640</v>
      </c>
      <c r="I375" s="859" t="s">
        <v>1533</v>
      </c>
      <c r="J375" s="854" t="s">
        <v>1534</v>
      </c>
      <c r="K375" s="861" t="s">
        <v>692</v>
      </c>
      <c r="L375" s="854" t="s">
        <v>324</v>
      </c>
      <c r="M375" s="863" t="s">
        <v>1535</v>
      </c>
      <c r="N375" s="854" t="s">
        <v>425</v>
      </c>
    </row>
    <row r="376" spans="1:19">
      <c r="A376" s="199" t="s">
        <v>1539</v>
      </c>
      <c r="B376" s="857"/>
      <c r="C376" s="129" t="s">
        <v>1532</v>
      </c>
      <c r="D376" s="855"/>
      <c r="E376" s="855"/>
      <c r="F376" s="855"/>
      <c r="G376" s="860"/>
      <c r="H376" s="855"/>
      <c r="I376" s="860"/>
      <c r="J376" s="855"/>
      <c r="K376" s="862"/>
      <c r="L376" s="855"/>
      <c r="M376" s="864"/>
      <c r="N376" s="855"/>
    </row>
    <row r="377" spans="1:19">
      <c r="A377" s="199" t="s">
        <v>1539</v>
      </c>
      <c r="B377" s="857"/>
      <c r="C377" s="128" t="s">
        <v>1536</v>
      </c>
      <c r="D377" s="854" t="s">
        <v>306</v>
      </c>
      <c r="E377" s="854" t="s">
        <v>322</v>
      </c>
      <c r="F377" s="854" t="s">
        <v>307</v>
      </c>
      <c r="G377" s="859">
        <v>3306</v>
      </c>
      <c r="H377" s="854" t="s">
        <v>1153</v>
      </c>
      <c r="I377" s="859" t="s">
        <v>1538</v>
      </c>
      <c r="J377" s="854" t="s">
        <v>1534</v>
      </c>
      <c r="K377" s="861" t="s">
        <v>692</v>
      </c>
      <c r="L377" s="854" t="s">
        <v>324</v>
      </c>
      <c r="M377" s="863" t="s">
        <v>1535</v>
      </c>
      <c r="N377" s="854" t="s">
        <v>425</v>
      </c>
    </row>
    <row r="378" spans="1:19">
      <c r="A378" s="199" t="s">
        <v>1539</v>
      </c>
      <c r="B378" s="858"/>
      <c r="C378" s="129" t="s">
        <v>1537</v>
      </c>
      <c r="D378" s="855"/>
      <c r="E378" s="855"/>
      <c r="F378" s="855"/>
      <c r="G378" s="860"/>
      <c r="H378" s="855"/>
      <c r="I378" s="860"/>
      <c r="J378" s="855"/>
      <c r="K378" s="862"/>
      <c r="L378" s="855"/>
      <c r="M378" s="864"/>
      <c r="N378" s="855"/>
    </row>
    <row r="379" spans="1:19" ht="27" customHeight="1">
      <c r="A379" s="123">
        <v>15</v>
      </c>
      <c r="B379" s="84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6" t="s">
        <v>1782</v>
      </c>
      <c r="C403" s="226" t="s">
        <v>1748</v>
      </c>
      <c r="D403" s="848" t="s">
        <v>306</v>
      </c>
      <c r="E403" s="848" t="s">
        <v>322</v>
      </c>
      <c r="F403" s="848" t="s">
        <v>307</v>
      </c>
      <c r="G403" s="850">
        <v>3306</v>
      </c>
      <c r="H403" s="848" t="s">
        <v>1153</v>
      </c>
      <c r="I403" s="850" t="s">
        <v>1749</v>
      </c>
      <c r="J403" s="848" t="s">
        <v>664</v>
      </c>
      <c r="K403" s="852" t="s">
        <v>1288</v>
      </c>
      <c r="L403" s="848" t="s">
        <v>324</v>
      </c>
      <c r="M403" s="846" t="s">
        <v>1750</v>
      </c>
      <c r="N403" s="848" t="s">
        <v>665</v>
      </c>
    </row>
    <row r="404" spans="1:14">
      <c r="A404" s="123">
        <v>18</v>
      </c>
      <c r="B404" s="837"/>
      <c r="C404" s="226" t="s">
        <v>1751</v>
      </c>
      <c r="D404" s="849"/>
      <c r="E404" s="849"/>
      <c r="F404" s="849"/>
      <c r="G404" s="851"/>
      <c r="H404" s="849"/>
      <c r="I404" s="851"/>
      <c r="J404" s="849"/>
      <c r="K404" s="853"/>
      <c r="L404" s="849"/>
      <c r="M404" s="847"/>
      <c r="N404" s="849"/>
    </row>
    <row r="405" spans="1:14" ht="22.5">
      <c r="A405" s="123">
        <v>18</v>
      </c>
      <c r="B405" s="83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7"/>
      <c r="C406" s="226" t="s">
        <v>1755</v>
      </c>
      <c r="D406" s="848" t="s">
        <v>306</v>
      </c>
      <c r="E406" s="848" t="s">
        <v>322</v>
      </c>
      <c r="F406" s="848" t="s">
        <v>307</v>
      </c>
      <c r="G406" s="850" t="s">
        <v>1756</v>
      </c>
      <c r="H406" s="848" t="s">
        <v>347</v>
      </c>
      <c r="I406" s="850" t="s">
        <v>1154</v>
      </c>
      <c r="J406" s="848" t="s">
        <v>664</v>
      </c>
      <c r="K406" s="848" t="s">
        <v>1757</v>
      </c>
      <c r="L406" s="848" t="s">
        <v>324</v>
      </c>
      <c r="M406" s="846" t="s">
        <v>1758</v>
      </c>
      <c r="N406" s="848" t="s">
        <v>665</v>
      </c>
    </row>
    <row r="407" spans="1:14">
      <c r="A407" s="123">
        <v>18</v>
      </c>
      <c r="B407" s="837"/>
      <c r="C407" s="226" t="s">
        <v>1759</v>
      </c>
      <c r="D407" s="849"/>
      <c r="E407" s="849"/>
      <c r="F407" s="849"/>
      <c r="G407" s="851"/>
      <c r="H407" s="849"/>
      <c r="I407" s="851"/>
      <c r="J407" s="849"/>
      <c r="K407" s="849"/>
      <c r="L407" s="849"/>
      <c r="M407" s="847"/>
      <c r="N407" s="849"/>
    </row>
    <row r="408" spans="1:14" ht="16.5" customHeight="1">
      <c r="A408" s="123">
        <v>18</v>
      </c>
      <c r="B408" s="837"/>
      <c r="C408" s="228" t="s">
        <v>1760</v>
      </c>
      <c r="D408" s="848" t="s">
        <v>306</v>
      </c>
      <c r="E408" s="848" t="s">
        <v>322</v>
      </c>
      <c r="F408" s="848" t="s">
        <v>307</v>
      </c>
      <c r="G408" s="850" t="s">
        <v>1761</v>
      </c>
      <c r="H408" s="848" t="s">
        <v>329</v>
      </c>
      <c r="I408" s="850" t="s">
        <v>1762</v>
      </c>
      <c r="J408" s="848" t="s">
        <v>664</v>
      </c>
      <c r="K408" s="848" t="s">
        <v>1763</v>
      </c>
      <c r="L408" s="848" t="s">
        <v>324</v>
      </c>
      <c r="M408" s="846" t="s">
        <v>1764</v>
      </c>
      <c r="N408" s="848" t="s">
        <v>1765</v>
      </c>
    </row>
    <row r="409" spans="1:14">
      <c r="A409" s="123">
        <v>18</v>
      </c>
      <c r="B409" s="838"/>
      <c r="C409" s="226" t="s">
        <v>1766</v>
      </c>
      <c r="D409" s="849"/>
      <c r="E409" s="849"/>
      <c r="F409" s="849"/>
      <c r="G409" s="851"/>
      <c r="H409" s="849"/>
      <c r="I409" s="851"/>
      <c r="J409" s="849"/>
      <c r="K409" s="849"/>
      <c r="L409" s="849"/>
      <c r="M409" s="847"/>
      <c r="N409" s="849"/>
    </row>
    <row r="410" spans="1:14" ht="16.5" customHeight="1">
      <c r="A410" s="123">
        <v>18</v>
      </c>
      <c r="B410" s="836" t="s">
        <v>253</v>
      </c>
      <c r="C410" s="933" t="s">
        <v>1767</v>
      </c>
      <c r="D410" s="848" t="s">
        <v>311</v>
      </c>
      <c r="E410" s="848" t="s">
        <v>320</v>
      </c>
      <c r="F410" s="848" t="s">
        <v>709</v>
      </c>
      <c r="G410" s="848" t="s">
        <v>1768</v>
      </c>
      <c r="H410" s="933" t="s">
        <v>1769</v>
      </c>
      <c r="I410" s="227" t="s">
        <v>1770</v>
      </c>
      <c r="J410" s="848"/>
      <c r="K410" s="935" t="s">
        <v>1771</v>
      </c>
      <c r="L410" s="848" t="s">
        <v>309</v>
      </c>
      <c r="M410" s="846" t="s">
        <v>1764</v>
      </c>
      <c r="N410" s="848" t="s">
        <v>1772</v>
      </c>
    </row>
    <row r="411" spans="1:14">
      <c r="A411" s="123">
        <v>18</v>
      </c>
      <c r="B411" s="837"/>
      <c r="C411" s="934"/>
      <c r="D411" s="849"/>
      <c r="E411" s="849"/>
      <c r="F411" s="849"/>
      <c r="G411" s="849"/>
      <c r="H411" s="934"/>
      <c r="I411" s="227" t="s">
        <v>1773</v>
      </c>
      <c r="J411" s="849"/>
      <c r="K411" s="936"/>
      <c r="L411" s="849"/>
      <c r="M411" s="847"/>
      <c r="N411" s="849"/>
    </row>
    <row r="412" spans="1:14" ht="22.5">
      <c r="A412" s="123">
        <v>18</v>
      </c>
      <c r="B412" s="83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7"/>
      <c r="C413" s="933" t="s">
        <v>1776</v>
      </c>
      <c r="D413" s="933" t="s">
        <v>700</v>
      </c>
      <c r="E413" s="848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48" t="s">
        <v>638</v>
      </c>
      <c r="K413" s="848" t="s">
        <v>731</v>
      </c>
      <c r="L413" s="848" t="s">
        <v>309</v>
      </c>
      <c r="M413" s="846" t="s">
        <v>1780</v>
      </c>
      <c r="N413" s="848" t="s">
        <v>1781</v>
      </c>
    </row>
    <row r="414" spans="1:14">
      <c r="A414" s="123">
        <v>18</v>
      </c>
      <c r="B414" s="838"/>
      <c r="C414" s="934"/>
      <c r="D414" s="934"/>
      <c r="E414" s="849"/>
      <c r="F414" s="934"/>
      <c r="G414" s="934"/>
      <c r="H414" s="934"/>
      <c r="I414" s="26"/>
      <c r="J414" s="849"/>
      <c r="K414" s="849"/>
      <c r="L414" s="849"/>
      <c r="M414" s="847"/>
      <c r="N414" s="849"/>
    </row>
    <row r="415" spans="1:14" ht="16.5" customHeight="1">
      <c r="A415" s="123">
        <v>19</v>
      </c>
      <c r="B415" s="836" t="s">
        <v>20</v>
      </c>
      <c r="C415" s="148" t="s">
        <v>1794</v>
      </c>
      <c r="D415" s="854" t="s">
        <v>306</v>
      </c>
      <c r="E415" s="854" t="s">
        <v>322</v>
      </c>
      <c r="F415" s="854" t="s">
        <v>307</v>
      </c>
      <c r="G415" s="859" t="s">
        <v>1796</v>
      </c>
      <c r="H415" s="854" t="s">
        <v>1797</v>
      </c>
      <c r="I415" s="859" t="s">
        <v>1792</v>
      </c>
      <c r="J415" s="854" t="s">
        <v>664</v>
      </c>
      <c r="K415" s="148" t="s">
        <v>1520</v>
      </c>
      <c r="L415" s="854" t="s">
        <v>324</v>
      </c>
      <c r="M415" s="863" t="s">
        <v>1799</v>
      </c>
      <c r="N415" s="854" t="s">
        <v>665</v>
      </c>
    </row>
    <row r="416" spans="1:14">
      <c r="A416" s="123">
        <v>19</v>
      </c>
      <c r="B416" s="837"/>
      <c r="C416" s="148" t="s">
        <v>1795</v>
      </c>
      <c r="D416" s="855"/>
      <c r="E416" s="855"/>
      <c r="F416" s="855"/>
      <c r="G416" s="860"/>
      <c r="H416" s="855"/>
      <c r="I416" s="860"/>
      <c r="J416" s="855"/>
      <c r="K416" s="148" t="s">
        <v>1798</v>
      </c>
      <c r="L416" s="855"/>
      <c r="M416" s="864"/>
      <c r="N416" s="855"/>
    </row>
    <row r="417" spans="1:14">
      <c r="A417" s="123">
        <v>19</v>
      </c>
      <c r="B417" s="837"/>
      <c r="C417" s="148" t="s">
        <v>1800</v>
      </c>
      <c r="D417" s="854" t="s">
        <v>306</v>
      </c>
      <c r="E417" s="854" t="s">
        <v>322</v>
      </c>
      <c r="F417" s="854" t="s">
        <v>307</v>
      </c>
      <c r="G417" s="859" t="s">
        <v>1801</v>
      </c>
      <c r="H417" s="854" t="s">
        <v>1802</v>
      </c>
      <c r="I417" s="859" t="s">
        <v>1803</v>
      </c>
      <c r="J417" s="854" t="s">
        <v>664</v>
      </c>
      <c r="K417" s="872" t="s">
        <v>1155</v>
      </c>
      <c r="L417" s="854" t="s">
        <v>324</v>
      </c>
      <c r="M417" s="863" t="s">
        <v>1804</v>
      </c>
      <c r="N417" s="854" t="s">
        <v>665</v>
      </c>
    </row>
    <row r="418" spans="1:14">
      <c r="A418" s="123">
        <v>19</v>
      </c>
      <c r="B418" s="838"/>
      <c r="C418" s="148" t="s">
        <v>1795</v>
      </c>
      <c r="D418" s="855"/>
      <c r="E418" s="855"/>
      <c r="F418" s="855"/>
      <c r="G418" s="860"/>
      <c r="H418" s="855"/>
      <c r="I418" s="860"/>
      <c r="J418" s="855"/>
      <c r="K418" s="873"/>
      <c r="L418" s="855"/>
      <c r="M418" s="864"/>
      <c r="N418" s="855"/>
    </row>
    <row r="419" spans="1:14" ht="16.5" customHeight="1">
      <c r="A419" s="123">
        <v>19</v>
      </c>
      <c r="B419" s="836" t="s">
        <v>21</v>
      </c>
      <c r="C419" s="887" t="s">
        <v>1805</v>
      </c>
      <c r="D419" s="887" t="s">
        <v>700</v>
      </c>
      <c r="E419" s="854" t="s">
        <v>675</v>
      </c>
      <c r="F419" s="887" t="s">
        <v>1806</v>
      </c>
      <c r="G419" s="887" t="s">
        <v>1807</v>
      </c>
      <c r="H419" s="887" t="s">
        <v>662</v>
      </c>
      <c r="I419" s="859" t="s">
        <v>1808</v>
      </c>
      <c r="J419" s="854"/>
      <c r="K419" s="937" t="s">
        <v>1809</v>
      </c>
      <c r="L419" s="854" t="s">
        <v>309</v>
      </c>
      <c r="M419" s="863" t="s">
        <v>1810</v>
      </c>
      <c r="N419" s="149" t="s">
        <v>1811</v>
      </c>
    </row>
    <row r="420" spans="1:14">
      <c r="A420" s="123">
        <v>19</v>
      </c>
      <c r="B420" s="837"/>
      <c r="C420" s="889"/>
      <c r="D420" s="889"/>
      <c r="E420" s="855"/>
      <c r="F420" s="889"/>
      <c r="G420" s="889"/>
      <c r="H420" s="889"/>
      <c r="I420" s="860"/>
      <c r="J420" s="855"/>
      <c r="K420" s="938"/>
      <c r="L420" s="855"/>
      <c r="M420" s="864"/>
      <c r="N420" s="149" t="s">
        <v>1812</v>
      </c>
    </row>
    <row r="421" spans="1:14">
      <c r="A421" s="123">
        <v>19</v>
      </c>
      <c r="B421" s="837"/>
      <c r="C421" s="939" t="s">
        <v>1813</v>
      </c>
      <c r="D421" s="887" t="s">
        <v>700</v>
      </c>
      <c r="E421" s="854" t="s">
        <v>320</v>
      </c>
      <c r="F421" s="854" t="s">
        <v>337</v>
      </c>
      <c r="G421" s="887" t="s">
        <v>353</v>
      </c>
      <c r="H421" s="887" t="s">
        <v>1814</v>
      </c>
      <c r="I421" s="859" t="s">
        <v>1815</v>
      </c>
      <c r="J421" s="854" t="s">
        <v>638</v>
      </c>
      <c r="K421" s="941" t="s">
        <v>692</v>
      </c>
      <c r="L421" s="854" t="s">
        <v>309</v>
      </c>
      <c r="M421" s="863" t="s">
        <v>1816</v>
      </c>
      <c r="N421" s="148" t="s">
        <v>1817</v>
      </c>
    </row>
    <row r="422" spans="1:14">
      <c r="A422" s="123">
        <v>19</v>
      </c>
      <c r="B422" s="837"/>
      <c r="C422" s="940"/>
      <c r="D422" s="889"/>
      <c r="E422" s="855"/>
      <c r="F422" s="855"/>
      <c r="G422" s="889"/>
      <c r="H422" s="889"/>
      <c r="I422" s="860"/>
      <c r="J422" s="855"/>
      <c r="K422" s="942"/>
      <c r="L422" s="855"/>
      <c r="M422" s="864"/>
      <c r="N422" s="148" t="s">
        <v>1818</v>
      </c>
    </row>
    <row r="423" spans="1:14">
      <c r="A423" s="123">
        <v>19</v>
      </c>
      <c r="B423" s="83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7"/>
      <c r="C424" s="887" t="s">
        <v>1820</v>
      </c>
      <c r="D424" s="887" t="s">
        <v>700</v>
      </c>
      <c r="E424" s="854" t="s">
        <v>320</v>
      </c>
      <c r="F424" s="854" t="s">
        <v>709</v>
      </c>
      <c r="G424" s="854" t="s">
        <v>1768</v>
      </c>
      <c r="H424" s="887" t="s">
        <v>1821</v>
      </c>
      <c r="I424" s="149" t="s">
        <v>1822</v>
      </c>
      <c r="J424" s="854" t="s">
        <v>638</v>
      </c>
      <c r="K424" s="854" t="s">
        <v>692</v>
      </c>
      <c r="L424" s="854" t="s">
        <v>309</v>
      </c>
      <c r="M424" s="863" t="s">
        <v>1535</v>
      </c>
      <c r="N424" s="859" t="s">
        <v>1824</v>
      </c>
    </row>
    <row r="425" spans="1:14">
      <c r="A425" s="123">
        <v>19</v>
      </c>
      <c r="B425" s="837"/>
      <c r="C425" s="889"/>
      <c r="D425" s="889"/>
      <c r="E425" s="855"/>
      <c r="F425" s="855"/>
      <c r="G425" s="855"/>
      <c r="H425" s="889"/>
      <c r="I425" s="149" t="s">
        <v>1823</v>
      </c>
      <c r="J425" s="855"/>
      <c r="K425" s="855"/>
      <c r="L425" s="855"/>
      <c r="M425" s="864"/>
      <c r="N425" s="860"/>
    </row>
    <row r="426" spans="1:14">
      <c r="A426" s="123">
        <v>19</v>
      </c>
      <c r="B426" s="83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6" t="s">
        <v>2078</v>
      </c>
      <c r="C452" s="243" t="s">
        <v>1906</v>
      </c>
      <c r="D452" s="832" t="s">
        <v>306</v>
      </c>
      <c r="E452" s="832" t="s">
        <v>322</v>
      </c>
      <c r="F452" s="832" t="s">
        <v>307</v>
      </c>
      <c r="G452" s="832">
        <v>3306</v>
      </c>
      <c r="H452" s="832" t="s">
        <v>1153</v>
      </c>
      <c r="I452" s="832" t="s">
        <v>1907</v>
      </c>
      <c r="J452" s="832" t="s">
        <v>1111</v>
      </c>
      <c r="K452" s="832" t="s">
        <v>692</v>
      </c>
      <c r="L452" s="832" t="s">
        <v>324</v>
      </c>
      <c r="M452" s="841" t="s">
        <v>1908</v>
      </c>
      <c r="N452" s="832" t="s">
        <v>665</v>
      </c>
    </row>
    <row r="453" spans="1:14">
      <c r="A453" s="123">
        <v>23</v>
      </c>
      <c r="B453" s="837"/>
      <c r="C453" s="243" t="s">
        <v>1909</v>
      </c>
      <c r="D453" s="833"/>
      <c r="E453" s="833"/>
      <c r="F453" s="833"/>
      <c r="G453" s="833"/>
      <c r="H453" s="833"/>
      <c r="I453" s="833"/>
      <c r="J453" s="833"/>
      <c r="K453" s="833"/>
      <c r="L453" s="833"/>
      <c r="M453" s="842"/>
      <c r="N453" s="833"/>
    </row>
    <row r="454" spans="1:14">
      <c r="A454" s="123">
        <v>23</v>
      </c>
      <c r="B454" s="837"/>
      <c r="C454" s="243" t="s">
        <v>1910</v>
      </c>
      <c r="D454" s="832" t="s">
        <v>306</v>
      </c>
      <c r="E454" s="832" t="s">
        <v>322</v>
      </c>
      <c r="F454" s="832" t="s">
        <v>307</v>
      </c>
      <c r="G454" s="834" t="s">
        <v>1418</v>
      </c>
      <c r="H454" s="832" t="s">
        <v>1911</v>
      </c>
      <c r="I454" s="834" t="s">
        <v>1154</v>
      </c>
      <c r="J454" s="832" t="s">
        <v>664</v>
      </c>
      <c r="K454" s="943" t="s">
        <v>1763</v>
      </c>
      <c r="L454" s="832" t="s">
        <v>324</v>
      </c>
      <c r="M454" s="841" t="s">
        <v>1535</v>
      </c>
      <c r="N454" s="832" t="s">
        <v>665</v>
      </c>
    </row>
    <row r="455" spans="1:14">
      <c r="A455" s="123">
        <v>23</v>
      </c>
      <c r="B455" s="837"/>
      <c r="C455" s="243" t="s">
        <v>1909</v>
      </c>
      <c r="D455" s="833"/>
      <c r="E455" s="833"/>
      <c r="F455" s="833"/>
      <c r="G455" s="835"/>
      <c r="H455" s="833"/>
      <c r="I455" s="835"/>
      <c r="J455" s="833"/>
      <c r="K455" s="944"/>
      <c r="L455" s="833"/>
      <c r="M455" s="842"/>
      <c r="N455" s="833"/>
    </row>
    <row r="456" spans="1:14">
      <c r="A456" s="123">
        <v>23</v>
      </c>
      <c r="B456" s="83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7"/>
      <c r="C457" s="243" t="s">
        <v>1917</v>
      </c>
      <c r="D457" s="832" t="s">
        <v>306</v>
      </c>
      <c r="E457" s="832" t="s">
        <v>322</v>
      </c>
      <c r="F457" s="832" t="s">
        <v>307</v>
      </c>
      <c r="G457" s="834">
        <v>4267</v>
      </c>
      <c r="H457" s="832" t="s">
        <v>640</v>
      </c>
      <c r="I457" s="834" t="s">
        <v>1154</v>
      </c>
      <c r="J457" s="832" t="s">
        <v>664</v>
      </c>
      <c r="K457" s="943" t="s">
        <v>1763</v>
      </c>
      <c r="L457" s="832" t="s">
        <v>324</v>
      </c>
      <c r="M457" s="841" t="s">
        <v>1535</v>
      </c>
      <c r="N457" s="832" t="s">
        <v>665</v>
      </c>
    </row>
    <row r="458" spans="1:14">
      <c r="A458" s="123">
        <v>23</v>
      </c>
      <c r="B458" s="837"/>
      <c r="C458" s="243" t="s">
        <v>1918</v>
      </c>
      <c r="D458" s="833"/>
      <c r="E458" s="833"/>
      <c r="F458" s="833"/>
      <c r="G458" s="835"/>
      <c r="H458" s="833"/>
      <c r="I458" s="835"/>
      <c r="J458" s="833"/>
      <c r="K458" s="944"/>
      <c r="L458" s="833"/>
      <c r="M458" s="842"/>
      <c r="N458" s="833"/>
    </row>
    <row r="459" spans="1:14">
      <c r="A459" s="123">
        <v>23</v>
      </c>
      <c r="B459" s="837"/>
      <c r="C459" s="243" t="s">
        <v>1917</v>
      </c>
      <c r="D459" s="832" t="s">
        <v>306</v>
      </c>
      <c r="E459" s="832" t="s">
        <v>322</v>
      </c>
      <c r="F459" s="832" t="s">
        <v>307</v>
      </c>
      <c r="G459" s="834" t="s">
        <v>1919</v>
      </c>
      <c r="H459" s="832" t="s">
        <v>662</v>
      </c>
      <c r="I459" s="834" t="s">
        <v>1920</v>
      </c>
      <c r="J459" s="832" t="s">
        <v>349</v>
      </c>
      <c r="K459" s="945" t="s">
        <v>1916</v>
      </c>
      <c r="L459" s="832" t="s">
        <v>324</v>
      </c>
      <c r="M459" s="841" t="s">
        <v>1535</v>
      </c>
      <c r="N459" s="832" t="s">
        <v>425</v>
      </c>
    </row>
    <row r="460" spans="1:14">
      <c r="A460" s="123">
        <v>23</v>
      </c>
      <c r="B460" s="838"/>
      <c r="C460" s="244" t="s">
        <v>1918</v>
      </c>
      <c r="D460" s="833"/>
      <c r="E460" s="833"/>
      <c r="F460" s="833"/>
      <c r="G460" s="835"/>
      <c r="H460" s="833"/>
      <c r="I460" s="835"/>
      <c r="J460" s="833"/>
      <c r="K460" s="946"/>
      <c r="L460" s="833"/>
      <c r="M460" s="842"/>
      <c r="N460" s="833"/>
    </row>
    <row r="461" spans="1:14">
      <c r="A461" s="123">
        <v>23</v>
      </c>
      <c r="B461" s="83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7"/>
      <c r="C462" s="832" t="s">
        <v>1921</v>
      </c>
      <c r="D462" s="832" t="s">
        <v>311</v>
      </c>
      <c r="E462" s="832" t="s">
        <v>675</v>
      </c>
      <c r="F462" s="832" t="s">
        <v>1926</v>
      </c>
      <c r="G462" s="832" t="s">
        <v>1927</v>
      </c>
      <c r="H462" s="839" t="s">
        <v>347</v>
      </c>
      <c r="I462" s="242" t="s">
        <v>1928</v>
      </c>
      <c r="J462" s="832"/>
      <c r="K462" s="834" t="s">
        <v>1924</v>
      </c>
      <c r="L462" s="832" t="s">
        <v>309</v>
      </c>
      <c r="M462" s="841" t="s">
        <v>1828</v>
      </c>
      <c r="N462" s="834" t="s">
        <v>1925</v>
      </c>
    </row>
    <row r="463" spans="1:14">
      <c r="A463" s="123">
        <v>23</v>
      </c>
      <c r="B463" s="837"/>
      <c r="C463" s="833"/>
      <c r="D463" s="833"/>
      <c r="E463" s="833"/>
      <c r="F463" s="833"/>
      <c r="G463" s="833"/>
      <c r="H463" s="840"/>
      <c r="I463" s="242" t="s">
        <v>1929</v>
      </c>
      <c r="J463" s="833"/>
      <c r="K463" s="835"/>
      <c r="L463" s="833"/>
      <c r="M463" s="842"/>
      <c r="N463" s="835"/>
    </row>
    <row r="464" spans="1:14" ht="24">
      <c r="A464" s="123">
        <v>23</v>
      </c>
      <c r="B464" s="83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7"/>
      <c r="C687" s="148" t="s">
        <v>2726</v>
      </c>
      <c r="D687" s="854" t="s">
        <v>306</v>
      </c>
      <c r="E687" s="854" t="s">
        <v>322</v>
      </c>
      <c r="F687" s="854" t="s">
        <v>307</v>
      </c>
      <c r="G687" s="859" t="s">
        <v>2719</v>
      </c>
      <c r="H687" s="854" t="s">
        <v>1047</v>
      </c>
      <c r="I687" s="859" t="s">
        <v>704</v>
      </c>
      <c r="J687" s="854" t="s">
        <v>664</v>
      </c>
      <c r="K687" s="951" t="s">
        <v>1763</v>
      </c>
      <c r="L687" s="854"/>
      <c r="M687" s="863" t="s">
        <v>458</v>
      </c>
      <c r="N687" s="854" t="s">
        <v>665</v>
      </c>
    </row>
    <row r="688" spans="1:14">
      <c r="A688" s="123">
        <v>8</v>
      </c>
      <c r="B688" s="837"/>
      <c r="C688" s="148" t="s">
        <v>2727</v>
      </c>
      <c r="D688" s="855"/>
      <c r="E688" s="855"/>
      <c r="F688" s="855"/>
      <c r="G688" s="860"/>
      <c r="H688" s="855"/>
      <c r="I688" s="860"/>
      <c r="J688" s="855"/>
      <c r="K688" s="952"/>
      <c r="L688" s="855"/>
      <c r="M688" s="864"/>
      <c r="N688" s="855"/>
    </row>
    <row r="689" spans="1:14">
      <c r="A689" s="123">
        <v>8</v>
      </c>
      <c r="B689" s="83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7"/>
      <c r="C690" s="148" t="s">
        <v>2730</v>
      </c>
      <c r="D690" s="854" t="s">
        <v>306</v>
      </c>
      <c r="E690" s="854" t="s">
        <v>322</v>
      </c>
      <c r="F690" s="854" t="s">
        <v>307</v>
      </c>
      <c r="G690" s="859" t="s">
        <v>2731</v>
      </c>
      <c r="H690" s="854" t="s">
        <v>640</v>
      </c>
      <c r="I690" s="859" t="s">
        <v>668</v>
      </c>
      <c r="J690" s="854" t="s">
        <v>349</v>
      </c>
      <c r="K690" s="953" t="s">
        <v>2732</v>
      </c>
      <c r="L690" s="854"/>
      <c r="M690" s="863" t="s">
        <v>2769</v>
      </c>
      <c r="N690" s="854" t="s">
        <v>425</v>
      </c>
    </row>
    <row r="691" spans="1:14">
      <c r="A691" s="123">
        <v>8</v>
      </c>
      <c r="B691" s="838"/>
      <c r="C691" s="148" t="s">
        <v>2723</v>
      </c>
      <c r="D691" s="855"/>
      <c r="E691" s="855"/>
      <c r="F691" s="855"/>
      <c r="G691" s="860"/>
      <c r="H691" s="855"/>
      <c r="I691" s="860"/>
      <c r="J691" s="855"/>
      <c r="K691" s="954"/>
      <c r="L691" s="855"/>
      <c r="M691" s="864"/>
      <c r="N691" s="855"/>
    </row>
    <row r="692" spans="1:14">
      <c r="A692" s="123">
        <v>8</v>
      </c>
      <c r="B692" s="83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7"/>
      <c r="C693" s="854" t="s">
        <v>2768</v>
      </c>
      <c r="D693" s="854" t="s">
        <v>311</v>
      </c>
      <c r="E693" s="854" t="s">
        <v>675</v>
      </c>
      <c r="F693" s="149" t="s">
        <v>1806</v>
      </c>
      <c r="G693" s="859" t="s">
        <v>689</v>
      </c>
      <c r="H693" s="859" t="s">
        <v>662</v>
      </c>
      <c r="I693" s="859" t="s">
        <v>2739</v>
      </c>
      <c r="J693" s="859"/>
      <c r="K693" s="859" t="s">
        <v>698</v>
      </c>
      <c r="L693" s="854" t="s">
        <v>309</v>
      </c>
      <c r="M693" s="863" t="s">
        <v>672</v>
      </c>
      <c r="N693" s="854" t="s">
        <v>2740</v>
      </c>
    </row>
    <row r="694" spans="1:14">
      <c r="A694" s="123">
        <v>8</v>
      </c>
      <c r="B694" s="838"/>
      <c r="C694" s="855"/>
      <c r="D694" s="855"/>
      <c r="E694" s="855"/>
      <c r="F694" s="149" t="s">
        <v>2738</v>
      </c>
      <c r="G694" s="860"/>
      <c r="H694" s="860"/>
      <c r="I694" s="860"/>
      <c r="J694" s="860"/>
      <c r="K694" s="860"/>
      <c r="L694" s="855"/>
      <c r="M694" s="864"/>
      <c r="N694" s="885"/>
    </row>
    <row r="695" spans="1:14">
      <c r="A695" s="123">
        <v>9</v>
      </c>
      <c r="B695" s="83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7"/>
      <c r="C697" s="243" t="s">
        <v>2745</v>
      </c>
      <c r="D697" s="832" t="s">
        <v>306</v>
      </c>
      <c r="E697" s="832" t="s">
        <v>322</v>
      </c>
      <c r="F697" s="832" t="s">
        <v>307</v>
      </c>
      <c r="G697" s="834" t="s">
        <v>2746</v>
      </c>
      <c r="H697" s="832" t="s">
        <v>405</v>
      </c>
      <c r="I697" s="834" t="s">
        <v>2747</v>
      </c>
      <c r="J697" s="832" t="s">
        <v>664</v>
      </c>
      <c r="K697" s="955" t="s">
        <v>1757</v>
      </c>
      <c r="L697" s="832"/>
      <c r="M697" s="841">
        <v>750000</v>
      </c>
      <c r="N697" s="832" t="s">
        <v>665</v>
      </c>
    </row>
    <row r="698" spans="1:14">
      <c r="A698" s="123">
        <v>9</v>
      </c>
      <c r="B698" s="837"/>
      <c r="C698" s="243" t="s">
        <v>2748</v>
      </c>
      <c r="D698" s="833"/>
      <c r="E698" s="833"/>
      <c r="F698" s="833"/>
      <c r="G698" s="835"/>
      <c r="H698" s="833"/>
      <c r="I698" s="835"/>
      <c r="J698" s="833"/>
      <c r="K698" s="956"/>
      <c r="L698" s="833"/>
      <c r="M698" s="842"/>
      <c r="N698" s="833"/>
    </row>
    <row r="699" spans="1:14">
      <c r="A699" s="123">
        <v>9</v>
      </c>
      <c r="B699" s="837"/>
      <c r="C699" s="243" t="s">
        <v>2745</v>
      </c>
      <c r="D699" s="832" t="s">
        <v>306</v>
      </c>
      <c r="E699" s="832" t="s">
        <v>322</v>
      </c>
      <c r="F699" s="832" t="s">
        <v>307</v>
      </c>
      <c r="G699" s="834" t="s">
        <v>2749</v>
      </c>
      <c r="H699" s="832" t="s">
        <v>662</v>
      </c>
      <c r="I699" s="834" t="s">
        <v>668</v>
      </c>
      <c r="J699" s="832" t="s">
        <v>349</v>
      </c>
      <c r="K699" s="957" t="s">
        <v>2732</v>
      </c>
      <c r="L699" s="832"/>
      <c r="M699" s="841">
        <v>1000000</v>
      </c>
      <c r="N699" s="832" t="s">
        <v>425</v>
      </c>
    </row>
    <row r="700" spans="1:14">
      <c r="A700" s="123">
        <v>9</v>
      </c>
      <c r="B700" s="837"/>
      <c r="C700" s="243" t="s">
        <v>2750</v>
      </c>
      <c r="D700" s="833"/>
      <c r="E700" s="833"/>
      <c r="F700" s="833"/>
      <c r="G700" s="835"/>
      <c r="H700" s="833"/>
      <c r="I700" s="835"/>
      <c r="J700" s="833"/>
      <c r="K700" s="958"/>
      <c r="L700" s="833"/>
      <c r="M700" s="842"/>
      <c r="N700" s="833"/>
    </row>
    <row r="701" spans="1:14">
      <c r="A701" s="123">
        <v>9</v>
      </c>
      <c r="B701" s="83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>
      <c r="A734" s="123">
        <v>15</v>
      </c>
      <c r="B734" s="83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>
      <c r="A735" s="123">
        <v>15</v>
      </c>
      <c r="B735" s="83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6" t="s">
        <v>3097</v>
      </c>
      <c r="C835" s="148" t="s">
        <v>3079</v>
      </c>
      <c r="D835" s="854" t="s">
        <v>306</v>
      </c>
      <c r="E835" s="854" t="s">
        <v>322</v>
      </c>
      <c r="F835" s="854" t="s">
        <v>307</v>
      </c>
      <c r="G835" s="859" t="s">
        <v>3051</v>
      </c>
      <c r="H835" s="854" t="s">
        <v>1993</v>
      </c>
      <c r="I835" s="859" t="s">
        <v>3052</v>
      </c>
      <c r="J835" s="854" t="s">
        <v>664</v>
      </c>
      <c r="K835" s="148" t="s">
        <v>3081</v>
      </c>
      <c r="L835" s="854"/>
      <c r="M835" s="962" t="s">
        <v>3082</v>
      </c>
      <c r="N835" s="148" t="s">
        <v>3083</v>
      </c>
    </row>
    <row r="836" spans="1:14">
      <c r="A836" s="123">
        <v>29</v>
      </c>
      <c r="B836" s="837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>
      <c r="A837" s="123">
        <v>29</v>
      </c>
      <c r="B837" s="837"/>
      <c r="C837" s="148"/>
      <c r="D837" s="855"/>
      <c r="E837" s="855"/>
      <c r="F837" s="855"/>
      <c r="G837" s="860"/>
      <c r="H837" s="855"/>
      <c r="I837" s="860"/>
      <c r="J837" s="855"/>
      <c r="K837" s="148"/>
      <c r="L837" s="855"/>
      <c r="M837" s="964"/>
      <c r="N837" s="148" t="s">
        <v>3084</v>
      </c>
    </row>
    <row r="838" spans="1:14">
      <c r="A838" s="123">
        <v>29</v>
      </c>
      <c r="B838" s="83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6" t="s">
        <v>21</v>
      </c>
      <c r="C840" s="111" t="s">
        <v>3087</v>
      </c>
      <c r="D840" s="854" t="s">
        <v>311</v>
      </c>
      <c r="E840" s="854" t="s">
        <v>320</v>
      </c>
      <c r="F840" s="859" t="s">
        <v>2601</v>
      </c>
      <c r="G840" s="859" t="s">
        <v>3059</v>
      </c>
      <c r="H840" s="859" t="s">
        <v>3060</v>
      </c>
      <c r="I840" s="859" t="s">
        <v>3061</v>
      </c>
      <c r="J840" s="859" t="s">
        <v>702</v>
      </c>
      <c r="K840" s="859" t="s">
        <v>3062</v>
      </c>
      <c r="L840" s="854" t="s">
        <v>309</v>
      </c>
      <c r="M840" s="962" t="s">
        <v>1816</v>
      </c>
      <c r="N840" s="854" t="s">
        <v>3088</v>
      </c>
    </row>
    <row r="841" spans="1:14">
      <c r="A841" s="123">
        <v>29</v>
      </c>
      <c r="B841" s="837"/>
      <c r="C841" s="111" t="s">
        <v>3065</v>
      </c>
      <c r="D841" s="855"/>
      <c r="E841" s="855"/>
      <c r="F841" s="860"/>
      <c r="G841" s="860"/>
      <c r="H841" s="860"/>
      <c r="I841" s="860"/>
      <c r="J841" s="860"/>
      <c r="K841" s="860"/>
      <c r="L841" s="855"/>
      <c r="M841" s="964"/>
      <c r="N841" s="855"/>
    </row>
    <row r="842" spans="1:14">
      <c r="A842" s="123">
        <v>29</v>
      </c>
      <c r="B842" s="83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7"/>
      <c r="C844" s="111" t="s">
        <v>3079</v>
      </c>
      <c r="D844" s="854" t="s">
        <v>311</v>
      </c>
      <c r="E844" s="854" t="s">
        <v>320</v>
      </c>
      <c r="F844" s="859" t="s">
        <v>3068</v>
      </c>
      <c r="G844" s="859" t="s">
        <v>1919</v>
      </c>
      <c r="H844" s="859" t="s">
        <v>3069</v>
      </c>
      <c r="I844" s="149" t="s">
        <v>3090</v>
      </c>
      <c r="J844" s="859"/>
      <c r="K844" s="859" t="s">
        <v>3070</v>
      </c>
      <c r="L844" s="854" t="s">
        <v>309</v>
      </c>
      <c r="M844" s="965" t="s">
        <v>3092</v>
      </c>
      <c r="N844" s="854" t="s">
        <v>1206</v>
      </c>
    </row>
    <row r="845" spans="1:14">
      <c r="A845" s="123">
        <v>29</v>
      </c>
      <c r="B845" s="837"/>
      <c r="C845" s="111" t="s">
        <v>3089</v>
      </c>
      <c r="D845" s="855"/>
      <c r="E845" s="855"/>
      <c r="F845" s="860"/>
      <c r="G845" s="860"/>
      <c r="H845" s="860"/>
      <c r="I845" s="149" t="s">
        <v>3091</v>
      </c>
      <c r="J845" s="860"/>
      <c r="K845" s="860"/>
      <c r="L845" s="855"/>
      <c r="M845" s="966"/>
      <c r="N845" s="855"/>
    </row>
    <row r="846" spans="1:14">
      <c r="A846" s="123">
        <v>29</v>
      </c>
      <c r="B846" s="837"/>
      <c r="C846" s="111" t="s">
        <v>3079</v>
      </c>
      <c r="D846" s="854" t="s">
        <v>311</v>
      </c>
      <c r="E846" s="854" t="s">
        <v>320</v>
      </c>
      <c r="F846" s="859" t="s">
        <v>2601</v>
      </c>
      <c r="G846" s="859" t="s">
        <v>3059</v>
      </c>
      <c r="H846" s="859" t="s">
        <v>3060</v>
      </c>
      <c r="I846" s="859" t="s">
        <v>3071</v>
      </c>
      <c r="J846" s="859" t="s">
        <v>702</v>
      </c>
      <c r="K846" s="859" t="s">
        <v>1054</v>
      </c>
      <c r="L846" s="854" t="s">
        <v>309</v>
      </c>
      <c r="M846" s="962" t="s">
        <v>3094</v>
      </c>
      <c r="N846" s="854" t="s">
        <v>3095</v>
      </c>
    </row>
    <row r="847" spans="1:14">
      <c r="A847" s="123">
        <v>29</v>
      </c>
      <c r="B847" s="837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>
      <c r="A848" s="123">
        <v>29</v>
      </c>
      <c r="B848" s="837"/>
      <c r="C848" s="111" t="s">
        <v>3093</v>
      </c>
      <c r="D848" s="855"/>
      <c r="E848" s="855"/>
      <c r="F848" s="860"/>
      <c r="G848" s="860"/>
      <c r="H848" s="860"/>
      <c r="I848" s="860"/>
      <c r="J848" s="860"/>
      <c r="K848" s="860"/>
      <c r="L848" s="855"/>
      <c r="M848" s="964"/>
      <c r="N848" s="855"/>
    </row>
    <row r="849" spans="1:14">
      <c r="A849" s="123">
        <v>29</v>
      </c>
      <c r="B849" s="837"/>
      <c r="C849" s="111" t="s">
        <v>3096</v>
      </c>
      <c r="D849" s="854" t="s">
        <v>311</v>
      </c>
      <c r="E849" s="854" t="s">
        <v>320</v>
      </c>
      <c r="F849" s="859" t="s">
        <v>337</v>
      </c>
      <c r="G849" s="859" t="s">
        <v>3072</v>
      </c>
      <c r="H849" s="859" t="s">
        <v>354</v>
      </c>
      <c r="I849" s="859" t="s">
        <v>310</v>
      </c>
      <c r="J849" s="859" t="s">
        <v>638</v>
      </c>
      <c r="K849" s="859" t="s">
        <v>3073</v>
      </c>
      <c r="L849" s="854" t="s">
        <v>309</v>
      </c>
      <c r="M849" s="962" t="s">
        <v>1816</v>
      </c>
      <c r="N849" s="854" t="s">
        <v>3095</v>
      </c>
    </row>
    <row r="850" spans="1:14">
      <c r="A850" s="123">
        <v>29</v>
      </c>
      <c r="B850" s="838"/>
      <c r="C850" s="111" t="s">
        <v>3089</v>
      </c>
      <c r="D850" s="855"/>
      <c r="E850" s="855"/>
      <c r="F850" s="860"/>
      <c r="G850" s="860"/>
      <c r="H850" s="860"/>
      <c r="I850" s="860"/>
      <c r="J850" s="860"/>
      <c r="K850" s="860"/>
      <c r="L850" s="855"/>
      <c r="M850" s="964"/>
      <c r="N850" s="855"/>
    </row>
    <row r="851" spans="1:14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0"/>
      <c r="C853" s="148" t="s">
        <v>3106</v>
      </c>
      <c r="D853" s="854" t="s">
        <v>306</v>
      </c>
      <c r="E853" s="854" t="s">
        <v>322</v>
      </c>
      <c r="F853" s="854" t="s">
        <v>307</v>
      </c>
      <c r="G853" s="859" t="s">
        <v>3051</v>
      </c>
      <c r="H853" s="854" t="s">
        <v>1993</v>
      </c>
      <c r="I853" s="859" t="s">
        <v>3108</v>
      </c>
      <c r="J853" s="854" t="s">
        <v>664</v>
      </c>
      <c r="K853" s="148" t="s">
        <v>3109</v>
      </c>
      <c r="L853" s="854"/>
      <c r="M853" s="863" t="s">
        <v>3110</v>
      </c>
      <c r="N853" s="854" t="s">
        <v>665</v>
      </c>
    </row>
    <row r="854" spans="1:14">
      <c r="A854" s="123">
        <v>30</v>
      </c>
      <c r="B854" s="970"/>
      <c r="C854" s="148" t="s">
        <v>3107</v>
      </c>
      <c r="D854" s="855"/>
      <c r="E854" s="855"/>
      <c r="F854" s="855"/>
      <c r="G854" s="860"/>
      <c r="H854" s="855"/>
      <c r="I854" s="860"/>
      <c r="J854" s="855"/>
      <c r="K854" s="148" t="s">
        <v>655</v>
      </c>
      <c r="L854" s="855"/>
      <c r="M854" s="864"/>
      <c r="N854" s="855"/>
    </row>
    <row r="855" spans="1:14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6" t="s">
        <v>3116</v>
      </c>
      <c r="C856" s="967" t="s">
        <v>3117</v>
      </c>
      <c r="D856" s="854" t="s">
        <v>311</v>
      </c>
      <c r="E856" s="854" t="s">
        <v>320</v>
      </c>
      <c r="F856" s="859" t="s">
        <v>2601</v>
      </c>
      <c r="G856" s="859" t="s">
        <v>2749</v>
      </c>
      <c r="H856" s="859" t="s">
        <v>347</v>
      </c>
      <c r="I856" s="859" t="s">
        <v>3118</v>
      </c>
      <c r="J856" s="859" t="s">
        <v>638</v>
      </c>
      <c r="K856" s="859" t="s">
        <v>698</v>
      </c>
      <c r="L856" s="854" t="s">
        <v>309</v>
      </c>
      <c r="M856" s="863" t="s">
        <v>1810</v>
      </c>
      <c r="N856" s="148" t="s">
        <v>3119</v>
      </c>
    </row>
    <row r="857" spans="1:14">
      <c r="A857" s="123">
        <v>30</v>
      </c>
      <c r="B857" s="837"/>
      <c r="C857" s="968"/>
      <c r="D857" s="855"/>
      <c r="E857" s="855"/>
      <c r="F857" s="860"/>
      <c r="G857" s="860"/>
      <c r="H857" s="860"/>
      <c r="I857" s="860"/>
      <c r="J857" s="860"/>
      <c r="K857" s="860"/>
      <c r="L857" s="855"/>
      <c r="M857" s="864"/>
      <c r="N857" s="148" t="s">
        <v>3120</v>
      </c>
    </row>
    <row r="858" spans="1:14" ht="16.5" customHeight="1">
      <c r="A858" s="123">
        <v>30</v>
      </c>
      <c r="B858" s="837"/>
      <c r="C858" s="967" t="s">
        <v>3117</v>
      </c>
      <c r="D858" s="854" t="s">
        <v>311</v>
      </c>
      <c r="E858" s="854" t="s">
        <v>320</v>
      </c>
      <c r="F858" s="859" t="s">
        <v>709</v>
      </c>
      <c r="G858" s="149" t="s">
        <v>3121</v>
      </c>
      <c r="H858" s="859" t="s">
        <v>640</v>
      </c>
      <c r="I858" s="859" t="s">
        <v>3122</v>
      </c>
      <c r="J858" s="859"/>
      <c r="K858" s="859" t="s">
        <v>692</v>
      </c>
      <c r="L858" s="854" t="s">
        <v>309</v>
      </c>
      <c r="M858" s="863" t="s">
        <v>1535</v>
      </c>
      <c r="N858" s="854" t="s">
        <v>1772</v>
      </c>
    </row>
    <row r="859" spans="1:14">
      <c r="A859" s="123">
        <v>30</v>
      </c>
      <c r="B859" s="837"/>
      <c r="C859" s="968"/>
      <c r="D859" s="855"/>
      <c r="E859" s="855"/>
      <c r="F859" s="860"/>
      <c r="G859" s="149">
        <v>2651</v>
      </c>
      <c r="H859" s="860"/>
      <c r="I859" s="860"/>
      <c r="J859" s="860"/>
      <c r="K859" s="860"/>
      <c r="L859" s="855"/>
      <c r="M859" s="864"/>
      <c r="N859" s="855"/>
    </row>
    <row r="860" spans="1:14">
      <c r="A860" s="123">
        <v>30</v>
      </c>
      <c r="B860" s="837"/>
      <c r="C860" s="967" t="s">
        <v>3123</v>
      </c>
      <c r="D860" s="854" t="s">
        <v>311</v>
      </c>
      <c r="E860" s="854" t="s">
        <v>320</v>
      </c>
      <c r="F860" s="859" t="s">
        <v>720</v>
      </c>
      <c r="G860" s="859" t="s">
        <v>1756</v>
      </c>
      <c r="H860" s="859" t="s">
        <v>347</v>
      </c>
      <c r="I860" s="149" t="s">
        <v>3124</v>
      </c>
      <c r="J860" s="859"/>
      <c r="K860" s="859" t="s">
        <v>3126</v>
      </c>
      <c r="L860" s="854" t="s">
        <v>309</v>
      </c>
      <c r="M860" s="863" t="s">
        <v>1933</v>
      </c>
      <c r="N860" s="854" t="s">
        <v>1206</v>
      </c>
    </row>
    <row r="861" spans="1:14">
      <c r="A861" s="123">
        <v>30</v>
      </c>
      <c r="B861" s="837"/>
      <c r="C861" s="968"/>
      <c r="D861" s="855"/>
      <c r="E861" s="855"/>
      <c r="F861" s="860"/>
      <c r="G861" s="860"/>
      <c r="H861" s="860"/>
      <c r="I861" s="149" t="s">
        <v>3125</v>
      </c>
      <c r="J861" s="860"/>
      <c r="K861" s="860"/>
      <c r="L861" s="855"/>
      <c r="M861" s="864"/>
      <c r="N861" s="855"/>
    </row>
    <row r="862" spans="1:14">
      <c r="A862" s="123">
        <v>30</v>
      </c>
      <c r="B862" s="837"/>
      <c r="C862" s="111" t="s">
        <v>3127</v>
      </c>
      <c r="D862" s="854" t="s">
        <v>311</v>
      </c>
      <c r="E862" s="854" t="s">
        <v>320</v>
      </c>
      <c r="F862" s="859" t="s">
        <v>690</v>
      </c>
      <c r="G862" s="859" t="s">
        <v>3066</v>
      </c>
      <c r="H862" s="859" t="s">
        <v>354</v>
      </c>
      <c r="I862" s="859" t="s">
        <v>3129</v>
      </c>
      <c r="J862" s="859" t="s">
        <v>638</v>
      </c>
      <c r="K862" s="859" t="s">
        <v>655</v>
      </c>
      <c r="L862" s="854" t="s">
        <v>309</v>
      </c>
      <c r="M862" s="863" t="s">
        <v>1535</v>
      </c>
      <c r="N862" s="854" t="s">
        <v>1206</v>
      </c>
    </row>
    <row r="863" spans="1:14">
      <c r="A863" s="123">
        <v>30</v>
      </c>
      <c r="B863" s="837"/>
      <c r="C863" s="111" t="s">
        <v>3128</v>
      </c>
      <c r="D863" s="855"/>
      <c r="E863" s="855"/>
      <c r="F863" s="860"/>
      <c r="G863" s="860"/>
      <c r="H863" s="860"/>
      <c r="I863" s="860"/>
      <c r="J863" s="860"/>
      <c r="K863" s="860"/>
      <c r="L863" s="855"/>
      <c r="M863" s="864"/>
      <c r="N863" s="855"/>
    </row>
    <row r="864" spans="1:14">
      <c r="A864" s="123">
        <v>30</v>
      </c>
      <c r="B864" s="837"/>
      <c r="C864" s="111" t="s">
        <v>3130</v>
      </c>
      <c r="D864" s="854" t="s">
        <v>311</v>
      </c>
      <c r="E864" s="854" t="s">
        <v>320</v>
      </c>
      <c r="F864" s="859" t="s">
        <v>337</v>
      </c>
      <c r="G864" s="859" t="s">
        <v>3072</v>
      </c>
      <c r="H864" s="859" t="s">
        <v>354</v>
      </c>
      <c r="I864" s="859" t="s">
        <v>3131</v>
      </c>
      <c r="J864" s="859" t="s">
        <v>638</v>
      </c>
      <c r="K864" s="859" t="s">
        <v>713</v>
      </c>
      <c r="L864" s="854" t="s">
        <v>309</v>
      </c>
      <c r="M864" s="863" t="s">
        <v>1810</v>
      </c>
      <c r="N864" s="854" t="s">
        <v>1206</v>
      </c>
    </row>
    <row r="865" spans="1:14">
      <c r="A865" s="123">
        <v>30</v>
      </c>
      <c r="B865" s="837"/>
      <c r="C865" s="111" t="s">
        <v>3107</v>
      </c>
      <c r="D865" s="855"/>
      <c r="E865" s="855"/>
      <c r="F865" s="860"/>
      <c r="G865" s="860"/>
      <c r="H865" s="860"/>
      <c r="I865" s="860"/>
      <c r="J865" s="860"/>
      <c r="K865" s="860"/>
      <c r="L865" s="855"/>
      <c r="M865" s="864"/>
      <c r="N865" s="855"/>
    </row>
    <row r="866" spans="1:14" ht="25.5">
      <c r="A866" s="123">
        <v>30</v>
      </c>
      <c r="B866" s="83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7"/>
      <c r="C867" s="967" t="s">
        <v>3111</v>
      </c>
      <c r="D867" s="854" t="s">
        <v>311</v>
      </c>
      <c r="E867" s="854" t="s">
        <v>675</v>
      </c>
      <c r="F867" s="859" t="s">
        <v>660</v>
      </c>
      <c r="G867" s="859" t="s">
        <v>661</v>
      </c>
      <c r="H867" s="859" t="s">
        <v>662</v>
      </c>
      <c r="I867" s="149" t="s">
        <v>3134</v>
      </c>
      <c r="J867" s="859" t="s">
        <v>638</v>
      </c>
      <c r="K867" s="859" t="s">
        <v>731</v>
      </c>
      <c r="L867" s="854" t="s">
        <v>309</v>
      </c>
      <c r="M867" s="863" t="s">
        <v>1828</v>
      </c>
      <c r="N867" s="854" t="s">
        <v>3136</v>
      </c>
    </row>
    <row r="868" spans="1:14">
      <c r="A868" s="123">
        <v>30</v>
      </c>
      <c r="B868" s="838"/>
      <c r="C868" s="968"/>
      <c r="D868" s="855"/>
      <c r="E868" s="855"/>
      <c r="F868" s="860"/>
      <c r="G868" s="860"/>
      <c r="H868" s="860"/>
      <c r="I868" s="149" t="s">
        <v>3135</v>
      </c>
      <c r="J868" s="860"/>
      <c r="K868" s="860"/>
      <c r="L868" s="855"/>
      <c r="M868" s="864"/>
      <c r="N868" s="855"/>
    </row>
    <row r="869" spans="1:14">
      <c r="A869" s="123">
        <v>31</v>
      </c>
      <c r="B869" s="83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7"/>
      <c r="C870" s="148" t="s">
        <v>3140</v>
      </c>
      <c r="D870" s="854" t="s">
        <v>306</v>
      </c>
      <c r="E870" s="854" t="s">
        <v>322</v>
      </c>
      <c r="F870" s="854" t="s">
        <v>307</v>
      </c>
      <c r="G870" s="859">
        <v>1566</v>
      </c>
      <c r="H870" s="854" t="s">
        <v>1911</v>
      </c>
      <c r="I870" s="859" t="s">
        <v>3142</v>
      </c>
      <c r="J870" s="854" t="s">
        <v>664</v>
      </c>
      <c r="K870" s="854" t="s">
        <v>3143</v>
      </c>
      <c r="L870" s="854"/>
      <c r="M870" s="863" t="s">
        <v>3144</v>
      </c>
      <c r="N870" s="854" t="s">
        <v>665</v>
      </c>
    </row>
    <row r="871" spans="1:14">
      <c r="A871" s="123">
        <v>31</v>
      </c>
      <c r="B871" s="837"/>
      <c r="C871" s="148" t="s">
        <v>3141</v>
      </c>
      <c r="D871" s="855"/>
      <c r="E871" s="855"/>
      <c r="F871" s="855"/>
      <c r="G871" s="860"/>
      <c r="H871" s="855"/>
      <c r="I871" s="860"/>
      <c r="J871" s="855"/>
      <c r="K871" s="855"/>
      <c r="L871" s="855"/>
      <c r="M871" s="864"/>
      <c r="N871" s="855"/>
    </row>
    <row r="872" spans="1:14">
      <c r="A872" s="123">
        <v>31</v>
      </c>
      <c r="B872" s="83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7"/>
      <c r="C873" s="388" t="s">
        <v>3140</v>
      </c>
      <c r="D873" s="854" t="s">
        <v>306</v>
      </c>
      <c r="E873" s="854" t="s">
        <v>322</v>
      </c>
      <c r="F873" s="854" t="s">
        <v>307</v>
      </c>
      <c r="G873" s="859" t="s">
        <v>3147</v>
      </c>
      <c r="H873" s="854" t="s">
        <v>3148</v>
      </c>
      <c r="I873" s="859" t="s">
        <v>332</v>
      </c>
      <c r="J873" s="854" t="s">
        <v>1534</v>
      </c>
      <c r="K873" s="854" t="s">
        <v>1157</v>
      </c>
      <c r="L873" s="854"/>
      <c r="M873" s="863" t="s">
        <v>3149</v>
      </c>
      <c r="N873" s="854" t="s">
        <v>425</v>
      </c>
    </row>
    <row r="874" spans="1:14">
      <c r="A874" s="123">
        <v>31</v>
      </c>
      <c r="B874" s="838"/>
      <c r="C874" s="388" t="s">
        <v>3146</v>
      </c>
      <c r="D874" s="855"/>
      <c r="E874" s="855"/>
      <c r="F874" s="855"/>
      <c r="G874" s="860"/>
      <c r="H874" s="855"/>
      <c r="I874" s="860"/>
      <c r="J874" s="855"/>
      <c r="K874" s="855"/>
      <c r="L874" s="855"/>
      <c r="M874" s="864"/>
      <c r="N874" s="855"/>
    </row>
    <row r="875" spans="1:14">
      <c r="A875" s="123">
        <v>31</v>
      </c>
      <c r="B875" s="83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7"/>
      <c r="C876" s="854" t="s">
        <v>3128</v>
      </c>
      <c r="D876" s="854" t="s">
        <v>311</v>
      </c>
      <c r="E876" s="854" t="s">
        <v>675</v>
      </c>
      <c r="F876" s="859" t="s">
        <v>660</v>
      </c>
      <c r="G876" s="859" t="s">
        <v>661</v>
      </c>
      <c r="H876" s="859" t="s">
        <v>662</v>
      </c>
      <c r="I876" s="149" t="s">
        <v>3134</v>
      </c>
      <c r="J876" s="859"/>
      <c r="K876" s="859" t="s">
        <v>698</v>
      </c>
      <c r="L876" s="854" t="s">
        <v>309</v>
      </c>
      <c r="M876" s="863" t="s">
        <v>3139</v>
      </c>
      <c r="N876" s="854" t="s">
        <v>3152</v>
      </c>
    </row>
    <row r="877" spans="1:14">
      <c r="A877" s="123">
        <v>31</v>
      </c>
      <c r="B877" s="837"/>
      <c r="C877" s="855"/>
      <c r="D877" s="855"/>
      <c r="E877" s="855"/>
      <c r="F877" s="860"/>
      <c r="G877" s="860"/>
      <c r="H877" s="860"/>
      <c r="I877" s="149" t="s">
        <v>3135</v>
      </c>
      <c r="J877" s="860"/>
      <c r="K877" s="860"/>
      <c r="L877" s="855"/>
      <c r="M877" s="864"/>
      <c r="N877" s="855"/>
    </row>
    <row r="878" spans="1:14" ht="16.5" customHeight="1">
      <c r="A878" s="123">
        <v>31</v>
      </c>
      <c r="B878" s="837"/>
      <c r="C878" s="148" t="s">
        <v>3153</v>
      </c>
      <c r="D878" s="854" t="s">
        <v>311</v>
      </c>
      <c r="E878" s="854" t="s">
        <v>320</v>
      </c>
      <c r="F878" s="859" t="s">
        <v>3068</v>
      </c>
      <c r="G878" s="859" t="s">
        <v>1919</v>
      </c>
      <c r="H878" s="859" t="s">
        <v>3069</v>
      </c>
      <c r="I878" s="859" t="s">
        <v>3154</v>
      </c>
      <c r="J878" s="859"/>
      <c r="K878" s="859" t="s">
        <v>3155</v>
      </c>
      <c r="L878" s="854" t="s">
        <v>309</v>
      </c>
      <c r="M878" s="863" t="s">
        <v>3156</v>
      </c>
      <c r="N878" s="854" t="s">
        <v>3151</v>
      </c>
    </row>
    <row r="879" spans="1:14">
      <c r="A879" s="123">
        <v>31</v>
      </c>
      <c r="B879" s="837"/>
      <c r="C879" s="148" t="s">
        <v>3111</v>
      </c>
      <c r="D879" s="855"/>
      <c r="E879" s="855"/>
      <c r="F879" s="860"/>
      <c r="G879" s="860"/>
      <c r="H879" s="860"/>
      <c r="I879" s="860"/>
      <c r="J879" s="860"/>
      <c r="K879" s="860"/>
      <c r="L879" s="855"/>
      <c r="M879" s="864"/>
      <c r="N879" s="855"/>
    </row>
    <row r="880" spans="1:14">
      <c r="A880" s="123">
        <v>31</v>
      </c>
      <c r="B880" s="83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7"/>
      <c r="C883" s="111" t="s">
        <v>3166</v>
      </c>
      <c r="D883" s="854" t="s">
        <v>311</v>
      </c>
      <c r="E883" s="854" t="s">
        <v>320</v>
      </c>
      <c r="F883" s="859" t="s">
        <v>337</v>
      </c>
      <c r="G883" s="859" t="s">
        <v>3168</v>
      </c>
      <c r="H883" s="859" t="s">
        <v>3169</v>
      </c>
      <c r="I883" s="859" t="s">
        <v>3170</v>
      </c>
      <c r="J883" s="859" t="s">
        <v>3171</v>
      </c>
      <c r="K883" s="859" t="s">
        <v>3172</v>
      </c>
      <c r="L883" s="854" t="s">
        <v>309</v>
      </c>
      <c r="M883" s="863" t="s">
        <v>3173</v>
      </c>
      <c r="N883" s="854" t="s">
        <v>3136</v>
      </c>
    </row>
    <row r="884" spans="1:14">
      <c r="A884" s="123">
        <v>31</v>
      </c>
      <c r="B884" s="838"/>
      <c r="C884" s="111" t="s">
        <v>3167</v>
      </c>
      <c r="D884" s="855"/>
      <c r="E884" s="855"/>
      <c r="F884" s="860"/>
      <c r="G884" s="860"/>
      <c r="H884" s="860"/>
      <c r="I884" s="860"/>
      <c r="J884" s="860"/>
      <c r="K884" s="860"/>
      <c r="L884" s="855"/>
      <c r="M884" s="864"/>
      <c r="N884" s="855"/>
    </row>
    <row r="885" spans="1:14" ht="27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13" t="s">
        <v>5443</v>
      </c>
    </row>
    <row r="1370" spans="1:14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13"/>
    </row>
    <row r="1371" spans="1:14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3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3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3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3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1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1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75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975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975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975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975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975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975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975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3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3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3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3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3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3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37"/>
      <c r="C1439" s="978" t="s">
        <v>5860</v>
      </c>
      <c r="D1439" s="979" t="s">
        <v>311</v>
      </c>
      <c r="E1439" s="979" t="s">
        <v>320</v>
      </c>
      <c r="F1439" s="980" t="s">
        <v>5188</v>
      </c>
      <c r="G1439" s="678" t="s">
        <v>1919</v>
      </c>
      <c r="H1439" s="980" t="s">
        <v>347</v>
      </c>
      <c r="I1439" s="980" t="s">
        <v>5870</v>
      </c>
      <c r="J1439" s="980"/>
      <c r="K1439" s="980" t="s">
        <v>692</v>
      </c>
      <c r="L1439" s="979" t="s">
        <v>309</v>
      </c>
      <c r="M1439" s="981">
        <v>500000</v>
      </c>
      <c r="N1439" s="982"/>
    </row>
    <row r="1440" spans="1:14">
      <c r="A1440" s="728">
        <v>20</v>
      </c>
      <c r="B1440" s="837"/>
      <c r="C1440" s="978"/>
      <c r="D1440" s="979"/>
      <c r="E1440" s="979"/>
      <c r="F1440" s="980"/>
      <c r="G1440" s="678" t="s">
        <v>5189</v>
      </c>
      <c r="H1440" s="980"/>
      <c r="I1440" s="980"/>
      <c r="J1440" s="980"/>
      <c r="K1440" s="980"/>
      <c r="L1440" s="979"/>
      <c r="M1440" s="981"/>
      <c r="N1440" s="982"/>
    </row>
    <row r="1441" spans="1:14" ht="24">
      <c r="A1441" s="728">
        <v>20</v>
      </c>
      <c r="B1441" s="83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10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10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10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10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10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>
      <c r="A1447" s="728">
        <v>21</v>
      </c>
      <c r="B1447" s="810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10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10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10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10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10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98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85" t="s">
        <v>5942</v>
      </c>
    </row>
    <row r="1454" spans="1:14">
      <c r="A1454" s="740">
        <v>22</v>
      </c>
      <c r="B1454" s="98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86"/>
    </row>
    <row r="1455" spans="1:14">
      <c r="A1455" s="740">
        <v>22</v>
      </c>
      <c r="B1455" s="98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98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98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98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98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988" t="s">
        <v>3274</v>
      </c>
      <c r="K1459" s="988" t="s">
        <v>3454</v>
      </c>
      <c r="L1459" s="664" t="s">
        <v>3265</v>
      </c>
      <c r="M1459" s="990">
        <v>250000</v>
      </c>
      <c r="N1459" s="725" t="s">
        <v>5964</v>
      </c>
    </row>
    <row r="1460" spans="1:14">
      <c r="A1460" s="740">
        <v>22</v>
      </c>
      <c r="B1460" s="98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989"/>
      <c r="K1460" s="989"/>
      <c r="L1460" s="664" t="s">
        <v>3265</v>
      </c>
      <c r="M1460" s="991"/>
      <c r="N1460" s="725" t="s">
        <v>5965</v>
      </c>
    </row>
    <row r="1461" spans="1:14">
      <c r="A1461" s="740">
        <v>22</v>
      </c>
      <c r="B1461" s="98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98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98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98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992" t="s">
        <v>5920</v>
      </c>
      <c r="L1464" s="664" t="s">
        <v>15</v>
      </c>
      <c r="M1464" s="990">
        <v>500000</v>
      </c>
      <c r="N1464" s="725" t="s">
        <v>5969</v>
      </c>
    </row>
    <row r="1465" spans="1:14">
      <c r="A1465" s="740">
        <v>22</v>
      </c>
      <c r="B1465" s="98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993"/>
      <c r="L1465" s="664" t="s">
        <v>15</v>
      </c>
      <c r="M1465" s="991"/>
      <c r="N1465" s="725" t="s">
        <v>5970</v>
      </c>
    </row>
    <row r="1466" spans="1:14">
      <c r="A1466" s="770">
        <v>23</v>
      </c>
      <c r="B1466" s="810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9" t="s">
        <v>6064</v>
      </c>
      <c r="M1466" s="751">
        <v>250000</v>
      </c>
      <c r="N1466" s="664" t="s">
        <v>5990</v>
      </c>
    </row>
    <row r="1467" spans="1:14">
      <c r="A1467" s="770">
        <v>23</v>
      </c>
      <c r="B1467" s="810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9" t="s">
        <v>6064</v>
      </c>
      <c r="M1467" s="751">
        <f>250000*5</f>
        <v>1250000</v>
      </c>
      <c r="N1467" s="646"/>
    </row>
    <row r="1468" spans="1:14">
      <c r="A1468" s="770">
        <v>23</v>
      </c>
      <c r="B1468" s="810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9" t="s">
        <v>6064</v>
      </c>
      <c r="M1468" s="751">
        <f>250000*2</f>
        <v>500000</v>
      </c>
      <c r="N1468" s="771"/>
    </row>
    <row r="1469" spans="1:14" ht="24">
      <c r="A1469" s="770">
        <v>23</v>
      </c>
      <c r="B1469" s="810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9" t="s">
        <v>6064</v>
      </c>
      <c r="M1469" s="751">
        <f>250000*4</f>
        <v>1000000</v>
      </c>
      <c r="N1469" s="771"/>
    </row>
    <row r="1470" spans="1:14">
      <c r="A1470" s="770">
        <v>23</v>
      </c>
      <c r="B1470" s="810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9" t="s">
        <v>6064</v>
      </c>
      <c r="M1470" s="751">
        <f>250000*3</f>
        <v>750000</v>
      </c>
      <c r="N1470" s="771"/>
    </row>
    <row r="1471" spans="1:14">
      <c r="A1471" s="770">
        <v>23</v>
      </c>
      <c r="B1471" s="81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8">
        <v>250000</v>
      </c>
      <c r="N1471" s="664" t="s">
        <v>5990</v>
      </c>
    </row>
    <row r="1472" spans="1:14">
      <c r="A1472" s="770">
        <v>23</v>
      </c>
      <c r="B1472" s="81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8">
        <v>250000</v>
      </c>
      <c r="N1472" s="664" t="s">
        <v>5990</v>
      </c>
    </row>
    <row r="1473" spans="1:14">
      <c r="A1473" s="770">
        <v>23</v>
      </c>
      <c r="B1473" s="810"/>
      <c r="C1473" s="369">
        <v>46178</v>
      </c>
      <c r="D1473" s="4" t="s">
        <v>21</v>
      </c>
      <c r="E1473" s="4" t="s">
        <v>14</v>
      </c>
      <c r="F1473" s="764" t="s">
        <v>1893</v>
      </c>
      <c r="G1473" s="454" t="s">
        <v>4939</v>
      </c>
      <c r="H1473" s="16" t="s">
        <v>6013</v>
      </c>
      <c r="I1473" s="766" t="s">
        <v>6001</v>
      </c>
      <c r="J1473" s="764" t="s">
        <v>6038</v>
      </c>
      <c r="K1473" s="766" t="s">
        <v>6012</v>
      </c>
      <c r="L1473" s="125" t="s">
        <v>15</v>
      </c>
      <c r="M1473" s="768">
        <v>300000</v>
      </c>
      <c r="N1473" s="664" t="s">
        <v>5990</v>
      </c>
    </row>
    <row r="1474" spans="1:14" ht="27">
      <c r="A1474" s="770">
        <v>23</v>
      </c>
      <c r="B1474" s="810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76" t="s">
        <v>90</v>
      </c>
      <c r="K1474" s="976" t="s">
        <v>6008</v>
      </c>
      <c r="L1474" s="136" t="s">
        <v>15</v>
      </c>
      <c r="M1474" s="977">
        <v>250000</v>
      </c>
      <c r="N1474" s="664"/>
    </row>
    <row r="1475" spans="1:14" ht="27">
      <c r="A1475" s="770">
        <v>23</v>
      </c>
      <c r="B1475" s="810"/>
      <c r="C1475" s="369">
        <v>46181</v>
      </c>
      <c r="D1475" s="4" t="s">
        <v>21</v>
      </c>
      <c r="E1475" s="4" t="s">
        <v>17</v>
      </c>
      <c r="F1475" s="764" t="s">
        <v>78</v>
      </c>
      <c r="G1475" s="453" t="s">
        <v>6016</v>
      </c>
      <c r="H1475" s="16" t="s">
        <v>37</v>
      </c>
      <c r="I1475" s="766" t="s">
        <v>5997</v>
      </c>
      <c r="J1475" s="976"/>
      <c r="K1475" s="976"/>
      <c r="L1475" s="136" t="s">
        <v>15</v>
      </c>
      <c r="M1475" s="977"/>
      <c r="N1475" s="664"/>
    </row>
    <row r="1476" spans="1:14">
      <c r="A1476" s="770">
        <v>23</v>
      </c>
      <c r="B1476" s="81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8">
        <v>300000</v>
      </c>
      <c r="N1476" s="664"/>
    </row>
    <row r="1477" spans="1:14">
      <c r="A1477" s="770">
        <v>23</v>
      </c>
      <c r="B1477" s="81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8">
        <v>250000</v>
      </c>
      <c r="N1477" s="664"/>
    </row>
    <row r="1478" spans="1:14">
      <c r="A1478" s="770">
        <v>23</v>
      </c>
      <c r="B1478" s="81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8">
        <v>250000</v>
      </c>
      <c r="N1478" s="664"/>
    </row>
    <row r="1479" spans="1:14">
      <c r="A1479" s="770">
        <v>23</v>
      </c>
      <c r="B1479" s="810"/>
      <c r="C1479" s="369">
        <v>46182</v>
      </c>
      <c r="D1479" s="4" t="s">
        <v>21</v>
      </c>
      <c r="E1479" s="4" t="s">
        <v>14</v>
      </c>
      <c r="F1479" s="764" t="s">
        <v>1893</v>
      </c>
      <c r="G1479" s="454" t="s">
        <v>4939</v>
      </c>
      <c r="H1479" s="16" t="s">
        <v>3301</v>
      </c>
      <c r="I1479" s="766" t="s">
        <v>6054</v>
      </c>
      <c r="J1479" s="764"/>
      <c r="K1479" s="766" t="s">
        <v>6051</v>
      </c>
      <c r="L1479" s="125" t="s">
        <v>15</v>
      </c>
      <c r="M1479" s="768">
        <v>300000</v>
      </c>
      <c r="N1479" s="664"/>
    </row>
    <row r="1480" spans="1:14">
      <c r="A1480" s="770">
        <v>23</v>
      </c>
      <c r="B1480" s="81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6" t="s">
        <v>6044</v>
      </c>
      <c r="J1480" s="764" t="s">
        <v>6053</v>
      </c>
      <c r="K1480" s="766" t="s">
        <v>6052</v>
      </c>
      <c r="L1480" s="125" t="s">
        <v>6045</v>
      </c>
      <c r="M1480" s="768">
        <v>300000</v>
      </c>
      <c r="N1480" s="664"/>
    </row>
    <row r="1481" spans="1:14">
      <c r="A1481" s="770">
        <v>23</v>
      </c>
      <c r="B1481" s="81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6" t="s">
        <v>6048</v>
      </c>
      <c r="J1481" s="764"/>
      <c r="K1481" s="766" t="s">
        <v>6047</v>
      </c>
      <c r="L1481" s="125" t="s">
        <v>6045</v>
      </c>
      <c r="M1481" s="768">
        <v>300000</v>
      </c>
      <c r="N1481" s="664"/>
    </row>
    <row r="1482" spans="1:14">
      <c r="A1482" s="770">
        <v>23</v>
      </c>
      <c r="B1482" s="81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8">
        <v>800000</v>
      </c>
      <c r="N1482" s="664"/>
    </row>
    <row r="1483" spans="1:14">
      <c r="A1483" s="770">
        <v>23</v>
      </c>
      <c r="B1483" s="81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8">
        <v>800000</v>
      </c>
      <c r="N1483" s="664"/>
    </row>
    <row r="1484" spans="1:14">
      <c r="A1484" s="770">
        <v>23</v>
      </c>
      <c r="B1484" s="810"/>
      <c r="C1484" s="369">
        <v>46184</v>
      </c>
      <c r="D1484" s="4" t="s">
        <v>21</v>
      </c>
      <c r="E1484" s="4" t="s">
        <v>14</v>
      </c>
      <c r="F1484" s="764" t="s">
        <v>107</v>
      </c>
      <c r="G1484" s="764" t="s">
        <v>2959</v>
      </c>
      <c r="H1484" s="16" t="s">
        <v>376</v>
      </c>
      <c r="I1484" s="766" t="s">
        <v>5919</v>
      </c>
      <c r="J1484" s="764" t="s">
        <v>6018</v>
      </c>
      <c r="K1484" s="766" t="s">
        <v>6019</v>
      </c>
      <c r="L1484" s="125" t="s">
        <v>15</v>
      </c>
      <c r="M1484" s="768">
        <v>250000</v>
      </c>
      <c r="N1484" s="664"/>
    </row>
    <row r="1485" spans="1:14">
      <c r="A1485" s="770">
        <v>23</v>
      </c>
      <c r="B1485" s="81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8">
        <v>800000</v>
      </c>
      <c r="N1485" s="664"/>
    </row>
    <row r="1486" spans="1:14">
      <c r="A1486" s="770">
        <v>24</v>
      </c>
      <c r="B1486" s="810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3" t="s">
        <v>1105</v>
      </c>
      <c r="J1486" s="647" t="s">
        <v>1259</v>
      </c>
      <c r="K1486" s="763" t="s">
        <v>2828</v>
      </c>
      <c r="L1486" s="769" t="s">
        <v>209</v>
      </c>
      <c r="M1486" s="762">
        <v>250000</v>
      </c>
      <c r="N1486" s="664" t="s">
        <v>6105</v>
      </c>
    </row>
    <row r="1487" spans="1:14" ht="27">
      <c r="A1487" s="770">
        <v>24</v>
      </c>
      <c r="B1487" s="810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3" t="s">
        <v>1105</v>
      </c>
      <c r="J1487" s="647" t="s">
        <v>1259</v>
      </c>
      <c r="K1487" s="763" t="s">
        <v>3004</v>
      </c>
      <c r="L1487" s="769" t="s">
        <v>209</v>
      </c>
      <c r="M1487" s="762">
        <v>750000</v>
      </c>
      <c r="N1487" s="664"/>
    </row>
    <row r="1488" spans="1:14">
      <c r="A1488" s="770">
        <v>24</v>
      </c>
      <c r="B1488" s="810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3" t="s">
        <v>6135</v>
      </c>
      <c r="J1488" s="647" t="s">
        <v>168</v>
      </c>
      <c r="K1488" s="763" t="s">
        <v>1101</v>
      </c>
      <c r="L1488" s="769" t="s">
        <v>209</v>
      </c>
      <c r="M1488" s="762">
        <v>500000</v>
      </c>
      <c r="N1488" s="646"/>
    </row>
    <row r="1489" spans="1:14" ht="27">
      <c r="A1489" s="770">
        <v>24</v>
      </c>
      <c r="B1489" s="810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60">
        <v>7062</v>
      </c>
      <c r="H1489" s="760" t="s">
        <v>143</v>
      </c>
      <c r="I1489" s="761" t="s">
        <v>2962</v>
      </c>
      <c r="J1489" s="647" t="s">
        <v>168</v>
      </c>
      <c r="K1489" s="763" t="s">
        <v>1101</v>
      </c>
      <c r="L1489" s="769" t="s">
        <v>209</v>
      </c>
      <c r="M1489" s="762">
        <v>500000</v>
      </c>
      <c r="N1489" s="771"/>
    </row>
    <row r="1490" spans="1:14" ht="24">
      <c r="A1490" s="770">
        <v>24</v>
      </c>
      <c r="B1490" s="810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60" t="s">
        <v>6076</v>
      </c>
      <c r="H1490" s="760" t="s">
        <v>145</v>
      </c>
      <c r="I1490" s="761" t="s">
        <v>378</v>
      </c>
      <c r="J1490" s="664" t="s">
        <v>126</v>
      </c>
      <c r="K1490" s="664" t="s">
        <v>999</v>
      </c>
      <c r="L1490" s="769" t="s">
        <v>209</v>
      </c>
      <c r="M1490" s="762">
        <v>250000</v>
      </c>
      <c r="N1490" s="771"/>
    </row>
    <row r="1491" spans="1:14" ht="24">
      <c r="A1491" s="770">
        <v>24</v>
      </c>
      <c r="B1491" s="810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3" t="s">
        <v>1105</v>
      </c>
      <c r="J1491" s="647" t="s">
        <v>1259</v>
      </c>
      <c r="K1491" s="763" t="s">
        <v>2838</v>
      </c>
      <c r="L1491" s="769" t="s">
        <v>209</v>
      </c>
      <c r="M1491" s="762">
        <v>500000</v>
      </c>
      <c r="N1491" s="771"/>
    </row>
    <row r="1492" spans="1:14">
      <c r="A1492" s="770">
        <v>24</v>
      </c>
      <c r="B1492" s="810"/>
      <c r="C1492" s="658">
        <v>46192</v>
      </c>
      <c r="D1492" s="646" t="s">
        <v>19</v>
      </c>
      <c r="E1492" s="646" t="s">
        <v>151</v>
      </c>
      <c r="F1492" s="647" t="s">
        <v>5254</v>
      </c>
      <c r="G1492" s="760" t="s">
        <v>6136</v>
      </c>
      <c r="H1492" s="760" t="s">
        <v>143</v>
      </c>
      <c r="I1492" s="761" t="s">
        <v>6137</v>
      </c>
      <c r="J1492" s="664" t="s">
        <v>168</v>
      </c>
      <c r="K1492" s="664" t="s">
        <v>2828</v>
      </c>
      <c r="L1492" s="769" t="s">
        <v>209</v>
      </c>
      <c r="M1492" s="762">
        <v>250000</v>
      </c>
      <c r="N1492" s="771"/>
    </row>
    <row r="1493" spans="1:14">
      <c r="A1493" s="770">
        <v>24</v>
      </c>
      <c r="B1493" s="81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8">
        <v>300000</v>
      </c>
      <c r="N1493" s="664" t="s">
        <v>6105</v>
      </c>
    </row>
    <row r="1494" spans="1:14">
      <c r="A1494" s="770">
        <v>24</v>
      </c>
      <c r="B1494" s="81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8">
        <v>300000</v>
      </c>
      <c r="N1494" s="664" t="s">
        <v>6105</v>
      </c>
    </row>
    <row r="1495" spans="1:14">
      <c r="A1495" s="770">
        <v>24</v>
      </c>
      <c r="B1495" s="81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8">
        <v>300000</v>
      </c>
      <c r="N1495" s="664" t="s">
        <v>6105</v>
      </c>
    </row>
    <row r="1496" spans="1:14">
      <c r="A1496" s="770">
        <v>24</v>
      </c>
      <c r="B1496" s="81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8">
        <v>300000</v>
      </c>
      <c r="N1496" s="664" t="s">
        <v>6105</v>
      </c>
    </row>
    <row r="1497" spans="1:14">
      <c r="A1497" s="770">
        <v>24</v>
      </c>
      <c r="B1497" s="810"/>
      <c r="C1497" s="369">
        <v>46185</v>
      </c>
      <c r="D1497" s="4" t="s">
        <v>138</v>
      </c>
      <c r="E1497" s="4" t="s">
        <v>14</v>
      </c>
      <c r="F1497" s="764" t="s">
        <v>1893</v>
      </c>
      <c r="G1497" s="764" t="s">
        <v>6090</v>
      </c>
      <c r="H1497" s="16" t="s">
        <v>34</v>
      </c>
      <c r="I1497" s="766" t="s">
        <v>6092</v>
      </c>
      <c r="J1497" s="454" t="s">
        <v>120</v>
      </c>
      <c r="K1497" s="459" t="s">
        <v>686</v>
      </c>
      <c r="L1497" s="459" t="s">
        <v>15</v>
      </c>
      <c r="M1497" s="768">
        <v>250000</v>
      </c>
      <c r="N1497" s="664" t="s">
        <v>6105</v>
      </c>
    </row>
    <row r="1498" spans="1:14">
      <c r="A1498" s="770">
        <v>24</v>
      </c>
      <c r="B1498" s="81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8">
        <v>500000</v>
      </c>
      <c r="N1498" s="664" t="s">
        <v>6142</v>
      </c>
    </row>
    <row r="1499" spans="1:14">
      <c r="A1499" s="770">
        <v>24</v>
      </c>
      <c r="B1499" s="81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6" t="s">
        <v>303</v>
      </c>
      <c r="J1499" s="764" t="s">
        <v>120</v>
      </c>
      <c r="K1499" s="780" t="s">
        <v>3105</v>
      </c>
      <c r="L1499" s="125" t="s">
        <v>15</v>
      </c>
      <c r="M1499" s="768">
        <v>250000</v>
      </c>
      <c r="N1499" s="664" t="s">
        <v>128</v>
      </c>
    </row>
    <row r="1500" spans="1:14">
      <c r="A1500" s="770">
        <v>24</v>
      </c>
      <c r="B1500" s="81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8">
        <v>300000</v>
      </c>
      <c r="N1500" s="664" t="s">
        <v>128</v>
      </c>
    </row>
    <row r="1501" spans="1:14" ht="27">
      <c r="A1501" s="770">
        <v>24</v>
      </c>
      <c r="B1501" s="810"/>
      <c r="C1501" s="369">
        <v>46189</v>
      </c>
      <c r="D1501" s="3" t="s">
        <v>24</v>
      </c>
      <c r="E1501" s="3" t="s">
        <v>31</v>
      </c>
      <c r="F1501" s="453" t="s">
        <v>6096</v>
      </c>
      <c r="G1501" s="764" t="s">
        <v>2713</v>
      </c>
      <c r="H1501" s="16" t="s">
        <v>115</v>
      </c>
      <c r="I1501" s="766" t="s">
        <v>6101</v>
      </c>
      <c r="J1501" s="764"/>
      <c r="K1501" s="766" t="s">
        <v>6097</v>
      </c>
      <c r="L1501" s="125" t="s">
        <v>15</v>
      </c>
      <c r="M1501" s="768">
        <v>500000</v>
      </c>
      <c r="N1501" s="664" t="s">
        <v>127</v>
      </c>
    </row>
    <row r="1502" spans="1:14" ht="27">
      <c r="A1502" s="770">
        <v>24</v>
      </c>
      <c r="B1502" s="810"/>
      <c r="C1502" s="369">
        <v>46190</v>
      </c>
      <c r="D1502" s="3" t="s">
        <v>24</v>
      </c>
      <c r="E1502" s="3" t="s">
        <v>31</v>
      </c>
      <c r="F1502" s="453" t="s">
        <v>6096</v>
      </c>
      <c r="G1502" s="764" t="s">
        <v>2713</v>
      </c>
      <c r="H1502" s="16" t="s">
        <v>23</v>
      </c>
      <c r="I1502" s="766" t="s">
        <v>6100</v>
      </c>
      <c r="J1502" s="764"/>
      <c r="K1502" s="766" t="s">
        <v>6097</v>
      </c>
      <c r="L1502" s="125" t="s">
        <v>15</v>
      </c>
      <c r="M1502" s="768">
        <v>500000</v>
      </c>
      <c r="N1502" s="664" t="s">
        <v>127</v>
      </c>
    </row>
    <row r="1503" spans="1:14">
      <c r="A1503" s="770">
        <v>24</v>
      </c>
      <c r="B1503" s="81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8">
        <v>300000</v>
      </c>
      <c r="N1503" s="664" t="s">
        <v>128</v>
      </c>
    </row>
    <row r="1504" spans="1:14" ht="40.5">
      <c r="A1504" s="770">
        <v>24</v>
      </c>
      <c r="B1504" s="810"/>
      <c r="C1504" s="369">
        <v>46191</v>
      </c>
      <c r="D1504" s="4" t="s">
        <v>21</v>
      </c>
      <c r="E1504" s="4" t="s">
        <v>14</v>
      </c>
      <c r="F1504" s="291" t="s">
        <v>149</v>
      </c>
      <c r="G1504" s="764" t="s">
        <v>4090</v>
      </c>
      <c r="H1504" s="16" t="s">
        <v>4091</v>
      </c>
      <c r="I1504" s="766" t="s">
        <v>6116</v>
      </c>
      <c r="J1504" s="764"/>
      <c r="K1504" s="404" t="s">
        <v>6097</v>
      </c>
      <c r="L1504" s="125" t="s">
        <v>15</v>
      </c>
      <c r="M1504" s="768">
        <v>500000</v>
      </c>
      <c r="N1504" s="664" t="s">
        <v>128</v>
      </c>
    </row>
    <row r="1505" spans="1:14">
      <c r="A1505" s="770">
        <v>24</v>
      </c>
      <c r="B1505" s="810"/>
      <c r="C1505" s="369">
        <v>46191</v>
      </c>
      <c r="D1505" s="3" t="s">
        <v>24</v>
      </c>
      <c r="E1505" s="3" t="s">
        <v>31</v>
      </c>
      <c r="F1505" s="453" t="s">
        <v>78</v>
      </c>
      <c r="G1505" s="764">
        <v>7060</v>
      </c>
      <c r="H1505" s="16" t="s">
        <v>35</v>
      </c>
      <c r="I1505" s="766" t="s">
        <v>6113</v>
      </c>
      <c r="J1505" s="764" t="s">
        <v>120</v>
      </c>
      <c r="K1505" s="766" t="s">
        <v>2828</v>
      </c>
      <c r="L1505" s="125" t="s">
        <v>15</v>
      </c>
      <c r="M1505" s="768">
        <v>250000</v>
      </c>
      <c r="N1505" s="664" t="s">
        <v>127</v>
      </c>
    </row>
    <row r="1506" spans="1:14">
      <c r="A1506" s="770">
        <v>24</v>
      </c>
      <c r="B1506" s="81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4" t="s">
        <v>120</v>
      </c>
      <c r="K1506" s="780" t="s">
        <v>2828</v>
      </c>
      <c r="L1506" s="125" t="s">
        <v>15</v>
      </c>
      <c r="M1506" s="768">
        <v>250000</v>
      </c>
      <c r="N1506" s="664" t="s">
        <v>1192</v>
      </c>
    </row>
    <row r="1507" spans="1:14">
      <c r="A1507" s="770">
        <v>24</v>
      </c>
      <c r="B1507" s="81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8">
        <v>300000</v>
      </c>
      <c r="N1507" s="664" t="s">
        <v>128</v>
      </c>
    </row>
    <row r="1508" spans="1:14">
      <c r="A1508" s="770">
        <v>24</v>
      </c>
      <c r="B1508" s="81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8">
        <v>300000</v>
      </c>
      <c r="N1508" s="664" t="s">
        <v>128</v>
      </c>
    </row>
  </sheetData>
  <autoFilter ref="A1:N1465"/>
  <mergeCells count="1051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8300000</v>
      </c>
    </row>
    <row r="10" spans="1:4">
      <c r="A10" s="589" t="s">
        <v>4855</v>
      </c>
      <c r="B10" s="589" t="s">
        <v>4856</v>
      </c>
      <c r="C10" s="994" t="s">
        <v>4857</v>
      </c>
      <c r="D10" s="994"/>
    </row>
    <row r="11" spans="1:4">
      <c r="A11" s="589" t="s">
        <v>4858</v>
      </c>
      <c r="B11" s="589">
        <v>6</v>
      </c>
      <c r="C11" s="995">
        <f>'사전품의양식 (12)'!L10</f>
        <v>3500000</v>
      </c>
      <c r="D11" s="995"/>
    </row>
    <row r="12" spans="1:4">
      <c r="A12" s="589" t="s">
        <v>4859</v>
      </c>
      <c r="B12" s="589">
        <v>13</v>
      </c>
      <c r="C12" s="995">
        <f>'사전품의양식 (12)'!L23</f>
        <v>4800000</v>
      </c>
      <c r="D12" s="995"/>
    </row>
    <row r="13" spans="1:4">
      <c r="A13" s="591" t="s">
        <v>53</v>
      </c>
      <c r="B13" s="591">
        <f>SUM(B11:B12)</f>
        <v>19</v>
      </c>
      <c r="C13" s="996">
        <f>SUM(C11:C12)</f>
        <v>8300000</v>
      </c>
      <c r="D13" s="9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750000</v>
      </c>
      <c r="C17" s="590">
        <v>0</v>
      </c>
      <c r="D17" s="593">
        <f>SUM(B17:C17)</f>
        <v>750000</v>
      </c>
    </row>
    <row r="18" spans="1:5">
      <c r="A18" s="589" t="s">
        <v>5511</v>
      </c>
      <c r="B18" s="590">
        <f>C11-B17</f>
        <v>2750000</v>
      </c>
      <c r="C18" s="590">
        <f>C12-C17</f>
        <v>4800000</v>
      </c>
      <c r="D18" s="590">
        <f>SUM(B18:C18)</f>
        <v>7550000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4800000</v>
      </c>
      <c r="D19" s="592">
        <f>SUM(D17:D18)</f>
        <v>8300000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O52"/>
  <sheetViews>
    <sheetView topLeftCell="A2" zoomScale="90" zoomScaleNormal="90" zoomScaleSheetLayoutView="55" workbookViewId="0">
      <selection activeCell="E21" sqref="E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999" t="s">
        <v>6238</v>
      </c>
      <c r="B2" s="1001" t="s">
        <v>1</v>
      </c>
      <c r="C2" s="1001" t="s">
        <v>2</v>
      </c>
      <c r="D2" s="1001" t="s">
        <v>3</v>
      </c>
      <c r="E2" s="720" t="s">
        <v>2623</v>
      </c>
      <c r="F2" s="1001" t="s">
        <v>5</v>
      </c>
      <c r="G2" s="1001" t="s">
        <v>6</v>
      </c>
      <c r="H2" s="1001" t="s">
        <v>2624</v>
      </c>
      <c r="I2" s="1001" t="s">
        <v>55</v>
      </c>
      <c r="J2" s="1001" t="s">
        <v>9</v>
      </c>
      <c r="K2" s="1003" t="s">
        <v>56</v>
      </c>
      <c r="L2" s="1001" t="s">
        <v>57</v>
      </c>
      <c r="M2" s="997" t="s">
        <v>58</v>
      </c>
    </row>
    <row r="3" spans="1:13">
      <c r="A3" s="1000"/>
      <c r="B3" s="1002"/>
      <c r="C3" s="1002"/>
      <c r="D3" s="1002"/>
      <c r="E3" s="721" t="s">
        <v>1724</v>
      </c>
      <c r="F3" s="1002"/>
      <c r="G3" s="1002"/>
      <c r="H3" s="1002"/>
      <c r="I3" s="1002"/>
      <c r="J3" s="1002"/>
      <c r="K3" s="1004"/>
      <c r="L3" s="1002"/>
      <c r="M3" s="998"/>
    </row>
    <row r="4" spans="1:13" s="715" customFormat="1" ht="16.5" customHeight="1">
      <c r="A4" s="1007" t="s">
        <v>20</v>
      </c>
      <c r="B4" s="658">
        <v>46189</v>
      </c>
      <c r="C4" s="793" t="s">
        <v>6274</v>
      </c>
      <c r="D4" s="646"/>
      <c r="E4" s="647" t="s">
        <v>6275</v>
      </c>
      <c r="F4" s="647" t="s">
        <v>6276</v>
      </c>
      <c r="G4" s="650"/>
      <c r="H4" s="763" t="s">
        <v>6271</v>
      </c>
      <c r="I4" s="647" t="s">
        <v>6272</v>
      </c>
      <c r="J4" s="763" t="s">
        <v>6240</v>
      </c>
      <c r="K4" s="769"/>
      <c r="L4" s="762">
        <v>250000</v>
      </c>
      <c r="M4" s="725" t="s">
        <v>6239</v>
      </c>
    </row>
    <row r="5" spans="1:13" s="715" customFormat="1" ht="16.5" customHeight="1">
      <c r="A5" s="1008"/>
      <c r="B5" s="658">
        <v>46192</v>
      </c>
      <c r="C5" s="793" t="s">
        <v>6274</v>
      </c>
      <c r="D5" s="646"/>
      <c r="E5" s="647" t="s">
        <v>6275</v>
      </c>
      <c r="F5" s="647" t="s">
        <v>6276</v>
      </c>
      <c r="G5" s="650"/>
      <c r="H5" s="763" t="s">
        <v>6271</v>
      </c>
      <c r="I5" s="647" t="s">
        <v>6273</v>
      </c>
      <c r="J5" s="763" t="s">
        <v>6240</v>
      </c>
      <c r="K5" s="769"/>
      <c r="L5" s="762">
        <v>250000</v>
      </c>
      <c r="M5" s="725" t="s">
        <v>6239</v>
      </c>
    </row>
    <row r="6" spans="1:13" s="715" customFormat="1" ht="16.5" customHeight="1">
      <c r="A6" s="1008"/>
      <c r="B6" s="658">
        <v>46193</v>
      </c>
      <c r="C6" s="793" t="s">
        <v>6274</v>
      </c>
      <c r="D6" s="646"/>
      <c r="E6" s="647" t="s">
        <v>6275</v>
      </c>
      <c r="F6" s="647" t="s">
        <v>6276</v>
      </c>
      <c r="G6" s="650"/>
      <c r="H6" s="763" t="s">
        <v>6271</v>
      </c>
      <c r="I6" s="647" t="s">
        <v>6272</v>
      </c>
      <c r="J6" s="763" t="s">
        <v>6240</v>
      </c>
      <c r="K6" s="769"/>
      <c r="L6" s="762">
        <v>250000</v>
      </c>
      <c r="M6" s="725" t="s">
        <v>6239</v>
      </c>
    </row>
    <row r="7" spans="1:13" s="715" customFormat="1" ht="16.5" customHeight="1">
      <c r="A7" s="1008"/>
      <c r="B7" s="675" t="s">
        <v>6287</v>
      </c>
      <c r="C7" s="793" t="s">
        <v>6279</v>
      </c>
      <c r="D7" s="646" t="s">
        <v>6278</v>
      </c>
      <c r="E7" s="647" t="s">
        <v>6288</v>
      </c>
      <c r="F7" s="797" t="s">
        <v>6289</v>
      </c>
      <c r="G7" s="794" t="s">
        <v>6290</v>
      </c>
      <c r="H7" s="795" t="s">
        <v>6291</v>
      </c>
      <c r="I7" s="647" t="s">
        <v>6292</v>
      </c>
      <c r="J7" s="763" t="s">
        <v>6293</v>
      </c>
      <c r="K7" s="769"/>
      <c r="L7" s="762">
        <f>250000*5</f>
        <v>1250000</v>
      </c>
      <c r="M7" s="725"/>
    </row>
    <row r="8" spans="1:13" s="715" customFormat="1" ht="16.5" customHeight="1">
      <c r="A8" s="1008"/>
      <c r="B8" s="675" t="s">
        <v>6277</v>
      </c>
      <c r="C8" s="646" t="s">
        <v>6279</v>
      </c>
      <c r="D8" s="646" t="s">
        <v>6280</v>
      </c>
      <c r="E8" s="647" t="s">
        <v>6275</v>
      </c>
      <c r="F8" s="700" t="s">
        <v>6282</v>
      </c>
      <c r="G8" s="700" t="s">
        <v>6283</v>
      </c>
      <c r="H8" s="701" t="s">
        <v>6284</v>
      </c>
      <c r="I8" s="647" t="s">
        <v>6285</v>
      </c>
      <c r="J8" s="763" t="s">
        <v>6286</v>
      </c>
      <c r="K8" s="769"/>
      <c r="L8" s="762">
        <v>750000</v>
      </c>
      <c r="M8" s="723"/>
    </row>
    <row r="9" spans="1:13" s="715" customFormat="1" ht="16.5" customHeight="1">
      <c r="A9" s="1008"/>
      <c r="B9" s="675" t="s">
        <v>6277</v>
      </c>
      <c r="C9" s="646" t="s">
        <v>6279</v>
      </c>
      <c r="D9" s="646" t="s">
        <v>6281</v>
      </c>
      <c r="E9" s="647" t="s">
        <v>6275</v>
      </c>
      <c r="F9" s="700" t="s">
        <v>6294</v>
      </c>
      <c r="G9" s="700" t="s">
        <v>6295</v>
      </c>
      <c r="H9" s="701" t="s">
        <v>6296</v>
      </c>
      <c r="I9" s="722" t="s">
        <v>6297</v>
      </c>
      <c r="J9" s="702" t="s">
        <v>6298</v>
      </c>
      <c r="K9" s="769"/>
      <c r="L9" s="762">
        <v>750000</v>
      </c>
      <c r="M9" s="723"/>
    </row>
    <row r="10" spans="1:13" ht="26.25" customHeight="1">
      <c r="A10" s="1009"/>
      <c r="B10" s="810" t="s">
        <v>1136</v>
      </c>
      <c r="C10" s="810"/>
      <c r="D10" s="810"/>
      <c r="E10" s="810"/>
      <c r="F10" s="810"/>
      <c r="G10" s="810"/>
      <c r="H10" s="810"/>
      <c r="I10" s="810"/>
      <c r="J10" s="810"/>
      <c r="K10" s="810"/>
      <c r="L10" s="796">
        <f>SUM(L4:L9)</f>
        <v>3500000</v>
      </c>
      <c r="M10" s="725"/>
    </row>
    <row r="11" spans="1:13" ht="24">
      <c r="A11" s="1007" t="s">
        <v>21</v>
      </c>
      <c r="B11" s="675">
        <v>46195</v>
      </c>
      <c r="C11" s="664" t="s">
        <v>24</v>
      </c>
      <c r="D11" s="664" t="s">
        <v>6213</v>
      </c>
      <c r="E11" s="667" t="s">
        <v>6214</v>
      </c>
      <c r="F11" s="666" t="s">
        <v>6215</v>
      </c>
      <c r="G11" s="669" t="s">
        <v>6216</v>
      </c>
      <c r="H11" s="667" t="s">
        <v>6217</v>
      </c>
      <c r="I11" s="647"/>
      <c r="J11" s="763" t="s">
        <v>641</v>
      </c>
      <c r="K11" s="646" t="s">
        <v>15</v>
      </c>
      <c r="L11" s="759">
        <v>500000</v>
      </c>
      <c r="M11" s="725" t="s">
        <v>6300</v>
      </c>
    </row>
    <row r="12" spans="1:13">
      <c r="A12" s="1008"/>
      <c r="B12" s="675">
        <v>46195</v>
      </c>
      <c r="C12" s="646" t="s">
        <v>21</v>
      </c>
      <c r="D12" s="646" t="s">
        <v>14</v>
      </c>
      <c r="E12" s="647" t="s">
        <v>1893</v>
      </c>
      <c r="F12" s="647" t="s">
        <v>4939</v>
      </c>
      <c r="G12" s="650" t="s">
        <v>482</v>
      </c>
      <c r="H12" s="763" t="s">
        <v>271</v>
      </c>
      <c r="I12" s="763" t="s">
        <v>493</v>
      </c>
      <c r="J12" s="763" t="s">
        <v>999</v>
      </c>
      <c r="K12" s="664" t="s">
        <v>15</v>
      </c>
      <c r="L12" s="759">
        <v>300000</v>
      </c>
      <c r="M12" s="725" t="s">
        <v>6301</v>
      </c>
    </row>
    <row r="13" spans="1:13" ht="24">
      <c r="A13" s="1008"/>
      <c r="B13" s="675">
        <v>46196</v>
      </c>
      <c r="C13" s="664" t="s">
        <v>24</v>
      </c>
      <c r="D13" s="664" t="s">
        <v>6213</v>
      </c>
      <c r="E13" s="667" t="s">
        <v>6214</v>
      </c>
      <c r="F13" s="666" t="s">
        <v>6215</v>
      </c>
      <c r="G13" s="669" t="s">
        <v>6216</v>
      </c>
      <c r="H13" s="667" t="s">
        <v>6217</v>
      </c>
      <c r="I13" s="647"/>
      <c r="J13" s="763" t="s">
        <v>641</v>
      </c>
      <c r="K13" s="646" t="s">
        <v>15</v>
      </c>
      <c r="L13" s="759">
        <v>500000</v>
      </c>
      <c r="M13" s="725" t="s">
        <v>6302</v>
      </c>
    </row>
    <row r="14" spans="1:13" ht="16.5" customHeight="1">
      <c r="A14" s="1008"/>
      <c r="B14" s="675">
        <v>46196</v>
      </c>
      <c r="C14" s="646" t="s">
        <v>21</v>
      </c>
      <c r="D14" s="646" t="s">
        <v>14</v>
      </c>
      <c r="E14" s="647" t="s">
        <v>107</v>
      </c>
      <c r="F14" s="647" t="s">
        <v>3386</v>
      </c>
      <c r="G14" s="650" t="s">
        <v>115</v>
      </c>
      <c r="H14" s="763" t="s">
        <v>6241</v>
      </c>
      <c r="I14" s="666" t="s">
        <v>120</v>
      </c>
      <c r="J14" s="666" t="s">
        <v>6242</v>
      </c>
      <c r="K14" s="664" t="s">
        <v>15</v>
      </c>
      <c r="L14" s="768">
        <v>300000</v>
      </c>
      <c r="M14" s="725" t="s">
        <v>6303</v>
      </c>
    </row>
    <row r="15" spans="1:13" ht="24">
      <c r="A15" s="1008"/>
      <c r="B15" s="798">
        <v>46197</v>
      </c>
      <c r="C15" s="646" t="s">
        <v>21</v>
      </c>
      <c r="D15" s="646" t="s">
        <v>14</v>
      </c>
      <c r="E15" s="799" t="s">
        <v>149</v>
      </c>
      <c r="F15" s="647" t="s">
        <v>4090</v>
      </c>
      <c r="G15" s="650" t="s">
        <v>4091</v>
      </c>
      <c r="H15" s="763" t="s">
        <v>6305</v>
      </c>
      <c r="I15" s="647" t="s">
        <v>6236</v>
      </c>
      <c r="J15" s="763" t="s">
        <v>487</v>
      </c>
      <c r="K15" s="646" t="s">
        <v>15</v>
      </c>
      <c r="L15" s="768">
        <v>500000</v>
      </c>
      <c r="M15" s="725" t="s">
        <v>6304</v>
      </c>
    </row>
    <row r="16" spans="1:13" ht="16.5" customHeight="1">
      <c r="A16" s="1008"/>
      <c r="B16" s="798">
        <v>46197</v>
      </c>
      <c r="C16" s="646" t="s">
        <v>21</v>
      </c>
      <c r="D16" s="646" t="s">
        <v>14</v>
      </c>
      <c r="E16" s="647" t="s">
        <v>107</v>
      </c>
      <c r="F16" s="647" t="s">
        <v>2959</v>
      </c>
      <c r="G16" s="650" t="s">
        <v>143</v>
      </c>
      <c r="H16" s="763" t="s">
        <v>6247</v>
      </c>
      <c r="I16" s="647" t="s">
        <v>6264</v>
      </c>
      <c r="J16" s="763" t="s">
        <v>999</v>
      </c>
      <c r="K16" s="646" t="s">
        <v>15</v>
      </c>
      <c r="L16" s="768">
        <v>300000</v>
      </c>
      <c r="M16" s="725"/>
    </row>
    <row r="17" spans="1:13" ht="16.5" customHeight="1">
      <c r="A17" s="1008"/>
      <c r="B17" s="798">
        <v>46197</v>
      </c>
      <c r="C17" s="646" t="s">
        <v>21</v>
      </c>
      <c r="D17" s="646" t="s">
        <v>6259</v>
      </c>
      <c r="E17" s="647" t="s">
        <v>107</v>
      </c>
      <c r="F17" s="647" t="s">
        <v>2959</v>
      </c>
      <c r="G17" s="650" t="s">
        <v>553</v>
      </c>
      <c r="H17" s="763" t="s">
        <v>6232</v>
      </c>
      <c r="I17" s="647" t="s">
        <v>6265</v>
      </c>
      <c r="J17" s="763" t="s">
        <v>6242</v>
      </c>
      <c r="K17" s="646" t="s">
        <v>15</v>
      </c>
      <c r="L17" s="768">
        <v>300000</v>
      </c>
      <c r="M17" s="725"/>
    </row>
    <row r="18" spans="1:13" ht="24">
      <c r="A18" s="1008"/>
      <c r="B18" s="798">
        <v>46198</v>
      </c>
      <c r="C18" s="646" t="s">
        <v>24</v>
      </c>
      <c r="D18" s="646" t="s">
        <v>31</v>
      </c>
      <c r="E18" s="763" t="s">
        <v>6096</v>
      </c>
      <c r="F18" s="647" t="s">
        <v>2713</v>
      </c>
      <c r="G18" s="650" t="s">
        <v>115</v>
      </c>
      <c r="H18" s="763" t="s">
        <v>6299</v>
      </c>
      <c r="I18" s="647"/>
      <c r="J18" s="763" t="s">
        <v>6097</v>
      </c>
      <c r="K18" s="646" t="s">
        <v>15</v>
      </c>
      <c r="L18" s="768">
        <v>500000</v>
      </c>
      <c r="M18" s="725"/>
    </row>
    <row r="19" spans="1:13">
      <c r="A19" s="1008"/>
      <c r="B19" s="798">
        <v>46198</v>
      </c>
      <c r="C19" s="646" t="s">
        <v>21</v>
      </c>
      <c r="D19" s="646" t="s">
        <v>14</v>
      </c>
      <c r="E19" s="647" t="s">
        <v>1893</v>
      </c>
      <c r="F19" s="647" t="s">
        <v>4939</v>
      </c>
      <c r="G19" s="650" t="s">
        <v>482</v>
      </c>
      <c r="H19" s="763" t="s">
        <v>271</v>
      </c>
      <c r="I19" s="763" t="s">
        <v>493</v>
      </c>
      <c r="J19" s="763" t="s">
        <v>999</v>
      </c>
      <c r="K19" s="646" t="s">
        <v>15</v>
      </c>
      <c r="L19" s="768">
        <v>300000</v>
      </c>
      <c r="M19" s="725"/>
    </row>
    <row r="20" spans="1:13" ht="16.5" customHeight="1">
      <c r="A20" s="1008"/>
      <c r="B20" s="798">
        <v>46198</v>
      </c>
      <c r="C20" s="646" t="s">
        <v>6249</v>
      </c>
      <c r="D20" s="646" t="s">
        <v>6250</v>
      </c>
      <c r="E20" s="647" t="s">
        <v>6251</v>
      </c>
      <c r="F20" s="647" t="s">
        <v>6252</v>
      </c>
      <c r="G20" s="650" t="s">
        <v>6253</v>
      </c>
      <c r="H20" s="763" t="s">
        <v>6254</v>
      </c>
      <c r="I20" s="647" t="s">
        <v>6255</v>
      </c>
      <c r="J20" s="647" t="s">
        <v>6256</v>
      </c>
      <c r="K20" s="646" t="s">
        <v>6257</v>
      </c>
      <c r="L20" s="768">
        <v>500000</v>
      </c>
      <c r="M20" s="725"/>
    </row>
    <row r="21" spans="1:13">
      <c r="A21" s="1008"/>
      <c r="B21" s="798">
        <v>46199</v>
      </c>
      <c r="C21" s="646" t="s">
        <v>6249</v>
      </c>
      <c r="D21" s="646" t="s">
        <v>6250</v>
      </c>
      <c r="E21" s="647" t="s">
        <v>6251</v>
      </c>
      <c r="F21" s="647" t="s">
        <v>6252</v>
      </c>
      <c r="G21" s="650" t="s">
        <v>6253</v>
      </c>
      <c r="H21" s="763" t="s">
        <v>6254</v>
      </c>
      <c r="I21" s="647" t="s">
        <v>6255</v>
      </c>
      <c r="J21" s="647" t="s">
        <v>6256</v>
      </c>
      <c r="K21" s="646" t="s">
        <v>6257</v>
      </c>
      <c r="L21" s="768">
        <v>500000</v>
      </c>
      <c r="M21" s="725"/>
    </row>
    <row r="22" spans="1:13" ht="16.5" customHeight="1">
      <c r="A22" s="1008"/>
      <c r="B22" s="800">
        <v>46199</v>
      </c>
      <c r="C22" s="646" t="s">
        <v>21</v>
      </c>
      <c r="D22" s="646" t="s">
        <v>14</v>
      </c>
      <c r="E22" s="647" t="s">
        <v>1893</v>
      </c>
      <c r="F22" s="647" t="s">
        <v>4939</v>
      </c>
      <c r="G22" s="650" t="s">
        <v>482</v>
      </c>
      <c r="H22" s="763" t="s">
        <v>271</v>
      </c>
      <c r="I22" s="763" t="s">
        <v>493</v>
      </c>
      <c r="J22" s="763" t="s">
        <v>999</v>
      </c>
      <c r="K22" s="646" t="s">
        <v>15</v>
      </c>
      <c r="L22" s="768">
        <v>300000</v>
      </c>
      <c r="M22" s="725"/>
    </row>
    <row r="23" spans="1:13" ht="25.5" customHeight="1">
      <c r="A23" s="1009"/>
      <c r="B23" s="810" t="s">
        <v>4879</v>
      </c>
      <c r="C23" s="810"/>
      <c r="D23" s="810"/>
      <c r="E23" s="810"/>
      <c r="F23" s="810"/>
      <c r="G23" s="810"/>
      <c r="H23" s="810"/>
      <c r="I23" s="810"/>
      <c r="J23" s="810"/>
      <c r="K23" s="810"/>
      <c r="L23" s="796">
        <f>SUM(L11:L22)</f>
        <v>4800000</v>
      </c>
      <c r="M23" s="725"/>
    </row>
    <row r="24" spans="1:13" ht="25.5" customHeight="1" thickBot="1">
      <c r="A24" s="1005" t="s">
        <v>62</v>
      </c>
      <c r="B24" s="1006"/>
      <c r="C24" s="1006"/>
      <c r="D24" s="1006"/>
      <c r="E24" s="1006"/>
      <c r="F24" s="1006"/>
      <c r="G24" s="1006"/>
      <c r="H24" s="1006"/>
      <c r="I24" s="1006"/>
      <c r="J24" s="1006"/>
      <c r="K24" s="1006"/>
      <c r="L24" s="726">
        <f>L10+L23</f>
        <v>8300000</v>
      </c>
      <c r="M24" s="727"/>
    </row>
    <row r="25" spans="1:13" ht="26.25" customHeight="1"/>
    <row r="26" spans="1:13" ht="26.25" hidden="1" customHeight="1"/>
    <row r="27" spans="1:13" ht="25.5" hidden="1" customHeight="1">
      <c r="B27" s="716" t="s">
        <v>1144</v>
      </c>
      <c r="C27" s="717"/>
      <c r="D27" s="717"/>
      <c r="E27" s="717"/>
      <c r="F27" s="717"/>
      <c r="G27" s="717"/>
      <c r="H27" s="717"/>
      <c r="I27" s="717"/>
    </row>
    <row r="28" spans="1:13" ht="25.5" hidden="1" customHeight="1">
      <c r="B28" s="718" t="s">
        <v>1140</v>
      </c>
      <c r="C28" s="716">
        <v>45282</v>
      </c>
      <c r="D28" s="717" t="s">
        <v>1151</v>
      </c>
      <c r="E28" s="717"/>
      <c r="F28" s="717"/>
      <c r="G28" s="717"/>
      <c r="I28" s="717"/>
    </row>
    <row r="29" spans="1:13" ht="25.5" hidden="1" customHeight="1">
      <c r="B29" s="718" t="s">
        <v>1141</v>
      </c>
      <c r="C29" s="716">
        <v>45282</v>
      </c>
      <c r="D29" s="717" t="s">
        <v>1143</v>
      </c>
      <c r="E29" s="717"/>
      <c r="F29" s="717"/>
      <c r="G29" s="717"/>
      <c r="H29" s="717"/>
      <c r="I29" s="717"/>
    </row>
    <row r="30" spans="1:13" ht="25.5" hidden="1" customHeight="1">
      <c r="B30" s="718" t="s">
        <v>1145</v>
      </c>
      <c r="C30" s="719" t="s">
        <v>1142</v>
      </c>
      <c r="D30" s="717" t="s">
        <v>1152</v>
      </c>
      <c r="E30" s="717"/>
      <c r="F30" s="717"/>
      <c r="G30" s="717"/>
      <c r="H30" s="717"/>
      <c r="I30" s="717"/>
    </row>
    <row r="31" spans="1:13" ht="20.100000000000001" hidden="1" customHeight="1">
      <c r="B31" s="717"/>
      <c r="C31" s="717" t="s">
        <v>1146</v>
      </c>
      <c r="D31" s="717"/>
      <c r="E31" s="717"/>
      <c r="F31" s="717"/>
      <c r="G31" s="717"/>
      <c r="H31" s="717"/>
      <c r="I31" s="717"/>
    </row>
    <row r="32" spans="1:13" ht="16.5" hidden="1" customHeight="1"/>
    <row r="33" spans="1:15" ht="20.100000000000001" hidden="1" customHeight="1">
      <c r="J33" s="717"/>
    </row>
    <row r="36" spans="1:15" ht="28.5" customHeight="1">
      <c r="A36" s="692" t="s">
        <v>0</v>
      </c>
      <c r="B36" s="693" t="s">
        <v>1</v>
      </c>
      <c r="C36" s="692" t="s">
        <v>2</v>
      </c>
      <c r="D36" s="692" t="s">
        <v>3</v>
      </c>
      <c r="E36" s="692" t="s">
        <v>4</v>
      </c>
      <c r="F36" s="692" t="s">
        <v>5</v>
      </c>
      <c r="G36" s="692" t="s">
        <v>6</v>
      </c>
      <c r="H36" s="694" t="s">
        <v>7</v>
      </c>
      <c r="I36" s="692" t="s">
        <v>8</v>
      </c>
      <c r="J36" s="692" t="s">
        <v>9</v>
      </c>
      <c r="K36" s="695" t="s">
        <v>10</v>
      </c>
      <c r="L36" s="692" t="s">
        <v>12</v>
      </c>
      <c r="M36" s="692" t="s">
        <v>63</v>
      </c>
    </row>
    <row r="37" spans="1:15" ht="33" customHeight="1">
      <c r="A37" s="756" t="s">
        <v>5626</v>
      </c>
      <c r="B37" s="675">
        <v>46195</v>
      </c>
      <c r="C37" s="664" t="s">
        <v>24</v>
      </c>
      <c r="D37" s="664" t="s">
        <v>6213</v>
      </c>
      <c r="E37" s="667" t="s">
        <v>6214</v>
      </c>
      <c r="F37" s="666" t="s">
        <v>6215</v>
      </c>
      <c r="G37" s="669" t="s">
        <v>6216</v>
      </c>
      <c r="H37" s="667" t="s">
        <v>6217</v>
      </c>
      <c r="I37" s="647"/>
      <c r="J37" s="763" t="s">
        <v>641</v>
      </c>
      <c r="K37" s="646" t="s">
        <v>15</v>
      </c>
      <c r="L37" s="801">
        <v>2</v>
      </c>
      <c r="M37" s="801"/>
      <c r="N37" s="767"/>
      <c r="O37" s="666" t="s">
        <v>6266</v>
      </c>
    </row>
    <row r="38" spans="1:15" ht="33" customHeight="1">
      <c r="A38" s="757"/>
      <c r="B38" s="675">
        <v>46195</v>
      </c>
      <c r="C38" s="646" t="s">
        <v>21</v>
      </c>
      <c r="D38" s="646" t="s">
        <v>31</v>
      </c>
      <c r="E38" s="647" t="s">
        <v>5276</v>
      </c>
      <c r="F38" s="647">
        <v>7064</v>
      </c>
      <c r="G38" s="650" t="s">
        <v>83</v>
      </c>
      <c r="H38" s="763" t="s">
        <v>6109</v>
      </c>
      <c r="I38" s="647" t="s">
        <v>6231</v>
      </c>
      <c r="J38" s="647" t="s">
        <v>68</v>
      </c>
      <c r="K38" s="646" t="s">
        <v>15</v>
      </c>
      <c r="L38" s="801">
        <v>2</v>
      </c>
      <c r="M38" s="801"/>
      <c r="N38" s="666"/>
      <c r="O38" s="666"/>
    </row>
    <row r="39" spans="1:15" ht="33" customHeight="1">
      <c r="A39" s="757"/>
      <c r="B39" s="675">
        <v>46195</v>
      </c>
      <c r="C39" s="646" t="s">
        <v>21</v>
      </c>
      <c r="D39" s="646" t="s">
        <v>14</v>
      </c>
      <c r="E39" s="647" t="s">
        <v>1893</v>
      </c>
      <c r="F39" s="647" t="s">
        <v>4939</v>
      </c>
      <c r="G39" s="650" t="s">
        <v>482</v>
      </c>
      <c r="H39" s="763" t="s">
        <v>271</v>
      </c>
      <c r="I39" s="763" t="s">
        <v>493</v>
      </c>
      <c r="J39" s="763" t="s">
        <v>999</v>
      </c>
      <c r="K39" s="664" t="s">
        <v>15</v>
      </c>
      <c r="L39" s="801">
        <v>2</v>
      </c>
      <c r="M39" s="801"/>
      <c r="N39" s="666"/>
      <c r="O39" s="666"/>
    </row>
    <row r="40" spans="1:15" ht="33" customHeight="1">
      <c r="A40" s="757"/>
      <c r="B40" s="675">
        <v>46196</v>
      </c>
      <c r="C40" s="664" t="s">
        <v>24</v>
      </c>
      <c r="D40" s="664" t="s">
        <v>6213</v>
      </c>
      <c r="E40" s="667" t="s">
        <v>6214</v>
      </c>
      <c r="F40" s="666" t="s">
        <v>6215</v>
      </c>
      <c r="G40" s="669" t="s">
        <v>6216</v>
      </c>
      <c r="H40" s="667" t="s">
        <v>6217</v>
      </c>
      <c r="I40" s="647"/>
      <c r="J40" s="763" t="s">
        <v>641</v>
      </c>
      <c r="K40" s="646" t="s">
        <v>15</v>
      </c>
      <c r="L40" s="801">
        <v>2</v>
      </c>
      <c r="M40" s="801"/>
      <c r="N40" s="666"/>
      <c r="O40" s="666"/>
    </row>
    <row r="41" spans="1:15" ht="33" customHeight="1">
      <c r="A41" s="757"/>
      <c r="B41" s="675">
        <v>46196</v>
      </c>
      <c r="C41" s="646" t="s">
        <v>21</v>
      </c>
      <c r="D41" s="646" t="s">
        <v>14</v>
      </c>
      <c r="E41" s="647" t="s">
        <v>107</v>
      </c>
      <c r="F41" s="647" t="s">
        <v>3386</v>
      </c>
      <c r="G41" s="650" t="s">
        <v>115</v>
      </c>
      <c r="H41" s="763" t="s">
        <v>6241</v>
      </c>
      <c r="I41" s="666" t="s">
        <v>120</v>
      </c>
      <c r="J41" s="666" t="s">
        <v>6242</v>
      </c>
      <c r="K41" s="664" t="s">
        <v>15</v>
      </c>
      <c r="L41" s="802">
        <v>2</v>
      </c>
      <c r="M41" s="802"/>
      <c r="N41" s="666"/>
      <c r="O41" s="666"/>
    </row>
    <row r="42" spans="1:15" ht="33" customHeight="1">
      <c r="A42" s="757"/>
      <c r="B42" s="675">
        <v>46196</v>
      </c>
      <c r="C42" s="646" t="s">
        <v>21</v>
      </c>
      <c r="D42" s="646" t="s">
        <v>31</v>
      </c>
      <c r="E42" s="647" t="s">
        <v>5276</v>
      </c>
      <c r="F42" s="647">
        <v>7064</v>
      </c>
      <c r="G42" s="650" t="s">
        <v>83</v>
      </c>
      <c r="H42" s="763" t="s">
        <v>6109</v>
      </c>
      <c r="I42" s="647" t="s">
        <v>6231</v>
      </c>
      <c r="J42" s="647" t="s">
        <v>68</v>
      </c>
      <c r="K42" s="646" t="s">
        <v>15</v>
      </c>
      <c r="L42" s="801">
        <v>2</v>
      </c>
      <c r="M42" s="801"/>
      <c r="N42" s="666"/>
      <c r="O42" s="666"/>
    </row>
    <row r="43" spans="1:15" ht="36">
      <c r="A43" s="757"/>
      <c r="B43" s="798">
        <v>46196</v>
      </c>
      <c r="C43" s="646" t="s">
        <v>21</v>
      </c>
      <c r="D43" s="646" t="s">
        <v>14</v>
      </c>
      <c r="E43" s="799" t="s">
        <v>149</v>
      </c>
      <c r="F43" s="647" t="s">
        <v>4090</v>
      </c>
      <c r="G43" s="650" t="s">
        <v>4091</v>
      </c>
      <c r="H43" s="763" t="s">
        <v>6306</v>
      </c>
      <c r="I43" s="647" t="s">
        <v>6236</v>
      </c>
      <c r="J43" s="763" t="s">
        <v>6097</v>
      </c>
      <c r="K43" s="646" t="s">
        <v>15</v>
      </c>
      <c r="L43" s="801">
        <v>3</v>
      </c>
      <c r="M43" s="801"/>
      <c r="N43" s="647"/>
      <c r="O43" s="666"/>
    </row>
    <row r="44" spans="1:15" ht="33" customHeight="1">
      <c r="A44" s="757"/>
      <c r="B44" s="798">
        <v>46197</v>
      </c>
      <c r="C44" s="646" t="s">
        <v>21</v>
      </c>
      <c r="D44" s="646" t="s">
        <v>14</v>
      </c>
      <c r="E44" s="799" t="s">
        <v>149</v>
      </c>
      <c r="F44" s="647" t="s">
        <v>4090</v>
      </c>
      <c r="G44" s="650" t="s">
        <v>4091</v>
      </c>
      <c r="H44" s="763" t="s">
        <v>6307</v>
      </c>
      <c r="I44" s="647" t="s">
        <v>6236</v>
      </c>
      <c r="J44" s="763" t="s">
        <v>487</v>
      </c>
      <c r="K44" s="646" t="s">
        <v>15</v>
      </c>
      <c r="L44" s="801">
        <v>3</v>
      </c>
      <c r="M44" s="801"/>
      <c r="N44" s="671"/>
      <c r="O44" s="666" t="s">
        <v>6248</v>
      </c>
    </row>
    <row r="45" spans="1:15" ht="33" customHeight="1">
      <c r="A45" s="757"/>
      <c r="B45" s="798">
        <v>46197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143</v>
      </c>
      <c r="H45" s="763" t="s">
        <v>6247</v>
      </c>
      <c r="I45" s="647" t="s">
        <v>6264</v>
      </c>
      <c r="J45" s="763" t="s">
        <v>999</v>
      </c>
      <c r="K45" s="646" t="s">
        <v>15</v>
      </c>
      <c r="L45" s="801">
        <v>2</v>
      </c>
      <c r="M45" s="801"/>
      <c r="N45" s="671"/>
      <c r="O45" s="666"/>
    </row>
    <row r="46" spans="1:15" ht="33" customHeight="1">
      <c r="A46" s="757"/>
      <c r="B46" s="798">
        <v>46197</v>
      </c>
      <c r="C46" s="646" t="s">
        <v>21</v>
      </c>
      <c r="D46" s="646" t="s">
        <v>6259</v>
      </c>
      <c r="E46" s="647" t="s">
        <v>107</v>
      </c>
      <c r="F46" s="647" t="s">
        <v>2959</v>
      </c>
      <c r="G46" s="650" t="s">
        <v>553</v>
      </c>
      <c r="H46" s="763" t="s">
        <v>6232</v>
      </c>
      <c r="I46" s="647" t="s">
        <v>6265</v>
      </c>
      <c r="J46" s="763" t="s">
        <v>6242</v>
      </c>
      <c r="K46" s="646" t="s">
        <v>15</v>
      </c>
      <c r="L46" s="801">
        <v>2</v>
      </c>
      <c r="M46" s="801"/>
      <c r="N46" s="671"/>
      <c r="O46" s="666"/>
    </row>
    <row r="47" spans="1:15" ht="33" customHeight="1">
      <c r="A47" s="757"/>
      <c r="B47" s="798">
        <v>46197</v>
      </c>
      <c r="C47" s="646" t="s">
        <v>21</v>
      </c>
      <c r="D47" s="646" t="s">
        <v>6259</v>
      </c>
      <c r="E47" s="647" t="s">
        <v>107</v>
      </c>
      <c r="F47" s="647" t="s">
        <v>6223</v>
      </c>
      <c r="G47" s="650" t="s">
        <v>6260</v>
      </c>
      <c r="H47" s="763" t="s">
        <v>6261</v>
      </c>
      <c r="I47" s="647"/>
      <c r="J47" s="763" t="s">
        <v>6262</v>
      </c>
      <c r="K47" s="646" t="s">
        <v>6257</v>
      </c>
      <c r="L47" s="801">
        <v>1</v>
      </c>
      <c r="M47" s="801"/>
      <c r="N47" s="671"/>
      <c r="O47" s="666"/>
    </row>
    <row r="48" spans="1:15" ht="33" customHeight="1">
      <c r="A48" s="757"/>
      <c r="B48" s="798">
        <v>46198</v>
      </c>
      <c r="C48" s="646" t="s">
        <v>24</v>
      </c>
      <c r="D48" s="646" t="s">
        <v>31</v>
      </c>
      <c r="E48" s="763" t="s">
        <v>6096</v>
      </c>
      <c r="F48" s="647" t="s">
        <v>2713</v>
      </c>
      <c r="G48" s="650" t="s">
        <v>115</v>
      </c>
      <c r="H48" s="763" t="s">
        <v>6299</v>
      </c>
      <c r="I48" s="647"/>
      <c r="J48" s="763" t="s">
        <v>6097</v>
      </c>
      <c r="K48" s="646" t="s">
        <v>15</v>
      </c>
      <c r="L48" s="801">
        <v>2</v>
      </c>
      <c r="M48" s="801"/>
      <c r="N48" s="671"/>
      <c r="O48" s="666"/>
    </row>
    <row r="49" spans="1:15" ht="33" customHeight="1">
      <c r="A49" s="757"/>
      <c r="B49" s="798">
        <v>46198</v>
      </c>
      <c r="C49" s="646" t="s">
        <v>21</v>
      </c>
      <c r="D49" s="646" t="s">
        <v>14</v>
      </c>
      <c r="E49" s="647" t="s">
        <v>1893</v>
      </c>
      <c r="F49" s="647" t="s">
        <v>4939</v>
      </c>
      <c r="G49" s="650" t="s">
        <v>482</v>
      </c>
      <c r="H49" s="763" t="s">
        <v>271</v>
      </c>
      <c r="I49" s="763" t="s">
        <v>493</v>
      </c>
      <c r="J49" s="763" t="s">
        <v>999</v>
      </c>
      <c r="K49" s="646" t="s">
        <v>15</v>
      </c>
      <c r="L49" s="801">
        <v>2</v>
      </c>
      <c r="M49" s="801"/>
      <c r="N49" s="671"/>
      <c r="O49" s="666"/>
    </row>
    <row r="50" spans="1:15" ht="33" customHeight="1">
      <c r="A50" s="757"/>
      <c r="B50" s="798">
        <v>46198</v>
      </c>
      <c r="C50" s="646" t="s">
        <v>6249</v>
      </c>
      <c r="D50" s="646" t="s">
        <v>6250</v>
      </c>
      <c r="E50" s="647" t="s">
        <v>6251</v>
      </c>
      <c r="F50" s="647" t="s">
        <v>6252</v>
      </c>
      <c r="G50" s="650" t="s">
        <v>6253</v>
      </c>
      <c r="H50" s="763" t="s">
        <v>6254</v>
      </c>
      <c r="I50" s="647" t="s">
        <v>6255</v>
      </c>
      <c r="J50" s="647" t="s">
        <v>6256</v>
      </c>
      <c r="K50" s="646" t="s">
        <v>6257</v>
      </c>
      <c r="L50" s="801">
        <v>3</v>
      </c>
      <c r="M50" s="801"/>
      <c r="N50" s="671"/>
      <c r="O50" s="666"/>
    </row>
    <row r="51" spans="1:15" ht="33" customHeight="1">
      <c r="A51" s="757"/>
      <c r="B51" s="798">
        <v>46199</v>
      </c>
      <c r="C51" s="646" t="s">
        <v>6249</v>
      </c>
      <c r="D51" s="646" t="s">
        <v>6250</v>
      </c>
      <c r="E51" s="647" t="s">
        <v>6251</v>
      </c>
      <c r="F51" s="647" t="s">
        <v>6252</v>
      </c>
      <c r="G51" s="650" t="s">
        <v>6253</v>
      </c>
      <c r="H51" s="763" t="s">
        <v>6254</v>
      </c>
      <c r="I51" s="647" t="s">
        <v>6255</v>
      </c>
      <c r="J51" s="647" t="s">
        <v>6256</v>
      </c>
      <c r="K51" s="646" t="s">
        <v>6257</v>
      </c>
      <c r="L51" s="801">
        <v>3</v>
      </c>
      <c r="M51" s="801"/>
      <c r="N51" s="671"/>
      <c r="O51" s="666" t="s">
        <v>6248</v>
      </c>
    </row>
    <row r="52" spans="1:15" ht="33" customHeight="1">
      <c r="A52" s="758"/>
      <c r="B52" s="800">
        <v>46199</v>
      </c>
      <c r="C52" s="646" t="s">
        <v>21</v>
      </c>
      <c r="D52" s="646" t="s">
        <v>14</v>
      </c>
      <c r="E52" s="647" t="s">
        <v>1893</v>
      </c>
      <c r="F52" s="647" t="s">
        <v>4939</v>
      </c>
      <c r="G52" s="650" t="s">
        <v>482</v>
      </c>
      <c r="H52" s="763" t="s">
        <v>271</v>
      </c>
      <c r="I52" s="763" t="s">
        <v>493</v>
      </c>
      <c r="J52" s="763" t="s">
        <v>999</v>
      </c>
      <c r="K52" s="646" t="s">
        <v>15</v>
      </c>
      <c r="L52" s="801">
        <v>2</v>
      </c>
      <c r="M52" s="801"/>
      <c r="N52" s="671"/>
      <c r="O52" s="666"/>
    </row>
  </sheetData>
  <mergeCells count="17">
    <mergeCell ref="B10:K10"/>
    <mergeCell ref="A24:K24"/>
    <mergeCell ref="B23:K23"/>
    <mergeCell ref="A11:A23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19" t="s">
        <v>53</v>
      </c>
      <c r="B26" s="1020"/>
      <c r="C26" s="1020"/>
      <c r="D26" s="1020"/>
      <c r="E26" s="1020"/>
      <c r="F26" s="1020"/>
      <c r="G26" s="1020"/>
      <c r="H26" s="1020"/>
      <c r="I26" s="102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19" t="s">
        <v>53</v>
      </c>
      <c r="B35" s="1020"/>
      <c r="C35" s="1020"/>
      <c r="D35" s="1020"/>
      <c r="E35" s="1020"/>
      <c r="F35" s="1020"/>
      <c r="G35" s="1020"/>
      <c r="H35" s="1020"/>
      <c r="I35" s="102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19" t="s">
        <v>53</v>
      </c>
      <c r="B42" s="1020"/>
      <c r="C42" s="1020"/>
      <c r="D42" s="1020"/>
      <c r="E42" s="1020"/>
      <c r="F42" s="1020"/>
      <c r="G42" s="1020"/>
      <c r="H42" s="1020"/>
      <c r="I42" s="102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19" t="s">
        <v>53</v>
      </c>
      <c r="B48" s="1020"/>
      <c r="C48" s="1020"/>
      <c r="D48" s="1020"/>
      <c r="E48" s="1020"/>
      <c r="F48" s="1020"/>
      <c r="G48" s="1020"/>
      <c r="H48" s="1020"/>
      <c r="I48" s="102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19" t="s">
        <v>53</v>
      </c>
      <c r="B54" s="1020"/>
      <c r="C54" s="1020"/>
      <c r="D54" s="1020"/>
      <c r="E54" s="1020"/>
      <c r="F54" s="1020"/>
      <c r="G54" s="1020"/>
      <c r="H54" s="1020"/>
      <c r="I54" s="102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4"/>
      <c r="B61" s="103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4"/>
      <c r="B62" s="104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4"/>
      <c r="B63" s="104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19" t="s">
        <v>53</v>
      </c>
      <c r="B64" s="1020"/>
      <c r="C64" s="1020"/>
      <c r="D64" s="1020"/>
      <c r="E64" s="1020"/>
      <c r="F64" s="1020"/>
      <c r="G64" s="1020"/>
      <c r="H64" s="1020"/>
      <c r="I64" s="102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4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19" t="s">
        <v>53</v>
      </c>
      <c r="B70" s="1020"/>
      <c r="C70" s="1020"/>
      <c r="D70" s="1020"/>
      <c r="E70" s="1020"/>
      <c r="F70" s="1020"/>
      <c r="G70" s="1020"/>
      <c r="H70" s="1020"/>
      <c r="I70" s="102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19" t="s">
        <v>53</v>
      </c>
      <c r="B86" s="1020"/>
      <c r="C86" s="1020"/>
      <c r="D86" s="1020"/>
      <c r="E86" s="1020"/>
      <c r="F86" s="1020"/>
      <c r="G86" s="1020"/>
      <c r="H86" s="1020"/>
      <c r="I86" s="102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19" t="s">
        <v>53</v>
      </c>
      <c r="B92" s="1020"/>
      <c r="C92" s="1020"/>
      <c r="D92" s="1020"/>
      <c r="E92" s="1020"/>
      <c r="F92" s="1020"/>
      <c r="G92" s="1020"/>
      <c r="H92" s="1020"/>
      <c r="I92" s="102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19" t="s">
        <v>53</v>
      </c>
      <c r="B101" s="1020"/>
      <c r="C101" s="1020"/>
      <c r="D101" s="1020"/>
      <c r="E101" s="1020"/>
      <c r="F101" s="1020"/>
      <c r="G101" s="1020"/>
      <c r="H101" s="1020"/>
      <c r="I101" s="102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4"/>
      <c r="B107" s="104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4"/>
      <c r="B108" s="104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6" t="s">
        <v>954</v>
      </c>
      <c r="B119" s="86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7"/>
      <c r="B120" s="86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7"/>
      <c r="B129" s="104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43" t="s">
        <v>90</v>
      </c>
      <c r="J129" s="1036">
        <v>2</v>
      </c>
      <c r="K129" s="25" t="s">
        <v>52</v>
      </c>
      <c r="L129" s="25" t="s">
        <v>51</v>
      </c>
    </row>
    <row r="130" spans="1:12">
      <c r="A130" s="837"/>
      <c r="B130" s="104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43"/>
      <c r="J130" s="1038"/>
      <c r="K130" s="25" t="s">
        <v>52</v>
      </c>
      <c r="L130" s="25" t="s">
        <v>51</v>
      </c>
    </row>
    <row r="131" spans="1:12">
      <c r="A131" s="83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7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2" t="s">
        <v>1277</v>
      </c>
      <c r="J133" s="1036">
        <v>1</v>
      </c>
      <c r="K133" s="25" t="s">
        <v>52</v>
      </c>
      <c r="L133" s="25" t="s">
        <v>51</v>
      </c>
    </row>
    <row r="134" spans="1:12">
      <c r="A134" s="837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5"/>
      <c r="J134" s="1038"/>
      <c r="K134" s="25" t="s">
        <v>52</v>
      </c>
      <c r="L134" s="25" t="s">
        <v>51</v>
      </c>
    </row>
    <row r="135" spans="1:12">
      <c r="A135" s="83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7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7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2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23"/>
      <c r="B150" s="86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23"/>
      <c r="B151" s="86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2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2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6" t="s">
        <v>53</v>
      </c>
      <c r="B154" s="976"/>
      <c r="C154" s="976"/>
      <c r="D154" s="976"/>
      <c r="E154" s="976"/>
      <c r="F154" s="976"/>
      <c r="G154" s="976"/>
      <c r="H154" s="976"/>
      <c r="I154" s="97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6" t="s">
        <v>53</v>
      </c>
      <c r="B167" s="976"/>
      <c r="C167" s="976"/>
      <c r="D167" s="976"/>
      <c r="E167" s="976"/>
      <c r="F167" s="976"/>
      <c r="G167" s="976"/>
      <c r="H167" s="976"/>
      <c r="I167" s="97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48" t="s">
        <v>1061</v>
      </c>
      <c r="B189" s="86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49"/>
      <c r="B190" s="86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49"/>
      <c r="B191" s="86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49"/>
      <c r="B192" s="86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3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3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3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3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6" t="s">
        <v>53</v>
      </c>
      <c r="B203" s="976"/>
      <c r="C203" s="976"/>
      <c r="D203" s="976"/>
      <c r="E203" s="976"/>
      <c r="F203" s="976"/>
      <c r="G203" s="976"/>
      <c r="H203" s="976"/>
      <c r="I203" s="97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6" t="s">
        <v>53</v>
      </c>
      <c r="B214" s="976"/>
      <c r="C214" s="976"/>
      <c r="D214" s="976"/>
      <c r="E214" s="976"/>
      <c r="F214" s="976"/>
      <c r="G214" s="976"/>
      <c r="H214" s="976"/>
      <c r="I214" s="97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6" t="s">
        <v>1458</v>
      </c>
      <c r="B226" s="976"/>
      <c r="C226" s="976"/>
      <c r="D226" s="976"/>
      <c r="E226" s="976"/>
      <c r="F226" s="976"/>
      <c r="G226" s="976"/>
      <c r="H226" s="976"/>
      <c r="I226" s="97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6" t="s">
        <v>1499</v>
      </c>
      <c r="B236" s="976"/>
      <c r="C236" s="976"/>
      <c r="D236" s="976"/>
      <c r="E236" s="976"/>
      <c r="F236" s="976"/>
      <c r="G236" s="976"/>
      <c r="H236" s="976"/>
      <c r="I236" s="97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19" t="s">
        <v>53</v>
      </c>
      <c r="B244" s="1020"/>
      <c r="C244" s="1020"/>
      <c r="D244" s="1020"/>
      <c r="E244" s="1020"/>
      <c r="F244" s="1020"/>
      <c r="G244" s="1020"/>
      <c r="H244" s="1020"/>
      <c r="I244" s="102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19" t="s">
        <v>53</v>
      </c>
      <c r="B250" s="1020"/>
      <c r="C250" s="1020"/>
      <c r="D250" s="1020"/>
      <c r="E250" s="1020"/>
      <c r="F250" s="1020"/>
      <c r="G250" s="1020"/>
      <c r="H250" s="1020"/>
      <c r="I250" s="102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19" t="s">
        <v>53</v>
      </c>
      <c r="B257" s="1020"/>
      <c r="C257" s="1020"/>
      <c r="D257" s="1020"/>
      <c r="E257" s="1020"/>
      <c r="F257" s="1020"/>
      <c r="G257" s="1020"/>
      <c r="H257" s="1020"/>
      <c r="I257" s="102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3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3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19" t="s">
        <v>53</v>
      </c>
      <c r="B262" s="1020"/>
      <c r="C262" s="1020"/>
      <c r="D262" s="1020"/>
      <c r="E262" s="1020"/>
      <c r="F262" s="1020"/>
      <c r="G262" s="1020"/>
      <c r="H262" s="1020"/>
      <c r="I262" s="102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3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3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19" t="s">
        <v>53</v>
      </c>
      <c r="B271" s="1020"/>
      <c r="C271" s="1020"/>
      <c r="D271" s="1020"/>
      <c r="E271" s="1020"/>
      <c r="F271" s="1020"/>
      <c r="G271" s="1020"/>
      <c r="H271" s="1020"/>
      <c r="I271" s="102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19" t="s">
        <v>53</v>
      </c>
      <c r="B275" s="1020"/>
      <c r="C275" s="1020"/>
      <c r="D275" s="1020"/>
      <c r="E275" s="1020"/>
      <c r="F275" s="1020"/>
      <c r="G275" s="1020"/>
      <c r="H275" s="1020"/>
      <c r="I275" s="102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3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3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3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3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3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19" t="s">
        <v>1646</v>
      </c>
      <c r="B296" s="1020"/>
      <c r="C296" s="1020"/>
      <c r="D296" s="1020"/>
      <c r="E296" s="1020"/>
      <c r="F296" s="1020"/>
      <c r="G296" s="1020"/>
      <c r="H296" s="1020"/>
      <c r="I296" s="102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6" t="s">
        <v>1659</v>
      </c>
      <c r="B305" s="976"/>
      <c r="C305" s="976"/>
      <c r="D305" s="976"/>
      <c r="E305" s="976"/>
      <c r="F305" s="976"/>
      <c r="G305" s="976"/>
      <c r="H305" s="976"/>
      <c r="I305" s="97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6" t="s">
        <v>53</v>
      </c>
      <c r="B309" s="976"/>
      <c r="C309" s="976"/>
      <c r="D309" s="976"/>
      <c r="E309" s="976"/>
      <c r="F309" s="976"/>
      <c r="G309" s="976"/>
      <c r="H309" s="976"/>
      <c r="I309" s="97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6" t="s">
        <v>1659</v>
      </c>
      <c r="B314" s="976"/>
      <c r="C314" s="976"/>
      <c r="D314" s="976"/>
      <c r="E314" s="976"/>
      <c r="F314" s="976"/>
      <c r="G314" s="976"/>
      <c r="H314" s="976"/>
      <c r="I314" s="97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6" t="s">
        <v>1659</v>
      </c>
      <c r="B321" s="976"/>
      <c r="C321" s="976"/>
      <c r="D321" s="976"/>
      <c r="E321" s="976"/>
      <c r="F321" s="976"/>
      <c r="G321" s="976"/>
      <c r="H321" s="976"/>
      <c r="I321" s="97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6" t="s">
        <v>1659</v>
      </c>
      <c r="B330" s="976"/>
      <c r="C330" s="976"/>
      <c r="D330" s="976"/>
      <c r="E330" s="976"/>
      <c r="F330" s="976"/>
      <c r="G330" s="976"/>
      <c r="H330" s="976"/>
      <c r="I330" s="97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3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3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3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3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3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6" t="s">
        <v>1659</v>
      </c>
      <c r="B338" s="976"/>
      <c r="C338" s="976"/>
      <c r="D338" s="976"/>
      <c r="E338" s="976"/>
      <c r="F338" s="976"/>
      <c r="G338" s="976"/>
      <c r="H338" s="976"/>
      <c r="I338" s="97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7" t="s">
        <v>1521</v>
      </c>
      <c r="B343" s="128" t="s">
        <v>1531</v>
      </c>
      <c r="C343" s="875" t="s">
        <v>306</v>
      </c>
      <c r="D343" s="875" t="s">
        <v>322</v>
      </c>
      <c r="E343" s="854" t="s">
        <v>307</v>
      </c>
      <c r="F343" s="1026">
        <v>4266</v>
      </c>
      <c r="G343" s="875" t="s">
        <v>640</v>
      </c>
      <c r="H343" s="1026" t="s">
        <v>1533</v>
      </c>
      <c r="I343" s="875" t="s">
        <v>1534</v>
      </c>
      <c r="J343" s="854">
        <v>2</v>
      </c>
      <c r="K343" s="1024" t="s">
        <v>50</v>
      </c>
      <c r="L343" s="1024" t="s">
        <v>51</v>
      </c>
    </row>
    <row r="344" spans="1:13">
      <c r="A344" s="1028"/>
      <c r="B344" s="129" t="s">
        <v>1532</v>
      </c>
      <c r="C344" s="855"/>
      <c r="D344" s="855"/>
      <c r="E344" s="855"/>
      <c r="F344" s="860"/>
      <c r="G344" s="855"/>
      <c r="H344" s="860"/>
      <c r="I344" s="855"/>
      <c r="J344" s="855"/>
      <c r="K344" s="1025"/>
      <c r="L344" s="1025"/>
    </row>
    <row r="345" spans="1:13">
      <c r="A345" s="1028"/>
      <c r="B345" s="128" t="s">
        <v>1536</v>
      </c>
      <c r="C345" s="854" t="s">
        <v>306</v>
      </c>
      <c r="D345" s="854" t="s">
        <v>322</v>
      </c>
      <c r="E345" s="854" t="s">
        <v>307</v>
      </c>
      <c r="F345" s="859">
        <v>3306</v>
      </c>
      <c r="G345" s="854" t="s">
        <v>1153</v>
      </c>
      <c r="H345" s="859" t="s">
        <v>1538</v>
      </c>
      <c r="I345" s="854" t="s">
        <v>1534</v>
      </c>
      <c r="J345" s="854">
        <v>2</v>
      </c>
      <c r="K345" s="1024" t="s">
        <v>50</v>
      </c>
      <c r="L345" s="1024" t="s">
        <v>51</v>
      </c>
    </row>
    <row r="346" spans="1:13">
      <c r="A346" s="1029"/>
      <c r="B346" s="129" t="s">
        <v>1537</v>
      </c>
      <c r="C346" s="855"/>
      <c r="D346" s="855"/>
      <c r="E346" s="855"/>
      <c r="F346" s="860"/>
      <c r="G346" s="855"/>
      <c r="H346" s="860"/>
      <c r="I346" s="855"/>
      <c r="J346" s="855"/>
      <c r="K346" s="1025"/>
      <c r="L346" s="1025"/>
    </row>
    <row r="347" spans="1:13">
      <c r="A347" s="1019" t="s">
        <v>53</v>
      </c>
      <c r="B347" s="1020"/>
      <c r="C347" s="1020"/>
      <c r="D347" s="1020"/>
      <c r="E347" s="1020"/>
      <c r="F347" s="1020"/>
      <c r="G347" s="1020"/>
      <c r="H347" s="1020"/>
      <c r="I347" s="102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6" t="s">
        <v>1458</v>
      </c>
      <c r="B361" s="976"/>
      <c r="C361" s="976"/>
      <c r="D361" s="976"/>
      <c r="E361" s="976"/>
      <c r="F361" s="976"/>
      <c r="G361" s="976"/>
      <c r="H361" s="976"/>
      <c r="I361" s="97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2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6" t="s">
        <v>1659</v>
      </c>
      <c r="B370" s="976"/>
      <c r="C370" s="976"/>
      <c r="D370" s="976"/>
      <c r="E370" s="976"/>
      <c r="F370" s="976"/>
      <c r="G370" s="976"/>
      <c r="H370" s="976"/>
      <c r="I370" s="97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3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3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3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3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3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>
      <c r="B381" s="1047" t="s">
        <v>1</v>
      </c>
      <c r="C381" s="1047" t="s">
        <v>2</v>
      </c>
      <c r="D381" s="1047" t="s">
        <v>3</v>
      </c>
      <c r="E381" s="36" t="s">
        <v>54</v>
      </c>
      <c r="F381" s="1047" t="s">
        <v>5</v>
      </c>
      <c r="G381" s="1047" t="s">
        <v>6</v>
      </c>
      <c r="H381" s="1047" t="s">
        <v>7</v>
      </c>
      <c r="I381" s="1047" t="s">
        <v>55</v>
      </c>
      <c r="J381" s="1047" t="s">
        <v>9</v>
      </c>
      <c r="K381" s="1049" t="s">
        <v>56</v>
      </c>
      <c r="L381" s="1047" t="s">
        <v>57</v>
      </c>
    </row>
    <row r="382" spans="1:12">
      <c r="B382" s="1048"/>
      <c r="C382" s="1048"/>
      <c r="D382" s="1048"/>
      <c r="E382" s="37" t="s">
        <v>59</v>
      </c>
      <c r="F382" s="1048"/>
      <c r="G382" s="1048"/>
      <c r="H382" s="1048"/>
      <c r="I382" s="1048"/>
      <c r="J382" s="1048"/>
      <c r="K382" s="1050"/>
      <c r="L382" s="104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6" t="s">
        <v>53</v>
      </c>
      <c r="B394" s="976"/>
      <c r="C394" s="976"/>
      <c r="D394" s="976"/>
      <c r="E394" s="976"/>
      <c r="F394" s="976"/>
      <c r="G394" s="976"/>
      <c r="H394" s="976"/>
      <c r="I394" s="97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3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3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3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3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6" t="s">
        <v>53</v>
      </c>
      <c r="B401" s="976"/>
      <c r="C401" s="976"/>
      <c r="D401" s="976"/>
      <c r="E401" s="976"/>
      <c r="F401" s="976"/>
      <c r="G401" s="976"/>
      <c r="H401" s="976"/>
      <c r="I401" s="97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15" t="s">
        <v>229</v>
      </c>
      <c r="B405" s="1022" t="s">
        <v>1805</v>
      </c>
      <c r="C405" s="1022" t="s">
        <v>700</v>
      </c>
      <c r="D405" s="1051" t="s">
        <v>675</v>
      </c>
      <c r="E405" s="1022" t="s">
        <v>1806</v>
      </c>
      <c r="F405" s="1022" t="s">
        <v>1807</v>
      </c>
      <c r="G405" s="1022" t="s">
        <v>662</v>
      </c>
      <c r="H405" s="1052" t="s">
        <v>1808</v>
      </c>
      <c r="I405" s="1051"/>
      <c r="J405" s="1052">
        <v>1</v>
      </c>
      <c r="K405" s="1024" t="s">
        <v>631</v>
      </c>
      <c r="L405" s="972" t="s">
        <v>51</v>
      </c>
    </row>
    <row r="406" spans="1:12" ht="13.5" customHeight="1">
      <c r="A406" s="1015"/>
      <c r="B406" s="1022"/>
      <c r="C406" s="1022"/>
      <c r="D406" s="1051"/>
      <c r="E406" s="1022"/>
      <c r="F406" s="1022"/>
      <c r="G406" s="1022"/>
      <c r="H406" s="1052"/>
      <c r="I406" s="1051"/>
      <c r="J406" s="1052"/>
      <c r="K406" s="1025"/>
      <c r="L406" s="974"/>
    </row>
    <row r="407" spans="1:12" ht="27" customHeight="1">
      <c r="A407" s="101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1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15" t="s">
        <v>1646</v>
      </c>
      <c r="B409" s="1015"/>
      <c r="C409" s="1015"/>
      <c r="D409" s="1015"/>
      <c r="E409" s="1015"/>
      <c r="F409" s="1015"/>
      <c r="G409" s="1015"/>
      <c r="H409" s="1015"/>
      <c r="I409" s="101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15" t="s">
        <v>2008</v>
      </c>
      <c r="B412" s="1053" t="s">
        <v>2009</v>
      </c>
      <c r="C412" s="1024" t="s">
        <v>21</v>
      </c>
      <c r="D412" s="870" t="s">
        <v>14</v>
      </c>
      <c r="E412" s="1024" t="s">
        <v>78</v>
      </c>
      <c r="F412" s="1022" t="s">
        <v>2010</v>
      </c>
      <c r="G412" s="1022" t="s">
        <v>40</v>
      </c>
      <c r="H412" s="1052" t="s">
        <v>614</v>
      </c>
      <c r="I412" s="1051"/>
      <c r="J412" s="1052">
        <v>1</v>
      </c>
      <c r="K412" s="1024" t="s">
        <v>2011</v>
      </c>
      <c r="L412" s="972" t="s">
        <v>1997</v>
      </c>
    </row>
    <row r="413" spans="1:12" ht="20.100000000000001" customHeight="1">
      <c r="A413" s="1015"/>
      <c r="B413" s="1022"/>
      <c r="C413" s="1025"/>
      <c r="D413" s="871"/>
      <c r="E413" s="1025"/>
      <c r="F413" s="1022"/>
      <c r="G413" s="1022"/>
      <c r="H413" s="1052"/>
      <c r="I413" s="1051"/>
      <c r="J413" s="1052"/>
      <c r="K413" s="1025"/>
      <c r="L413" s="974"/>
    </row>
    <row r="414" spans="1:12" ht="20.100000000000001" customHeight="1">
      <c r="A414" s="1015" t="s">
        <v>1646</v>
      </c>
      <c r="B414" s="1015"/>
      <c r="C414" s="1015"/>
      <c r="D414" s="1015"/>
      <c r="E414" s="1015"/>
      <c r="F414" s="1015"/>
      <c r="G414" s="1015"/>
      <c r="H414" s="1015"/>
      <c r="I414" s="101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3"/>
      <c r="B418" s="78" t="s">
        <v>1748</v>
      </c>
      <c r="C418" s="1051" t="s">
        <v>306</v>
      </c>
      <c r="D418" s="1051" t="s">
        <v>322</v>
      </c>
      <c r="E418" s="1051" t="s">
        <v>307</v>
      </c>
      <c r="F418" s="1052">
        <v>3306</v>
      </c>
      <c r="G418" s="1051" t="s">
        <v>1153</v>
      </c>
      <c r="H418" s="1052" t="s">
        <v>1749</v>
      </c>
      <c r="I418" s="1051" t="s">
        <v>664</v>
      </c>
      <c r="J418" s="1051">
        <v>4</v>
      </c>
      <c r="K418" s="1024" t="s">
        <v>631</v>
      </c>
      <c r="L418" s="972" t="s">
        <v>51</v>
      </c>
    </row>
    <row r="419" spans="1:12" ht="13.5" customHeight="1">
      <c r="A419" s="973"/>
      <c r="B419" s="79" t="s">
        <v>1751</v>
      </c>
      <c r="C419" s="1051"/>
      <c r="D419" s="1051"/>
      <c r="E419" s="1051"/>
      <c r="F419" s="1052"/>
      <c r="G419" s="1051"/>
      <c r="H419" s="1052"/>
      <c r="I419" s="1051"/>
      <c r="J419" s="1051"/>
      <c r="K419" s="1025"/>
      <c r="L419" s="974"/>
    </row>
    <row r="420" spans="1:12" ht="13.5" customHeight="1">
      <c r="A420" s="973"/>
      <c r="B420" s="78" t="s">
        <v>1800</v>
      </c>
      <c r="C420" s="1051" t="s">
        <v>306</v>
      </c>
      <c r="D420" s="1051" t="s">
        <v>322</v>
      </c>
      <c r="E420" s="1051" t="s">
        <v>307</v>
      </c>
      <c r="F420" s="1052" t="s">
        <v>1801</v>
      </c>
      <c r="G420" s="1051" t="s">
        <v>1802</v>
      </c>
      <c r="H420" s="1052" t="s">
        <v>1803</v>
      </c>
      <c r="I420" s="1051" t="s">
        <v>664</v>
      </c>
      <c r="J420" s="1051">
        <v>5</v>
      </c>
      <c r="K420" s="1024" t="s">
        <v>631</v>
      </c>
      <c r="L420" s="972" t="s">
        <v>51</v>
      </c>
    </row>
    <row r="421" spans="1:12" ht="13.5" customHeight="1">
      <c r="A421" s="973"/>
      <c r="B421" s="79" t="s">
        <v>1795</v>
      </c>
      <c r="C421" s="1051"/>
      <c r="D421" s="1051"/>
      <c r="E421" s="1051"/>
      <c r="F421" s="1052"/>
      <c r="G421" s="1051"/>
      <c r="H421" s="1052"/>
      <c r="I421" s="1051"/>
      <c r="J421" s="1051"/>
      <c r="K421" s="1025"/>
      <c r="L421" s="974"/>
    </row>
    <row r="422" spans="1:12" ht="27" customHeight="1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15" t="s">
        <v>1646</v>
      </c>
      <c r="B423" s="1015"/>
      <c r="C423" s="1015"/>
      <c r="D423" s="1015"/>
      <c r="E423" s="1015"/>
      <c r="F423" s="1015"/>
      <c r="G423" s="1015"/>
      <c r="H423" s="1015"/>
      <c r="I423" s="101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6" t="s">
        <v>1646</v>
      </c>
      <c r="B431" s="976"/>
      <c r="C431" s="976"/>
      <c r="D431" s="976"/>
      <c r="E431" s="976"/>
      <c r="F431" s="976"/>
      <c r="G431" s="976"/>
      <c r="H431" s="976"/>
      <c r="I431" s="97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6" t="s">
        <v>1646</v>
      </c>
      <c r="B435" s="976"/>
      <c r="C435" s="976"/>
      <c r="D435" s="976"/>
      <c r="E435" s="976"/>
      <c r="F435" s="976"/>
      <c r="G435" s="976"/>
      <c r="H435" s="976"/>
      <c r="I435" s="97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57" t="s">
        <v>1761</v>
      </c>
      <c r="G438" s="928" t="s">
        <v>329</v>
      </c>
      <c r="H438" s="1036" t="s">
        <v>1762</v>
      </c>
      <c r="I438" s="876" t="s">
        <v>664</v>
      </c>
      <c r="J438" s="1059">
        <v>2</v>
      </c>
      <c r="K438" s="1024" t="s">
        <v>1996</v>
      </c>
      <c r="L438" s="1024" t="s">
        <v>51</v>
      </c>
    </row>
    <row r="439" spans="1:12" ht="13.5" customHeight="1">
      <c r="A439" s="866"/>
      <c r="B439" s="253" t="s">
        <v>2028</v>
      </c>
      <c r="C439" s="929"/>
      <c r="D439" s="929"/>
      <c r="E439" s="929"/>
      <c r="F439" s="1058"/>
      <c r="G439" s="929"/>
      <c r="H439" s="1038"/>
      <c r="I439" s="877"/>
      <c r="J439" s="1060"/>
      <c r="K439" s="1025"/>
      <c r="L439" s="1025"/>
    </row>
    <row r="440" spans="1:12" ht="13.5" customHeight="1">
      <c r="A440" s="86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4">
        <v>4</v>
      </c>
      <c r="K440" s="1024" t="s">
        <v>631</v>
      </c>
      <c r="L440" s="1024" t="s">
        <v>1997</v>
      </c>
    </row>
    <row r="441" spans="1:12" ht="13.5" customHeight="1">
      <c r="A441" s="86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5"/>
      <c r="K441" s="1025"/>
      <c r="L441" s="1025"/>
    </row>
    <row r="442" spans="1:12" ht="20.100000000000001" customHeight="1">
      <c r="A442" s="86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19" t="s">
        <v>1646</v>
      </c>
      <c r="B450" s="1020"/>
      <c r="C450" s="1020"/>
      <c r="D450" s="1020"/>
      <c r="E450" s="1020"/>
      <c r="F450" s="1020"/>
      <c r="G450" s="1020"/>
      <c r="H450" s="1020"/>
      <c r="I450" s="102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5"/>
      <c r="B463" s="1061" t="s">
        <v>1767</v>
      </c>
      <c r="C463" s="1062" t="s">
        <v>311</v>
      </c>
      <c r="D463" s="1062" t="s">
        <v>320</v>
      </c>
      <c r="E463" s="1062" t="s">
        <v>709</v>
      </c>
      <c r="F463" s="1062" t="s">
        <v>1768</v>
      </c>
      <c r="G463" s="1061" t="s">
        <v>1769</v>
      </c>
      <c r="H463" s="258" t="s">
        <v>1770</v>
      </c>
      <c r="I463" s="1062"/>
      <c r="J463" s="1062">
        <v>1</v>
      </c>
      <c r="K463" s="870" t="s">
        <v>631</v>
      </c>
      <c r="L463" s="900" t="s">
        <v>51</v>
      </c>
    </row>
    <row r="464" spans="1:12" ht="13.5" customHeight="1">
      <c r="A464" s="1055"/>
      <c r="B464" s="1061"/>
      <c r="C464" s="1062"/>
      <c r="D464" s="1062"/>
      <c r="E464" s="1062"/>
      <c r="F464" s="1062"/>
      <c r="G464" s="1061"/>
      <c r="H464" s="259" t="s">
        <v>1773</v>
      </c>
      <c r="I464" s="1062"/>
      <c r="J464" s="1062"/>
      <c r="K464" s="871"/>
      <c r="L464" s="901"/>
    </row>
    <row r="465" spans="1:12" ht="13.5" customHeight="1">
      <c r="A465" s="1055"/>
      <c r="B465" s="1063" t="s">
        <v>1813</v>
      </c>
      <c r="C465" s="1022" t="s">
        <v>700</v>
      </c>
      <c r="D465" s="1051" t="s">
        <v>320</v>
      </c>
      <c r="E465" s="1051" t="s">
        <v>337</v>
      </c>
      <c r="F465" s="1022" t="s">
        <v>353</v>
      </c>
      <c r="G465" s="1022" t="s">
        <v>1814</v>
      </c>
      <c r="H465" s="1052" t="s">
        <v>1815</v>
      </c>
      <c r="I465" s="1051" t="s">
        <v>638</v>
      </c>
      <c r="J465" s="1052">
        <v>2</v>
      </c>
      <c r="K465" s="1024" t="s">
        <v>631</v>
      </c>
      <c r="L465" s="1024" t="s">
        <v>51</v>
      </c>
    </row>
    <row r="466" spans="1:12" ht="13.5" customHeight="1">
      <c r="A466" s="1055"/>
      <c r="B466" s="1063"/>
      <c r="C466" s="1022"/>
      <c r="D466" s="1051"/>
      <c r="E466" s="1051"/>
      <c r="F466" s="1022"/>
      <c r="G466" s="1022"/>
      <c r="H466" s="1052"/>
      <c r="I466" s="1051"/>
      <c r="J466" s="1052"/>
      <c r="K466" s="1025"/>
      <c r="L466" s="1025"/>
    </row>
    <row r="467" spans="1:12" ht="27" customHeight="1">
      <c r="A467" s="105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5"/>
      <c r="B468" s="1022" t="s">
        <v>1820</v>
      </c>
      <c r="C468" s="1022" t="s">
        <v>700</v>
      </c>
      <c r="D468" s="1051" t="s">
        <v>320</v>
      </c>
      <c r="E468" s="1051" t="s">
        <v>709</v>
      </c>
      <c r="F468" s="1051" t="s">
        <v>1768</v>
      </c>
      <c r="G468" s="1022" t="s">
        <v>1821</v>
      </c>
      <c r="H468" s="261" t="s">
        <v>1822</v>
      </c>
      <c r="I468" s="1051" t="s">
        <v>638</v>
      </c>
      <c r="J468" s="1051">
        <v>2</v>
      </c>
      <c r="K468" s="1024" t="s">
        <v>631</v>
      </c>
      <c r="L468" s="1024" t="s">
        <v>51</v>
      </c>
    </row>
    <row r="469" spans="1:12" ht="13.5" customHeight="1">
      <c r="A469" s="1055"/>
      <c r="B469" s="1022"/>
      <c r="C469" s="1022"/>
      <c r="D469" s="1051"/>
      <c r="E469" s="1051"/>
      <c r="F469" s="1051"/>
      <c r="G469" s="1022"/>
      <c r="H469" s="262" t="s">
        <v>1823</v>
      </c>
      <c r="I469" s="1051"/>
      <c r="J469" s="1051"/>
      <c r="K469" s="1025"/>
      <c r="L469" s="1025"/>
    </row>
    <row r="470" spans="1:12" ht="27" customHeight="1">
      <c r="A470" s="105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6" t="s">
        <v>53</v>
      </c>
      <c r="B472" s="976"/>
      <c r="C472" s="976"/>
      <c r="D472" s="976"/>
      <c r="E472" s="976"/>
      <c r="F472" s="976"/>
      <c r="G472" s="976"/>
      <c r="H472" s="976"/>
      <c r="I472" s="97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6" t="s">
        <v>228</v>
      </c>
      <c r="B476" s="1061" t="s">
        <v>1767</v>
      </c>
      <c r="C476" s="1062" t="s">
        <v>311</v>
      </c>
      <c r="D476" s="1062" t="s">
        <v>320</v>
      </c>
      <c r="E476" s="1062" t="s">
        <v>709</v>
      </c>
      <c r="F476" s="1062" t="s">
        <v>1768</v>
      </c>
      <c r="G476" s="1061" t="s">
        <v>1769</v>
      </c>
      <c r="H476" s="258" t="s">
        <v>1770</v>
      </c>
      <c r="I476" s="1062"/>
      <c r="J476" s="1062">
        <v>1</v>
      </c>
      <c r="K476" s="870" t="s">
        <v>631</v>
      </c>
      <c r="L476" s="900" t="s">
        <v>51</v>
      </c>
    </row>
    <row r="477" spans="1:12" ht="13.5" customHeight="1">
      <c r="A477" s="976"/>
      <c r="B477" s="1061"/>
      <c r="C477" s="1062"/>
      <c r="D477" s="1062"/>
      <c r="E477" s="1062"/>
      <c r="F477" s="1062"/>
      <c r="G477" s="1061"/>
      <c r="H477" s="259" t="s">
        <v>1773</v>
      </c>
      <c r="I477" s="1062"/>
      <c r="J477" s="1062"/>
      <c r="K477" s="871"/>
      <c r="L477" s="901"/>
    </row>
    <row r="478" spans="1:12" ht="27" customHeight="1">
      <c r="A478" s="97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6" t="s">
        <v>1646</v>
      </c>
      <c r="B479" s="976"/>
      <c r="C479" s="976"/>
      <c r="D479" s="976"/>
      <c r="E479" s="976"/>
      <c r="F479" s="976"/>
      <c r="G479" s="976"/>
      <c r="H479" s="976"/>
      <c r="I479" s="97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19" t="s">
        <v>53</v>
      </c>
      <c r="B487" s="1020"/>
      <c r="C487" s="1020"/>
      <c r="D487" s="1020"/>
      <c r="E487" s="1020"/>
      <c r="F487" s="1020"/>
      <c r="G487" s="1020"/>
      <c r="H487" s="1020"/>
      <c r="I487" s="102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8"/>
      <c r="B494" s="1064" t="s">
        <v>2182</v>
      </c>
      <c r="C494" s="1064" t="s">
        <v>306</v>
      </c>
      <c r="D494" s="1064" t="s">
        <v>322</v>
      </c>
      <c r="E494" s="1064" t="s">
        <v>307</v>
      </c>
      <c r="F494" s="1065" t="s">
        <v>1919</v>
      </c>
      <c r="G494" s="1064" t="s">
        <v>662</v>
      </c>
      <c r="H494" s="1065" t="s">
        <v>1920</v>
      </c>
      <c r="I494" s="1064" t="s">
        <v>349</v>
      </c>
      <c r="J494" s="1064">
        <v>2</v>
      </c>
      <c r="K494" s="1022" t="s">
        <v>50</v>
      </c>
      <c r="L494" s="222">
        <v>23</v>
      </c>
    </row>
    <row r="495" spans="1:12" ht="12.6" customHeight="1">
      <c r="A495" s="1018"/>
      <c r="B495" s="1064"/>
      <c r="C495" s="1064"/>
      <c r="D495" s="1064"/>
      <c r="E495" s="1064"/>
      <c r="F495" s="1065"/>
      <c r="G495" s="1064"/>
      <c r="H495" s="1065"/>
      <c r="I495" s="1064"/>
      <c r="J495" s="1064"/>
      <c r="K495" s="1022"/>
    </row>
    <row r="496" spans="1:12" ht="24.95" customHeight="1">
      <c r="A496" s="101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6" t="s">
        <v>53</v>
      </c>
      <c r="B500" s="976"/>
      <c r="C500" s="976"/>
      <c r="D500" s="976"/>
      <c r="E500" s="976"/>
      <c r="F500" s="976"/>
      <c r="G500" s="976"/>
      <c r="H500" s="976"/>
      <c r="I500" s="97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6" t="s">
        <v>2217</v>
      </c>
      <c r="B511" s="976"/>
      <c r="C511" s="976"/>
      <c r="D511" s="976"/>
      <c r="E511" s="976"/>
      <c r="F511" s="976"/>
      <c r="G511" s="976"/>
      <c r="H511" s="976"/>
      <c r="I511" s="97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6" t="s">
        <v>2238</v>
      </c>
      <c r="B528" s="976"/>
      <c r="C528" s="976"/>
      <c r="D528" s="976"/>
      <c r="E528" s="976"/>
      <c r="F528" s="976"/>
      <c r="G528" s="976"/>
      <c r="H528" s="976"/>
      <c r="I528" s="97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6" t="s">
        <v>2233</v>
      </c>
      <c r="B535" s="976"/>
      <c r="C535" s="976"/>
      <c r="D535" s="976"/>
      <c r="E535" s="976"/>
      <c r="F535" s="976"/>
      <c r="G535" s="976"/>
      <c r="H535" s="976"/>
      <c r="I535" s="97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19" t="s">
        <v>2238</v>
      </c>
      <c r="B540" s="1020"/>
      <c r="C540" s="1020"/>
      <c r="D540" s="1020"/>
      <c r="E540" s="1020"/>
      <c r="F540" s="1020"/>
      <c r="G540" s="1020"/>
      <c r="H540" s="1020"/>
      <c r="I540" s="102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15" t="s">
        <v>2233</v>
      </c>
      <c r="B546" s="1015"/>
      <c r="C546" s="1015"/>
      <c r="D546" s="1015"/>
      <c r="E546" s="1015"/>
      <c r="F546" s="1015"/>
      <c r="G546" s="1015"/>
      <c r="H546" s="1015"/>
      <c r="I546" s="101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6" t="s">
        <v>2233</v>
      </c>
      <c r="B550" s="976"/>
      <c r="C550" s="976"/>
      <c r="D550" s="976"/>
      <c r="E550" s="976"/>
      <c r="F550" s="976"/>
      <c r="G550" s="976"/>
      <c r="H550" s="976"/>
      <c r="I550" s="97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6" t="s">
        <v>2233</v>
      </c>
      <c r="B565" s="976"/>
      <c r="C565" s="976"/>
      <c r="D565" s="976"/>
      <c r="E565" s="976"/>
      <c r="F565" s="976"/>
      <c r="G565" s="976"/>
      <c r="H565" s="976"/>
      <c r="I565" s="97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2" t="s">
        <v>306</v>
      </c>
      <c r="D569" s="832" t="s">
        <v>322</v>
      </c>
      <c r="E569" s="832" t="s">
        <v>307</v>
      </c>
      <c r="F569" s="832">
        <v>3306</v>
      </c>
      <c r="G569" s="832" t="s">
        <v>1153</v>
      </c>
      <c r="H569" s="832" t="s">
        <v>1907</v>
      </c>
      <c r="I569" s="832" t="s">
        <v>1111</v>
      </c>
      <c r="J569" s="832" t="s">
        <v>692</v>
      </c>
      <c r="K569" s="1013" t="s">
        <v>2291</v>
      </c>
    </row>
    <row r="570" spans="1:12">
      <c r="B570" s="243" t="s">
        <v>1909</v>
      </c>
      <c r="C570" s="833"/>
      <c r="D570" s="833"/>
      <c r="E570" s="833"/>
      <c r="F570" s="833"/>
      <c r="G570" s="833"/>
      <c r="H570" s="833"/>
      <c r="I570" s="833"/>
      <c r="J570" s="833"/>
      <c r="K570" s="101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6" t="s">
        <v>1458</v>
      </c>
      <c r="B582" s="976"/>
      <c r="C582" s="976"/>
      <c r="D582" s="976"/>
      <c r="E582" s="976"/>
      <c r="F582" s="976"/>
      <c r="G582" s="976"/>
      <c r="H582" s="976"/>
      <c r="I582" s="97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6" t="s">
        <v>2393</v>
      </c>
      <c r="B588" s="976"/>
      <c r="C588" s="976"/>
      <c r="D588" s="976"/>
      <c r="E588" s="976"/>
      <c r="F588" s="976"/>
      <c r="G588" s="976"/>
      <c r="H588" s="976"/>
      <c r="I588" s="97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6" t="s">
        <v>2437</v>
      </c>
      <c r="B606" s="976"/>
      <c r="C606" s="976"/>
      <c r="D606" s="976"/>
      <c r="E606" s="976"/>
      <c r="F606" s="976"/>
      <c r="G606" s="976"/>
      <c r="H606" s="976"/>
      <c r="I606" s="97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6" t="s">
        <v>2406</v>
      </c>
      <c r="B613" s="976"/>
      <c r="C613" s="976"/>
      <c r="D613" s="976"/>
      <c r="E613" s="976"/>
      <c r="F613" s="976"/>
      <c r="G613" s="976"/>
      <c r="H613" s="976"/>
      <c r="I613" s="97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6" t="s">
        <v>2406</v>
      </c>
      <c r="B627" s="976"/>
      <c r="C627" s="976"/>
      <c r="D627" s="976"/>
      <c r="E627" s="976"/>
      <c r="F627" s="976"/>
      <c r="G627" s="976"/>
      <c r="H627" s="976"/>
      <c r="I627" s="97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6" t="s">
        <v>1646</v>
      </c>
      <c r="B688" s="1066"/>
      <c r="C688" s="1066"/>
      <c r="D688" s="1066"/>
      <c r="E688" s="1066"/>
      <c r="F688" s="1066"/>
      <c r="G688" s="1066"/>
      <c r="H688" s="1066"/>
      <c r="I688" s="106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6" t="s">
        <v>1646</v>
      </c>
      <c r="B699" s="1066"/>
      <c r="C699" s="1066"/>
      <c r="D699" s="1066"/>
      <c r="E699" s="1066"/>
      <c r="F699" s="1066"/>
      <c r="G699" s="1066"/>
      <c r="H699" s="1066"/>
      <c r="I699" s="1066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10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10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10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10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10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10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10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10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10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10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10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10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10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11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12" t="s">
        <v>1646</v>
      </c>
      <c r="B717" s="1012"/>
      <c r="C717" s="1012"/>
      <c r="D717" s="1012"/>
      <c r="E717" s="1012"/>
      <c r="F717" s="1012"/>
      <c r="G717" s="1012"/>
      <c r="H717" s="1012"/>
      <c r="I717" s="1012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4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5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5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5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5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5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5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76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12" t="s">
        <v>1646</v>
      </c>
      <c r="B731" s="1012"/>
      <c r="C731" s="1012"/>
      <c r="D731" s="1012"/>
      <c r="E731" s="1012"/>
      <c r="F731" s="1012"/>
      <c r="G731" s="1012"/>
      <c r="H731" s="1012"/>
      <c r="I731" s="1012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77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77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77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77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77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77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77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77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77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77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77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77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77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12" t="s">
        <v>1646</v>
      </c>
      <c r="B749" s="1012"/>
      <c r="C749" s="1012"/>
      <c r="D749" s="1012"/>
      <c r="E749" s="1012"/>
      <c r="F749" s="1012"/>
      <c r="G749" s="1012"/>
      <c r="H749" s="1012"/>
      <c r="I749" s="1012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8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9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9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9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9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9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9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9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0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72" t="s">
        <v>1646</v>
      </c>
      <c r="B762" s="1072"/>
      <c r="C762" s="1072"/>
      <c r="D762" s="1072"/>
      <c r="E762" s="1072"/>
      <c r="F762" s="1072"/>
      <c r="G762" s="1072"/>
      <c r="H762" s="1072"/>
      <c r="I762" s="1072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81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82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82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82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83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72" t="s">
        <v>1646</v>
      </c>
      <c r="B770" s="1072"/>
      <c r="C770" s="1072"/>
      <c r="D770" s="1072"/>
      <c r="E770" s="1072"/>
      <c r="F770" s="1072"/>
      <c r="G770" s="1072"/>
      <c r="H770" s="1072"/>
      <c r="I770" s="1072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3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3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3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3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3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72" t="s">
        <v>1646</v>
      </c>
      <c r="B778" s="1072"/>
      <c r="C778" s="1072"/>
      <c r="D778" s="1072"/>
      <c r="E778" s="1072"/>
      <c r="F778" s="1072"/>
      <c r="G778" s="1072"/>
      <c r="H778" s="1072"/>
      <c r="I778" s="1072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3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3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3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3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3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3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3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3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72" t="s">
        <v>1646</v>
      </c>
      <c r="B790" s="1072"/>
      <c r="C790" s="1072"/>
      <c r="D790" s="1072"/>
      <c r="E790" s="1072"/>
      <c r="F790" s="1072"/>
      <c r="G790" s="1072"/>
      <c r="H790" s="1072"/>
      <c r="I790" s="1072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8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9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9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9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9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9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9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9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72" t="s">
        <v>1646</v>
      </c>
      <c r="B802" s="1072"/>
      <c r="C802" s="1072"/>
      <c r="D802" s="1072"/>
      <c r="E802" s="1072"/>
      <c r="F802" s="1072"/>
      <c r="G802" s="1072"/>
      <c r="H802" s="1072"/>
      <c r="I802" s="1072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84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72" t="s">
        <v>1646</v>
      </c>
      <c r="B812" s="1072"/>
      <c r="C812" s="1072"/>
      <c r="D812" s="1072"/>
      <c r="E812" s="1072"/>
      <c r="F812" s="1072"/>
      <c r="G812" s="1072"/>
      <c r="H812" s="1072"/>
      <c r="I812" s="1072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15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1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72" t="s">
        <v>1646</v>
      </c>
      <c r="B819" s="1072"/>
      <c r="C819" s="1072"/>
      <c r="D819" s="1072"/>
      <c r="E819" s="1072"/>
      <c r="F819" s="1072"/>
      <c r="G819" s="1072"/>
      <c r="H819" s="1072"/>
      <c r="I819" s="1072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81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82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82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82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82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82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82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82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82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83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72" t="s">
        <v>1646</v>
      </c>
      <c r="B834" s="1072"/>
      <c r="C834" s="1072"/>
      <c r="D834" s="1072"/>
      <c r="E834" s="1072"/>
      <c r="F834" s="1072"/>
      <c r="G834" s="1072"/>
      <c r="H834" s="1072"/>
      <c r="I834" s="1072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81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82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83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72" t="s">
        <v>1646</v>
      </c>
      <c r="B841" s="1072"/>
      <c r="C841" s="1072"/>
      <c r="D841" s="1072"/>
      <c r="E841" s="1072"/>
      <c r="F841" s="1072"/>
      <c r="G841" s="1072"/>
      <c r="H841" s="1072"/>
      <c r="I841" s="1072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15" t="s">
        <v>5386</v>
      </c>
      <c r="I20" s="815"/>
      <c r="J20" s="815"/>
      <c r="K20" s="81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73" t="s">
        <v>2</v>
      </c>
      <c r="B23" s="773" t="s">
        <v>6125</v>
      </c>
      <c r="C23" s="773" t="s">
        <v>6126</v>
      </c>
    </row>
    <row r="24" spans="1:13">
      <c r="A24" s="773" t="s">
        <v>6127</v>
      </c>
      <c r="B24" s="772">
        <v>10500000</v>
      </c>
      <c r="C24" s="773" t="s">
        <v>6128</v>
      </c>
    </row>
    <row r="25" spans="1:13">
      <c r="A25" s="773" t="s">
        <v>6129</v>
      </c>
      <c r="B25" s="772">
        <v>4500000</v>
      </c>
      <c r="C25" s="773" t="s">
        <v>6130</v>
      </c>
    </row>
    <row r="26" spans="1:13">
      <c r="A26" s="773" t="s">
        <v>6131</v>
      </c>
      <c r="B26" s="772">
        <v>15000000</v>
      </c>
      <c r="C26" s="773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8" t="s">
        <v>6152</v>
      </c>
      <c r="E4" s="774" t="s">
        <v>6153</v>
      </c>
      <c r="F4" s="774" t="s">
        <v>6</v>
      </c>
      <c r="G4" s="774" t="s">
        <v>6154</v>
      </c>
      <c r="H4" s="774" t="s">
        <v>6155</v>
      </c>
      <c r="I4" s="774" t="s">
        <v>6156</v>
      </c>
    </row>
    <row r="5" spans="4:9" ht="66">
      <c r="D5" s="779">
        <v>5</v>
      </c>
      <c r="E5" s="776">
        <v>45701</v>
      </c>
      <c r="F5" s="777" t="s">
        <v>6157</v>
      </c>
      <c r="G5" s="777" t="s">
        <v>6158</v>
      </c>
      <c r="H5" s="777" t="s">
        <v>6159</v>
      </c>
      <c r="I5" s="777" t="s">
        <v>6160</v>
      </c>
    </row>
    <row r="6" spans="4:9" ht="82.5">
      <c r="D6" s="779">
        <v>51</v>
      </c>
      <c r="E6" s="776">
        <v>45746</v>
      </c>
      <c r="F6" s="777" t="s">
        <v>6161</v>
      </c>
      <c r="G6" s="777" t="s">
        <v>6162</v>
      </c>
      <c r="H6" s="777" t="s">
        <v>6163</v>
      </c>
      <c r="I6" s="777" t="s">
        <v>6164</v>
      </c>
    </row>
    <row r="7" spans="4:9" ht="49.5">
      <c r="D7" s="779">
        <v>61</v>
      </c>
      <c r="E7" s="776">
        <v>45783</v>
      </c>
      <c r="F7" s="777" t="s">
        <v>6165</v>
      </c>
      <c r="G7" s="777" t="s">
        <v>6166</v>
      </c>
      <c r="H7" s="777" t="s">
        <v>6167</v>
      </c>
      <c r="I7" s="777" t="s">
        <v>6168</v>
      </c>
    </row>
    <row r="8" spans="4:9" ht="66">
      <c r="D8" s="779">
        <v>87</v>
      </c>
      <c r="E8" s="776">
        <v>45859</v>
      </c>
      <c r="F8" s="777" t="s">
        <v>6169</v>
      </c>
      <c r="G8" s="777" t="s">
        <v>6170</v>
      </c>
      <c r="H8" s="777" t="s">
        <v>6171</v>
      </c>
      <c r="I8" s="777" t="s">
        <v>6172</v>
      </c>
    </row>
    <row r="9" spans="4:9" ht="49.5">
      <c r="D9" s="779">
        <v>88</v>
      </c>
      <c r="E9" s="776">
        <v>45859</v>
      </c>
      <c r="F9" s="777" t="s">
        <v>6173</v>
      </c>
      <c r="G9" s="777" t="s">
        <v>6174</v>
      </c>
      <c r="H9" s="777" t="s">
        <v>6175</v>
      </c>
      <c r="I9" s="777" t="s">
        <v>6176</v>
      </c>
    </row>
    <row r="10" spans="4:9" ht="33">
      <c r="D10" s="779">
        <v>96</v>
      </c>
      <c r="E10" s="776">
        <v>45872</v>
      </c>
      <c r="F10" s="777" t="s">
        <v>6177</v>
      </c>
      <c r="G10" s="777" t="s">
        <v>6178</v>
      </c>
      <c r="H10" s="777" t="s">
        <v>6179</v>
      </c>
      <c r="I10" s="777" t="s">
        <v>6180</v>
      </c>
    </row>
    <row r="11" spans="4:9" ht="49.5">
      <c r="D11" s="779">
        <v>114</v>
      </c>
      <c r="E11" s="776">
        <v>45899</v>
      </c>
      <c r="F11" s="777" t="s">
        <v>6177</v>
      </c>
      <c r="G11" s="777" t="s">
        <v>6181</v>
      </c>
      <c r="H11" s="777" t="s">
        <v>6182</v>
      </c>
      <c r="I11" s="777" t="s">
        <v>6183</v>
      </c>
    </row>
    <row r="12" spans="4:9" ht="49.5">
      <c r="D12" s="779">
        <v>130</v>
      </c>
      <c r="E12" s="775" t="s">
        <v>6184</v>
      </c>
      <c r="F12" s="777" t="s">
        <v>6185</v>
      </c>
      <c r="G12" s="777" t="s">
        <v>6186</v>
      </c>
      <c r="H12" s="777" t="s">
        <v>6187</v>
      </c>
      <c r="I12" s="777" t="s">
        <v>6188</v>
      </c>
    </row>
    <row r="13" spans="4:9" ht="33">
      <c r="D13" s="779">
        <v>150</v>
      </c>
      <c r="E13" s="775" t="s">
        <v>6184</v>
      </c>
      <c r="F13" s="777" t="s">
        <v>6189</v>
      </c>
      <c r="G13" s="777" t="s">
        <v>6190</v>
      </c>
      <c r="H13" s="777" t="s">
        <v>6191</v>
      </c>
      <c r="I13" s="777" t="s">
        <v>6192</v>
      </c>
    </row>
    <row r="14" spans="4:9" ht="33">
      <c r="D14" s="779">
        <v>158</v>
      </c>
      <c r="E14" s="775" t="s">
        <v>6184</v>
      </c>
      <c r="F14" s="777" t="s">
        <v>6193</v>
      </c>
      <c r="G14" s="777" t="s">
        <v>6194</v>
      </c>
      <c r="H14" s="777" t="s">
        <v>6195</v>
      </c>
      <c r="I14" s="777" t="s">
        <v>6196</v>
      </c>
    </row>
    <row r="15" spans="4:9" ht="66">
      <c r="D15" s="779">
        <v>166</v>
      </c>
      <c r="E15" s="776">
        <v>46051</v>
      </c>
      <c r="F15" s="777" t="s">
        <v>6197</v>
      </c>
      <c r="G15" s="777" t="s">
        <v>6198</v>
      </c>
      <c r="H15" s="777" t="s">
        <v>6199</v>
      </c>
      <c r="I15" s="777" t="s">
        <v>6200</v>
      </c>
    </row>
    <row r="16" spans="4:9" ht="49.5">
      <c r="D16" s="779">
        <v>168</v>
      </c>
      <c r="E16" s="775" t="s">
        <v>6184</v>
      </c>
      <c r="F16" s="777" t="s">
        <v>6201</v>
      </c>
      <c r="G16" s="777" t="s">
        <v>6202</v>
      </c>
      <c r="H16" s="777" t="s">
        <v>6203</v>
      </c>
      <c r="I16" s="777" t="s">
        <v>6204</v>
      </c>
    </row>
    <row r="17" spans="4:9" ht="33">
      <c r="D17" s="779">
        <v>176</v>
      </c>
      <c r="E17" s="775" t="s">
        <v>6184</v>
      </c>
      <c r="F17" s="777" t="s">
        <v>6205</v>
      </c>
      <c r="G17" s="777" t="s">
        <v>6206</v>
      </c>
      <c r="H17" s="777" t="s">
        <v>6207</v>
      </c>
      <c r="I17" s="777" t="s">
        <v>6208</v>
      </c>
    </row>
    <row r="18" spans="4:9" ht="49.5">
      <c r="D18" s="779">
        <v>177</v>
      </c>
      <c r="E18" s="775" t="s">
        <v>6184</v>
      </c>
      <c r="F18" s="777" t="s">
        <v>6209</v>
      </c>
      <c r="G18" s="777" t="s">
        <v>6210</v>
      </c>
      <c r="H18" s="777" t="s">
        <v>6211</v>
      </c>
      <c r="I18" s="777" t="s">
        <v>6212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2026-06-21T23:48:41Z</dcterms:modified>
</cp:coreProperties>
</file>