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<sst xmlns="http://schemas.openxmlformats.org/spreadsheetml/2006/main" count="31104" uniqueCount="7537">
  <si>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</si>
  <si>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</si>
  <si>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</si>
  <si>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</si>
  <si>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</si>
  <si>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</si>
  <si>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</si>
  <si>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</si>
  <si>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</si>
  <si>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</si>
  <si>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</si>
  <si>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</si>
  <si>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</si>
  <si>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</si>
  <si>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</si>
  <si>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</si>
  <si>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</si>
  <si>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</si>
  <si>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</si>
  <si>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</si>
  <si>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</si>
  <si>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</si>
  <si>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</si>
  <si>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</si>
  <si>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</si>
  <si>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</si>
  <si>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</si>
  <si>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</si>
  <si>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</si>
  <si>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</si>
  <si>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</si>
  <si>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</si>
  <si>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</si>
  <si>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</si>
  <si>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</si>
  <si>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</si>
  <si>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</si>
  <si>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</si>
  <si>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</si>
  <si>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</si>
  <si>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</si>
  <si>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</si>
  <si>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</si>
  <si>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</si>
  <si>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</si>
  <si>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</si>
  <si>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</si>
  <si>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</si>
  <si>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</si>
  <si>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</si>
  <si>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</si>
  <si>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</si>
  <si>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</si>
  <si>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</si>
  <si>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</si>
  <si>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</si>
  <si>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</si>
  <si>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</si>
  <si>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</si>
  <si>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</si>
  <si>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</si>
  <si>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</si>
  <si>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</si>
  <si>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</si>
  <si>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</si>
  <si>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</si>
  <si>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</si>
  <si>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</si>
  <si>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</si>
  <si>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</si>
  <si>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</si>
  <si>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</si>
  <si>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</si>
  <si>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</si>
  <si>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</si>
  <si>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</si>
  <si>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</si>
  <si>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</si>
  <si>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</si>
  <si>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</si>
  <si>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</si>
  <si>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</si>
  <si>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</si>
  <si>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</si>
  <si>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</si>
  <si>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</si>
  <si>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</si>
  <si>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</si>
  <si>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</si>
  <si>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</si>
  <si>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</si>
  <si>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</si>
  <si>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</si>
  <si>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</si>
  <si>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</si>
  <si>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</si>
  <si>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</si>
  <si>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</si>
  <si>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</si>
  <si>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</si>
  <si>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</si>
  <si>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</si>
  <si>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</si>
  <si>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</si>
  <si>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</si>
  <si>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</si>
  <si>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</si>
  <si>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</si>
  <si>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</si>
  <si>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</si>
  <si>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</si>
  <si>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</si>
  <si>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</si>
  <si>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</si>
  <si>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</si>
  <si>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</si>
  <si>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</si>
  <si>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</si>
  <si>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</si>
  <si>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</si>
  <si>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</si>
  <si>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</si>
  <si>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</si>
  <si>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</si>
  <si>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</si>
  <si>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</si>
  <si>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</si>
  <si>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</si>
  <si>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</si>
  <si>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</si>
  <si>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</si>
  <si>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</si>
  <si>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</si>
  <si>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</si>
  <si>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</si>
  <si>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</si>
  <si>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</si>
  <si>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</si>
  <si>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</si>
  <si>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</si>
  <si>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</si>
  <si>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</si>
  <si>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</si>
  <si>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</si>
  <si>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</si>
  <si>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</si>
  <si>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</si>
  <si>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</si>
  <si>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</si>
  <si>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</si>
  <si>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</si>
  <si>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</si>
  <si>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</si>
  <si>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</si>
  <si>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</si>
  <si>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</si>
  <si>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</si>
  <si>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</si>
  <si>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</si>
  <si>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</si>
  <si>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</si>
  <si>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</si>
  <si>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</si>
  <si>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</si>
  <si>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</si>
  <si>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</si>
  <si>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</si>
  <si>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</si>
  <si>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</si>
  <si>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</si>
  <si>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</si>
  <si>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</si>
  <si>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</si>
  <si>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</si>
  <si>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</si>
  <si>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</si>
  <si>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</si>
  <si>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</si>
  <si>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</si>
  <si>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</si>
  <si>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</si>
  <si>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</si>
  <si>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</si>
  <si>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</si>
  <si>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</si>
  <si>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</si>
  <si>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</si>
  <si>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</si>
  <si>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</si>
  <si>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</si>
  <si>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</si>
  <si>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</si>
  <si>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</si>
  <si>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</si>
  <si>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</si>
  <si>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</si>
  <si>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</si>
  <si>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</si>
  <si>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</si>
  <si>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</si>
  <si>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</si>
  <si>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</si>
  <si>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</si>
  <si>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</si>
  <si>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</si>
  <si>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</si>
  <si>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</si>
  <si>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</si>
  <si>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</si>
  <si>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</si>
  <si>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</si>
  <si>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</si>
  <si>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</si>
  <si>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</si>
  <si>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</si>
  <si>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</si>
  <si>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</si>
  <si>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</si>
  <si>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</si>
  <si>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</si>
  <si>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</si>
  <si>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</si>
  <si>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</si>
  <si>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</si>
  <si>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</si>
  <si>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</si>
  <si>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</si>
  <si>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</si>
  <si>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</si>
  <si>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</si>
  <si>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</si>
  <si>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</si>
  <si>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</si>
  <si>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</si>
  <si>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</si>
  <si>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</si>
  <si>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</si>
  <si>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</si>
  <si>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</si>
  <si>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</si>
  <si>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</si>
  <si>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</si>
  <si>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</si>
  <si>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</si>
  <si>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</si>
  <si>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</si>
  <si>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</si>
  <si>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</si>
  <si>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</si>
  <si>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</si>
  <si>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</si>
  <si>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</si>
  <si>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</si>
  <si>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</si>
  <si>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</si>
  <si>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</si>
  <si>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</si>
  <si>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</si>
  <si>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</si>
  <si>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</si>
  <si>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</si>
  <si>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</si>
  <si>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</si>
  <si>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</si>
  <si>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</si>
  <si>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</si>
  <si>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</si>
  <si>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</si>
  <si>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</si>
  <si>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</si>
  <si>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</si>
  <si>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</si>
  <si>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</si>
  <si>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</si>
  <si>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</si>
  <si>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</si>
  <si>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</si>
  <si>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</si>
  <si>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</si>
  <si>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</si>
  <si>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</si>
  <si>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</si>
  <si>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</si>
  <si>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</si>
  <si>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</si>
  <si>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</si>
  <si>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</si>
  <si>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</si>
  <si>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</si>
  <si>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</si>
  <si>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</si>
  <si>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</si>
  <si>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</si>
  <si>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</si>
  <si>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</si>
  <si>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</si>
  <si>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</si>
  <si>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</si>
  <si>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</si>
  <si>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</si>
  <si>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</si>
  <si>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</si>
  <si>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</si>
  <si>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</si>
  <si>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</si>
  <si>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</si>
  <si>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</si>
  <si>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</si>
  <si>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</si>
  <si>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</si>
  <si>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</si>
  <si>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</si>
  <si>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</si>
  <si>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</si>
  <si>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</si>
  <si>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</si>
  <si>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</si>
  <si>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</si>
  <si>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</si>
  <si>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</si>
  <si>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</si>
  <si>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</si>
  <si>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</si>
  <si>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</si>
  <si>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</si>
  <si>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</si>
  <si>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</si>
  <si>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</si>
  <si>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</si>
  <si>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</si>
  <si>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</si>
  <si>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</si>
  <si>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</si>
  <si>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</si>
  <si>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</si>
  <si>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</si>
  <si>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</si>
  <si>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</si>
  <si>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</si>
  <si>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</si>
  <si>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</si>
  <si>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</si>
  <si>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</si>
  <si>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</si>
  <si>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</si>
  <si>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</si>
  <si>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</si>
  <si>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</si>
  <si>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</si>
  <si>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</si>
  <si>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</si>
  <si>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</si>
  <si>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</si>
  <si>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</si>
  <si>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</si>
  <si>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</si>
  <si>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</si>
  <si>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</si>
  <si>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</si>
  <si>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</si>
  <si>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</si>
  <si>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</si>
  <si>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</si>
  <si>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</si>
  <si>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</si>
  <si>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</si>
  <si>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</si>
  <si>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</si>
  <si>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</si>
  <si>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</si>
  <si>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</si>
  <si>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</si>
  <si>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</si>
  <si>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</si>
  <si>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</si>
  <si>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</si>
  <si>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</si>
  <si>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</si>
  <si>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</si>
  <si>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</si>
  <si>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</si>
  <si>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</si>
  <si>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</si>
  <si>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</si>
  <si>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</si>
  <si>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</si>
  <si>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</si>
  <si>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</si>
  <si>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</si>
  <si>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</si>
  <si>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</si>
  <si>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</si>
  <si>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</si>
  <si>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</si>
  <si>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</si>
  <si>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</si>
  <si>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</si>
  <si>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</si>
  <si>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</si>
  <si>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</si>
  <si>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</si>
  <si>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</si>
  <si>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</si>
  <si>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</si>
  <si>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</si>
  <si>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</si>
  <si>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</si>
  <si>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</si>
  <si>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</si>
  <si>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</si>
  <si>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</si>
  <si>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</si>
  <si>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</si>
  <si>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</si>
  <si>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</si>
  <si>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</si>
  <si>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</si>
  <si>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</si>
  <si>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</si>
  <si>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</si>
  <si>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</si>
  <si>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</si>
  <si>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</si>
  <si>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</si>
  <si>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</si>
  <si>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</si>
  <si>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</si>
  <si>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</si>
  <si>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</si>
  <si>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</si>
  <si>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</si>
  <si>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</si>
  <si>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</si>
  <si>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</si>
  <si>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</si>
  <si>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</si>
  <si>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</si>
  <si>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</si>
  <si>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</si>
  <si>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</si>
  <si>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</si>
  <si>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</si>
  <si>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</si>
  <si>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</si>
  <si>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</si>
  <si>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</si>
  <si>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</si>
  <si>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</si>
  <si>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</si>
  <si>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</si>
  <si>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</si>
  <si>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</si>
  <si>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</si>
  <si>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</si>
  <si>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</si>
  <si>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</si>
  <si>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</si>
  <si>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</si>
  <si>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</si>
  <si>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</si>
  <si>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</si>
  <si>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</si>
  <si>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</si>
  <si>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</si>
  <si>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</si>
  <si>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</si>
  <si>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</si>
  <si>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</si>
  <si>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</si>
  <si>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</si>
  <si>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</si>
  <si>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</si>
  <si>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</si>
  <si>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</si>
  <si>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</si>
  <si>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</si>
  <si>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</si>
  <si>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</si>
  <si>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</si>
  <si>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</si>
  <si>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</si>
  <si>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</si>
  <si>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</si>
  <si>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</si>
  <si>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</si>
  <si>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</si>
  <si>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</si>
  <si>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</si>
  <si>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</si>
  <si>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</si>
  <si>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</si>
  <si>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</si>
  <si>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</si>
  <si>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</si>
  <si>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</si>
  <si>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</si>
  <si>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</si>
  <si>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</si>
  <si>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</si>
  <si>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</si>
  <si>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</si>
  <si>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</si>
  <si>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</si>
  <si>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</si>
  <si>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</si>
  <si>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</si>
  <si>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</si>
  <si>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</si>
  <si>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</si>
  <si>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</si>
  <si>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</si>
  <si>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</si>
  <si>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</si>
  <si>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</si>
  <si>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</si>
  <si>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</si>
  <si>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</si>
  <si>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</si>
  <si>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</si>
  <si>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</si>
  <si>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</si>
  <si>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</si>
  <si>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</si>
  <si>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</si>
  <si>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</si>
  <si>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</si>
  <si>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</si>
  <si>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</si>
  <si>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</si>
  <si>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</si>
  <si>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</si>
  <si>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</si>
  <si>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</si>
  <si>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</si>
  <si>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</si>
  <si>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</si>
  <si>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</si>
  <si>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</si>
  <si>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</si>
  <si>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</si>
  <si>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</si>
  <si>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</si>
  <si>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</si>
  <si>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</si>
  <si>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</si>
  <si>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</si>
  <si>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</si>
  <si>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</si>
  <si>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</si>
  <si>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</si>
  <si>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</si>
  <si>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</si>
  <si>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</si>
  <si>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</si>
  <si>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</si>
  <si>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</si>
  <si>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</si>
  <si>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</si>
  <si>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</si>
  <si>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</si>
  <si>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</si>
  <si>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</si>
  <si>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</si>
  <si>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</si>
  <si>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</si>
  <si>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</si>
  <si>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</si>
  <si>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</si>
  <si>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</si>
  <si>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</si>
  <si>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</si>
  <si>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</si>
  <si>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</si>
  <si>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</si>
  <si>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</si>
  <si>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</si>
  <si>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</si>
  <si>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</si>
  <si>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</si>
  <si>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</si>
  <si>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</si>
  <si>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</si>
  <si>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</si>
  <si>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</si>
  <si>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</si>
  <si>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</si>
  <si>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</si>
  <si>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</si>
  <si>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</si>
  <si>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</si>
  <si>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</si>
  <si>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</si>
  <si>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</si>
  <si>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</si>
  <si>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</si>
  <si>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</si>
  <si>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</si>
  <si>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</si>
  <si>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</si>
  <si>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</si>
  <si>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</si>
  <si>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</si>
  <si>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</si>
  <si>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</si>
  <si>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</si>
  <si>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</si>
  <si>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</si>
  <si>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</si>
  <si>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</si>
  <si>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</si>
  <si>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</si>
  <si>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</si>
  <si>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</si>
  <si>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</si>
  <si>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</si>
  <si>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</si>
  <si>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</si>
  <si>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</si>
  <si>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</si>
  <si>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</si>
  <si>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</si>
  <si>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</si>
  <si>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</si>
  <si>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</si>
  <si>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</si>
  <si>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</si>
  <si>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</si>
  <si>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</si>
  <si>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</si>
  <si>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</si>
  <si>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</si>
  <si>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</si>
  <si>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</si>
  <si>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</si>
  <si>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</si>
  <si>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</si>
  <si>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</si>
  <si>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</si>
  <si>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</si>
  <si>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</si>
  <si>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</si>
  <si>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</si>
  <si>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</si>
  <si>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</si>
  <si>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</si>
  <si>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</si>
  <si>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</si>
  <si>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</si>
  <si>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</si>
  <si>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</si>
  <si>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</si>
  <si>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</si>
  <si>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</si>
  <si>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</si>
  <si>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</si>
  <si>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</si>
  <si>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</si>
  <si>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</si>
  <si>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</si>
  <si>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</si>
  <si>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</si>
  <si>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</si>
  <si>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</si>
  <si>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</si>
  <si>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</si>
  <si>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</si>
  <si>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</si>
  <si>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</si>
  <si>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</si>
  <si>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</si>
  <si>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</si>
  <si>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</si>
  <si>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</si>
  <si>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</si>
  <si>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</si>
  <si>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</si>
  <si>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</si>
  <si>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</si>
  <si>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</si>
  <si>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</si>
  <si>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</si>
  <si>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</si>
  <si>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</si>
  <si>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</si>
  <si>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</si>
  <si>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</si>
  <si>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</si>
  <si>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</si>
  <si>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</si>
  <si>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</si>
  <si>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</si>
  <si>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</si>
  <si>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</si>
  <si>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</si>
  <si>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</si>
  <si>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</si>
  <si>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</si>
  <si>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</si>
  <si>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</si>
  <si>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</si>
  <si>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</si>
  <si>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</si>
  <si>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</si>
  <si>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</si>
  <si>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</si>
  <si>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</si>
  <si>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</si>
  <si>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</si>
  <si>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</si>
  <si>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</si>
  <si>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</si>
  <si>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</si>
  <si>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</si>
  <si>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</si>
  <si>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</si>
  <si>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</si>
  <si>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</si>
  <si>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</si>
  <si>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</si>
  <si>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</si>
  <si>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</si>
  <si>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</si>
  <si>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</si>
  <si>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</si>
  <si>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</si>
  <si>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</si>
  <si>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</si>
  <si>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</si>
  <si>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</si>
  <si>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</si>
  <si>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</si>
  <si>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</si>
  <si>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</si>
  <si>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</si>
  <si>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</si>
  <si>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</si>
  <si>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</si>
  <si>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</si>
  <si>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</si>
  <si>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</si>
  <si>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</si>
  <si>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</si>
  <si>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</si>
  <si>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</si>
  <si>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</si>
  <si>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</si>
  <si>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</si>
  <si>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</si>
  <si>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</si>
  <si>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</si>
  <si>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</si>
  <si>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</si>
  <si>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</si>
  <si>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</si>
  <si>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</si>
  <si>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</si>
  <si>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</si>
  <si>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</si>
  <si>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</si>
  <si>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</si>
  <si>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</si>
  <si>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</si>
  <si>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</si>
  <si>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</si>
  <si>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</si>
  <si>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</si>
  <si>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</si>
  <si>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</si>
  <si>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</si>
  <si>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</si>
  <si>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</si>
  <si>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</si>
  <si>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</si>
  <si>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</si>
  <si>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</si>
  <si>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</si>
  <si>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</si>
  <si>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</si>
  <si>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</si>
  <si>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</si>
  <si>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</si>
  <si>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</si>
  <si>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</si>
  <si>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</si>
  <si>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</si>
  <si>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</si>
  <si>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</si>
  <si>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</si>
  <si>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</si>
  <si>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</si>
  <si>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</si>
  <si>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</si>
  <si>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</si>
  <si>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</si>
  <si>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</si>
  <si>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</si>
  <si>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</si>
  <si>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</si>
  <si>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</si>
  <si>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</si>
  <si>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</si>
  <si>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</si>
  <si>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</si>
  <si>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</si>
  <si>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</si>
  <si>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</si>
  <si>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</si>
  <si>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</si>
  <si>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</si>
  <si>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</si>
  <si>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</si>
  <si>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</si>
  <si>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</si>
  <si>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</si>
  <si>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</si>
  <si>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</si>
  <si>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</si>
  <si>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</si>
  <si>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</si>
  <si>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</si>
  <si>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</si>
  <si>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</si>
  <si>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</si>
  <si>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</si>
  <si>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</si>
  <si>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</si>
  <si>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</si>
  <si>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</si>
  <si>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</si>
  <si>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</si>
  <si>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</si>
  <si>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</si>
  <si>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</si>
  <si>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</si>
  <si>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</si>
  <si>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</si>
  <si>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</si>
  <si>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</si>
  <si>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</si>
  <si>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</si>
  <si>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</si>
  <si>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</si>
  <si>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</si>
  <si>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</si>
  <si>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</si>
  <si>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</si>
  <si>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</si>
  <si>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</si>
  <si>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</si>
  <si>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</si>
  <si>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</si>
  <si>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</si>
  <si>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</si>
  <si>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</si>
  <si>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</si>
  <si>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</si>
  <si>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</si>
  <si>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</si>
  <si>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</si>
  <si>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</si>
  <si>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</si>
  <si>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</si>
  <si>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</si>
  <si>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</si>
  <si>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</si>
  <si>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</si>
  <si>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</si>
  <si>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</si>
  <si>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</si>
  <si>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</si>
  <si>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</si>
  <si>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</si>
  <si>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</si>
  <si>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</si>
  <si>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</si>
  <si>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</si>
  <si>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</si>
  <si>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</si>
  <si>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</si>
  <si>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</si>
  <si>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</si>
  <si>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</si>
  <si>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</si>
  <si>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</si>
  <si>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</si>
  <si>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</si>
  <si>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</si>
  <si>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</si>
  <si>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</si>
  <si>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</si>
  <si>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</si>
  <si>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</si>
  <si>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</si>
  <si>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</si>
  <si>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</si>
  <si>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</si>
  <si>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</si>
  <si>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</si>
  <si>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</si>
  <si>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</si>
  <si>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</si>
  <si>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</si>
  <si>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</si>
  <si>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</si>
  <si>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</si>
  <si>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</si>
  <si>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</si>
  <si>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</si>
  <si>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</si>
  <si>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</si>
  <si>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</si>
  <si>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</si>
  <si>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</si>
  <si>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</si>
  <si>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</si>
  <si>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</si>
  <si>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</si>
  <si>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</si>
  <si>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</si>
  <si>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</si>
  <si>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</si>
  <si>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</si>
  <si>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</si>
  <si>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</si>
  <si>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</si>
  <si>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</si>
  <si>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</si>
  <si>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</si>
  <si>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</si>
  <si>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</si>
  <si>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</si>
  <si>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</si>
  <si>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</si>
  <si>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</si>
  <si>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</si>
  <si>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</si>
  <si>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</si>
  <si>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</si>
  <si>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</si>
  <si>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</si>
  <si>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</si>
  <si>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</si>
  <si>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</si>
  <si>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</si>
  <si>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</si>
  <si>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</si>
  <si>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</si>
  <si>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</si>
  <si>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</si>
  <si>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</si>
  <si>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</si>
  <si>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</si>
  <si>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</si>
  <si>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</si>
  <si>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</si>
  <si>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</si>
  <si>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</si>
  <si>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</si>
  <si>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</si>
  <si>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</si>
  <si>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</si>
  <si>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</si>
  <si>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</si>
  <si>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</si>
  <si>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</si>
  <si>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</si>
  <si>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</si>
  <si>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</si>
  <si>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</si>
  <si>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</si>
  <si>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</si>
  <si>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</si>
  <si>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</si>
  <si>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</si>
  <si>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</si>
  <si>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</si>
  <si>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</si>
  <si>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</si>
  <si>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</si>
  <si>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</si>
  <si>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</si>
  <si>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</si>
  <si>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</si>
  <si>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</si>
  <si>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</si>
  <si>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</si>
  <si>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</si>
  <si>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</si>
  <si>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</si>
  <si>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</si>
  <si>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</si>
  <si>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</si>
  <si>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</si>
  <si>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</si>
  <si>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</si>
  <si>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</si>
  <si>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</si>
  <si>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</si>
  <si>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</si>
  <si>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</si>
  <si>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</si>
  <si>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</si>
  <si>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</si>
  <si>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</si>
  <si>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</si>
  <si>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</si>
  <si>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</si>
  <si>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</si>
  <si>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</si>
  <si>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</si>
  <si>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</si>
  <si>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</si>
  <si>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</si>
  <si>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</si>
  <si>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</si>
  <si>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</si>
  <si>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</si>
  <si>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</si>
  <si>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</si>
  <si>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</si>
  <si>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</si>
  <si>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</si>
  <si>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</si>
  <si>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</si>
  <si>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</si>
  <si>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</si>
  <si>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</si>
  <si>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</si>
  <si>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</si>
  <si>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</si>
  <si>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</si>
  <si>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</si>
  <si>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</si>
  <si>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</si>
  <si>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</si>
  <si>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</si>
  <si>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</si>
  <si>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</si>
  <si>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</si>
  <si>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</si>
  <si>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</si>
  <si>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</si>
  <si>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</si>
  <si>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</si>
  <si>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</si>
  <si>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</si>
  <si>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</si>
  <si>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</si>
  <si>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</si>
  <si>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</si>
  <si>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</si>
  <si>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</si>
  <si>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</si>
  <si>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</si>
  <si>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</si>
  <si>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</si>
  <si>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</si>
  <si>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</si>
  <si>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</si>
  <si>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</si>
  <si>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</si>
  <si>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</si>
  <si>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</si>
  <si>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</si>
  <si>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</si>
  <si>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</si>
  <si>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</si>
  <si>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</si>
  <si>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</si>
  <si>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</si>
  <si>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</si>
  <si>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</si>
  <si>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</si>
  <si>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</si>
  <si>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</si>
  <si>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</si>
  <si>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</si>
  <si>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</si>
  <si>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</si>
  <si>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</si>
  <si>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</si>
  <si>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</si>
  <si>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</si>
  <si>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</si>
  <si>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</si>
  <si>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</si>
  <si>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</si>
  <si>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</si>
  <si>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</si>
  <si>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</si>
  <si>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</si>
  <si>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</si>
  <si>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</si>
  <si>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</si>
  <si>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</si>
  <si>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</si>
  <si>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</si>
  <si>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</si>
  <si>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</si>
  <si>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</si>
  <si>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</si>
  <si>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</si>
  <si>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</si>
  <si>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</si>
  <si>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</si>
  <si>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</si>
  <si>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</si>
  <si>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</si>
  <si>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</si>
  <si>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</si>
  <si>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</si>
  <si>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</si>
  <si>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</si>
  <si>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</si>
  <si>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</si>
  <si>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</si>
  <si>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</si>
  <si>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</si>
  <si>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</si>
  <si>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</si>
  <si>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</si>
  <si>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</si>
  <si>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</si>
  <si>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</si>
  <si>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</si>
  <si>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</si>
  <si>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</si>
  <si>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</si>
  <si>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</si>
  <si>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</si>
  <si>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</si>
  <si>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</si>
  <si>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</si>
  <si>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</si>
  <si>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</si>
  <si>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</si>
  <si>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</si>
  <si>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</si>
  <si>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</si>
  <si>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</si>
  <si>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</si>
  <si>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</si>
  <si>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</si>
  <si>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</si>
  <si>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</si>
  <si>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</si>
  <si>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</si>
  <si>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</si>
  <si>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</si>
  <si>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</si>
  <si>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</si>
  <si>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</si>
  <si>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</si>
  <si>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</si>
  <si>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</si>
  <si>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</si>
  <si>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</si>
  <si>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</si>
  <si>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</si>
  <si>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</si>
  <si>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</si>
  <si>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</si>
  <si>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</si>
  <si>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</si>
  <si>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</si>
  <si>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</si>
  <si>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</si>
  <si>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</si>
  <si>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</si>
  <si>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</si>
  <si>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</si>
  <si>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</si>
  <si>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</si>
  <si>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</si>
  <si>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</si>
  <si>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</si>
  <si>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</si>
  <si>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</si>
  <si>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</si>
  <si>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</si>
  <si>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</si>
  <si>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</si>
  <si>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</si>
  <si>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</si>
  <si>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</si>
  <si>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</si>
  <si>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</si>
  <si>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</si>
  <si>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</si>
  <si>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</si>
  <si>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</si>
  <si>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</si>
  <si>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</si>
  <si>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</si>
  <si>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</si>
  <si>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</si>
  <si>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</si>
  <si>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</si>
  <si>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</si>
  <si>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</si>
  <si>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</si>
  <si>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</si>
  <si>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</si>
  <si>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</si>
  <si>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</si>
  <si>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</si>
  <si>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</si>
  <si>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</si>
  <si>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</si>
  <si>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</si>
  <si>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</si>
  <si>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</si>
  <si>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</si>
  <si>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</si>
  <si>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</si>
  <si>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</si>
  <si>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</si>
  <si>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</si>
  <si>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</si>
  <si>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</si>
  <si>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</si>
  <si>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</si>
  <si>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</si>
  <si>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</si>
  <si>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</si>
  <si>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</si>
  <si>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</si>
  <si>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</si>
  <si>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</si>
  <si>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</si>
  <si>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</si>
  <si>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</si>
  <si>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</si>
  <si>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</si>
  <si>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</si>
  <si>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</si>
  <si>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</si>
  <si>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</si>
  <si>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</si>
  <si>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</si>
  <si>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</si>
  <si>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</si>
  <si>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</si>
  <si>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</si>
  <si>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</si>
  <si>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</si>
  <si>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</si>
  <si>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</si>
  <si>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</si>
  <si>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</si>
  <si>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</si>
  <si>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</si>
  <si>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</si>
  <si>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</si>
  <si>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</si>
  <si>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</si>
  <si>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</si>
  <si>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</si>
  <si>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</si>
  <si>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</si>
  <si>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</si>
  <si>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</si>
  <si>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</si>
  <si>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</si>
  <si>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</si>
  <si>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</si>
  <si>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</si>
  <si>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</si>
  <si>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</si>
  <si>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</si>
  <si>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</si>
  <si>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</si>
  <si>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</si>
  <si>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</si>
  <si>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</si>
  <si>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</si>
  <si>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</si>
  <si>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</si>
  <si>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</si>
  <si>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</si>
  <si>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</si>
  <si>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</si>
  <si>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</si>
  <si>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</si>
  <si>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</si>
  <si>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</si>
  <si>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</si>
  <si>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</si>
  <si>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</si>
  <si>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</si>
  <si>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</si>
  <si>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</si>
  <si>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</si>
  <si>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</si>
  <si>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</si>
  <si>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</si>
  <si>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</si>
  <si>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</si>
  <si>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</si>
  <si>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</si>
  <si>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</si>
  <si>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</si>
  <si>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</si>
  <si>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</si>
  <si>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</si>
  <si>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</si>
  <si>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</si>
  <si>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</si>
  <si>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</si>
  <si>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</si>
  <si>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</si>
  <si>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</si>
  <si>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</si>
  <si>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</si>
  <si>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</si>
  <si>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</si>
  <si>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</si>
  <si>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</si>
  <si>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</si>
  <si>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</si>
  <si>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</si>
  <si>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</si>
  <si>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</si>
  <si>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</si>
  <si>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</si>
  <si>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</si>
  <si>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</si>
  <si>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</si>
  <si>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</si>
  <si>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</si>
  <si>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</si>
  <si>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</si>
  <si>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</si>
  <si>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</si>
  <si>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</si>
  <si>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</si>
  <si>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</si>
  <si>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</si>
  <si>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</si>
  <si>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</si>
  <si>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</si>
  <si>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</si>
  <si>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</si>
  <si>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</si>
  <si>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</si>
  <si>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</si>
  <si>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</si>
  <si>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</si>
  <si>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</si>
  <si>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</si>
  <si>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</si>
  <si>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</si>
  <si>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</si>
  <si>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</si>
  <si>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</si>
  <si>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</si>
  <si>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</si>
  <si>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</si>
  <si>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</si>
  <si>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</si>
  <si>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</si>
  <si>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</si>
  <si>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</si>
  <si>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</si>
  <si>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</si>
  <si>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</si>
  <si>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</si>
  <si>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</si>
  <si>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</si>
  <si>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</si>
  <si>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</si>
  <si>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</si>
  <si>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</si>
  <si>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</si>
  <si>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</si>
  <si>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</si>
  <si>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</si>
  <si>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</si>
  <si>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</si>
  <si>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</si>
  <si>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</si>
  <si>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</si>
  <si>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</si>
  <si>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</si>
  <si>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</si>
  <si>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</si>
  <si>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</si>
  <si>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</si>
  <si>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</si>
  <si>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</si>
  <si>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</si>
  <si>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</si>
  <si>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</si>
  <si>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</si>
  <si>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</si>
  <si>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</si>
  <si>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</si>
  <si>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</si>
  <si>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</si>
  <si>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</si>
  <si>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</si>
  <si>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</si>
  <si>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</si>
  <si>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</si>
  <si>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</si>
  <si>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</si>
  <si>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</si>
  <si>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</si>
  <si>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</si>
  <si>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</si>
  <si>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</si>
  <si>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</si>
  <si>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</si>
  <si>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</si>
  <si>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</si>
  <si>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</si>
  <si>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</si>
  <si>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</si>
  <si>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</si>
  <si>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</si>
  <si>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</si>
  <si>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</si>
  <si>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</si>
  <si>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</si>
  <si>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</si>
  <si>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</si>
  <si>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</si>
  <si>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</si>
  <si>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</si>
  <si>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</si>
  <si>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</si>
  <si>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</si>
  <si>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</si>
  <si>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</si>
  <si>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</si>
  <si>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</si>
  <si>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</si>
  <si>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</si>
  <si>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</si>
  <si>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</si>
  <si>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</si>
  <si>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</si>
  <si>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</si>
  <si>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</si>
  <si>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</si>
  <si>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</si>
  <si>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</si>
  <si>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</si>
  <si>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</si>
  <si>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</si>
  <si>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</si>
  <si>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</si>
  <si>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</si>
  <si>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</si>
  <si>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</si>
  <si>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</si>
  <si>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</si>
  <si>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</si>
  <si>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</si>
  <si>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</si>
  <si>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</si>
  <si>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</si>
  <si>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</si>
  <si>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</si>
  <si>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</si>
  <si>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</si>
  <si>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</si>
  <si>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</si>
  <si>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</si>
  <si>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</si>
  <si>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</si>
  <si>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</si>
  <si>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</si>
  <si>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</si>
  <si>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</si>
  <si>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</si>
  <si>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</si>
  <si>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</si>
  <si>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</si>
  <si>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</si>
  <si>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</si>
  <si>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</si>
  <si>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</si>
  <si>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</si>
  <si>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</si>
  <si>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</si>
  <si>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</si>
  <si>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</si>
  <si>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</si>
  <si>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</si>
  <si>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</si>
  <si>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</si>
  <si>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</si>
  <si>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</si>
  <si>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</si>
  <si>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</si>
  <si>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</si>
  <si>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</si>
  <si>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</si>
  <si>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</si>
  <si>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</si>
  <si>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</si>
  <si>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</si>
  <si>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</si>
  <si>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</si>
  <si>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</si>
  <si>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</si>
  <si>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</si>
  <si>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</si>
  <si>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</si>
  <si>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</si>
  <si>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</si>
  <si>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</si>
  <si>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</si>
  <si>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</si>
  <si>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</si>
  <si>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</si>
  <si>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</si>
  <si>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</si>
  <si>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</si>
  <si>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</si>
  <si>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</si>
  <si>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</si>
  <si>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</si>
  <si>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</si>
  <si>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</si>
  <si>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</si>
  <si>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</si>
  <si>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</si>
  <si>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</si>
  <si>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</si>
  <si>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</si>
  <si>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</si>
  <si>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</si>
  <si>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</si>
  <si>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</si>
  <si>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</si>
  <si>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</si>
  <si>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</si>
  <si>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</si>
  <si>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</si>
  <si>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</si>
  <si>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</si>
  <si>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</si>
  <si>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</si>
  <si>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</si>
  <si>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</si>
  <si>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</si>
  <si>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</si>
  <si>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</si>
  <si>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</si>
  <si>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</si>
  <si>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</si>
  <si>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</si>
  <si>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</si>
  <si>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</si>
  <si>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</si>
  <si>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</si>
  <si>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</si>
  <si>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</si>
  <si>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</si>
  <si>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</si>
  <si>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</si>
  <si>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</si>
  <si>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</si>
  <si>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</si>
  <si>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</si>
  <si>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</si>
  <si>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</si>
  <si>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</si>
  <si>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</si>
  <si>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</si>
  <si>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</si>
  <si>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</si>
  <si>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</si>
  <si>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</si>
  <si>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</si>
  <si>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</si>
  <si>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</si>
  <si>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</si>
  <si>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</si>
  <si>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</si>
  <si>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</si>
  <si>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</si>
  <si>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</si>
  <si>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</si>
  <si>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</si>
  <si>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</si>
  <si>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</si>
  <si>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</si>
  <si>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</si>
  <si>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</si>
  <si>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</si>
  <si>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</si>
  <si>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</si>
  <si>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</si>
  <si>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</si>
  <si>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</si>
  <si>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</si>
  <si>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</si>
  <si>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</si>
  <si>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</si>
  <si>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</si>
  <si>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</si>
  <si>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</si>
  <si>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</si>
  <si>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</si>
  <si>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</si>
  <si>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</si>
  <si>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</si>
  <si>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</si>
  <si>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</si>
  <si>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</si>
  <si>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</si>
  <si>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</si>
  <si>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</si>
  <si>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</si>
  <si>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</si>
  <si>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</si>
  <si>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</si>
  <si>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</si>
  <si>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</si>
  <si>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</si>
  <si>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</si>
  <si>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</si>
  <si>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</si>
  <si>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</si>
  <si>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</si>
  <si>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</si>
  <si>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</si>
  <si>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</si>
  <si>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</si>
  <si>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</si>
  <si>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</si>
  <si>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</si>
  <si>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</si>
  <si>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</si>
  <si>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</si>
  <si>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</si>
  <si>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</si>
  <si>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</si>
  <si>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</si>
  <si>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</si>
  <si>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</si>
  <si>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</si>
  <si>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</si>
  <si>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</si>
  <si>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</si>
  <si>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</si>
  <si>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</si>
  <si>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</si>
  <si>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</si>
  <si>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</si>
  <si>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</si>
  <si>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</si>
  <si>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</si>
  <si>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</si>
  <si>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</si>
  <si>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</si>
  <si>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</si>
  <si>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</si>
  <si>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</si>
  <si>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</si>
  <si>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</si>
  <si>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</si>
  <si>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</si>
  <si>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</si>
  <si>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</si>
  <si>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</si>
  <si>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</si>
  <si>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</si>
  <si>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</si>
  <si>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</si>
  <si>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</si>
  <si>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</si>
  <si>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</si>
  <si>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</si>
  <si>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</si>
  <si>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</si>
  <si>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</si>
  <si>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</si>
  <si>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</si>
  <si>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</si>
  <si>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</si>
  <si>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</si>
  <si>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</si>
  <si>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</si>
  <si>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</si>
  <si>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</si>
  <si>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</si>
  <si>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</si>
  <si>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</si>
  <si>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</si>
  <si>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</si>
  <si>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</si>
  <si>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</si>
  <si>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</si>
  <si>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</si>
  <si>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</si>
  <si>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</si>
  <si>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</si>
  <si>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</si>
  <si>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</si>
  <si>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</si>
  <si>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</si>
  <si>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</si>
  <si>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</si>
  <si>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</si>
  <si>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</si>
  <si>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</si>
  <si>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</si>
  <si>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</si>
  <si>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</si>
  <si>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</si>
  <si>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</si>
  <si>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</si>
  <si>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</si>
  <si>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</si>
  <si>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</si>
  <si>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</si>
  <si>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</si>
  <si>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</si>
  <si>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</si>
  <si>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</si>
  <si>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</si>
  <si>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</si>
  <si>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</si>
  <si>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</si>
  <si>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</si>
  <si>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</si>
  <si>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</si>
  <si>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</si>
  <si>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</si>
  <si>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</si>
  <si>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</si>
  <si>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</si>
  <si>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</si>
  <si>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</si>
  <si>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</si>
  <si>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</si>
  <si>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</si>
  <si>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</si>
  <si>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</si>
  <si>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</si>
  <si>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</si>
  <si>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</si>
  <si>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</si>
  <si>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</si>
  <si>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</si>
  <si>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</si>
  <si>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</si>
  <si>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</si>
  <si>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</si>
  <si>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</si>
  <si>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</si>
  <si>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</si>
  <si>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</si>
  <si>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</si>
  <si>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</si>
  <si>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</si>
  <si>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</si>
  <si>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</si>
  <si>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</si>
  <si>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</si>
  <si>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</si>
  <si>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</si>
  <si>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</si>
  <si>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</si>
  <si>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</si>
  <si>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</si>
  <si>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</si>
  <si>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</si>
  <si>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</si>
  <si>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</si>
  <si>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</si>
  <si>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</si>
  <si>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</si>
  <si>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</si>
  <si>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</si>
  <si>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</si>
  <si>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</si>
  <si>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</si>
  <si>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</si>
  <si>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</si>
  <si>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</si>
  <si>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</si>
  <si>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</si>
  <si>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</si>
  <si>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</si>
  <si>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</si>
  <si>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</si>
  <si>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</si>
  <si>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</si>
  <si>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</si>
  <si>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</si>
  <si>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</si>
  <si>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</si>
  <si>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</si>
  <si>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</si>
  <si>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</si>
  <si>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</si>
  <si>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</si>
  <si>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</si>
  <si>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</si>
  <si>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</si>
  <si>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</si>
  <si>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</si>
  <si>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</si>
  <si>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</si>
  <si>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</si>
  <si>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</si>
  <si>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</si>
  <si>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</si>
  <si>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</si>
  <si>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</si>
  <si>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</si>
  <si>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</si>
  <si>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</si>
  <si>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</si>
  <si>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</si>
  <si>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</si>
  <si>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</si>
  <si>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</si>
  <si>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</si>
  <si>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</si>
  <si>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</si>
  <si>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</si>
  <si>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</si>
  <si>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</si>
  <si>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</si>
  <si>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</si>
  <si>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</si>
  <si>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</si>
  <si>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</si>
  <si>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</si>
  <si>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</si>
  <si>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</si>
  <si>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</si>
  <si>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</si>
  <si>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</si>
  <si>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</si>
  <si>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</si>
  <si>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</si>
  <si>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</si>
  <si>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</si>
  <si>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</si>
  <si>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</si>
  <si>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</si>
  <si>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</si>
  <si>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</si>
  <si>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</si>
  <si>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</si>
  <si>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</si>
  <si>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</si>
  <si>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</si>
  <si>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</si>
  <si>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</si>
  <si>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</si>
  <si>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</si>
  <si>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</si>
  <si>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</si>
  <si>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</si>
  <si>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</si>
  <si>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</si>
  <si>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</si>
  <si>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</si>
  <si>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</si>
  <si>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</si>
  <si>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</si>
  <si>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</si>
  <si>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</si>
  <si>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</si>
  <si>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</si>
  <si>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</si>
  <si>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</si>
  <si>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</si>
  <si>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</si>
  <si>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</si>
  <si>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</si>
  <si>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</si>
  <si>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</si>
  <si>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</si>
  <si>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</si>
  <si>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</si>
  <si>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</si>
  <si>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</si>
  <si>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</si>
  <si>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</si>
  <si>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</si>
  <si>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</si>
  <si>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</si>
  <si>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</si>
  <si>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</si>
  <si>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</si>
  <si>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</si>
  <si>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</si>
  <si>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</si>
  <si>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</si>
  <si>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</si>
  <si>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</si>
  <si>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</si>
  <si>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</si>
  <si>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</si>
  <si>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</si>
  <si>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</si>
  <si>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</si>
  <si>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</si>
  <si>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</si>
  <si>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</si>
  <si>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</si>
  <si>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</si>
  <si>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</si>
  <si>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</si>
  <si>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</si>
  <si>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</si>
  <si>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</si>
  <si>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</si>
  <si>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</si>
  <si>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</si>
  <si>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</si>
  <si>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</si>
  <si>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</si>
  <si>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</si>
  <si>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</si>
  <si>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</si>
  <si>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</si>
  <si>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</si>
  <si>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</si>
  <si>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</si>
  <si>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</si>
  <si>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</si>
  <si>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</si>
  <si>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</si>
  <si>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</si>
  <si>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</si>
  <si>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</si>
  <si>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</si>
  <si>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</si>
  <si>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</si>
  <si>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</si>
  <si>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</si>
  <si>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</si>
  <si>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</si>
  <si>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</si>
  <si>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</si>
  <si>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</si>
  <si>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</si>
  <si>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</si>
  <si>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</si>
  <si>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</si>
  <si>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</si>
  <si>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</si>
  <si>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</si>
  <si>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</si>
  <si>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</si>
  <si>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</si>
  <si>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</si>
  <si>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</si>
  <si>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</si>
  <si>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</si>
  <si>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</si>
  <si>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</si>
  <si>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</si>
  <si>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</si>
  <si>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</si>
  <si>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</si>
  <si>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</si>
  <si>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</si>
  <si>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</si>
  <si>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</si>
  <si>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</si>
  <si>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</si>
  <si>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</si>
  <si>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</si>
  <si>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</si>
  <si>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</si>
  <si>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</si>
  <si>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</si>
  <si>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</si>
  <si>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</si>
  <si>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</si>
  <si>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</si>
  <si>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</si>
  <si>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</si>
  <si>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</si>
  <si>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</si>
  <si>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</si>
  <si>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</si>
  <si>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</si>
  <si>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</si>
  <si>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</si>
  <si>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</si>
  <si>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</si>
  <si>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</si>
  <si>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</si>
  <si>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</si>
  <si>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</si>
  <si>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</si>
  <si>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</si>
  <si>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</si>
  <si>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</si>
  <si>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</si>
  <si>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</si>
  <si>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</si>
  <si>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</si>
  <si>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</si>
  <si>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</si>
  <si>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</si>
  <si>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</si>
  <si>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</si>
  <si>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</si>
  <si>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</si>
  <si>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</si>
  <si>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</si>
  <si>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</si>
  <si>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</si>
  <si>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</si>
  <si>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</si>
  <si>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</si>
  <si>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</si>
  <si>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</si>
  <si>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</si>
  <si>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</si>
  <si>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</si>
  <si>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</si>
  <si>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</si>
  <si>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</si>
  <si>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</si>
  <si>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</si>
  <si>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</si>
  <si>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</si>
  <si>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</si>
  <si>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</si>
  <si>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</si>
  <si>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</si>
  <si>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</si>
  <si>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</si>
  <si>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</si>
  <si>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</si>
  <si>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</si>
  <si>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</si>
  <si>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</si>
  <si>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</si>
  <si>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</si>
  <si>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</si>
  <si>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</si>
  <si>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</si>
  <si>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</si>
  <si>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</si>
  <si>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</si>
  <si>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</si>
  <si>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</si>
  <si>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</si>
  <si>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</si>
  <si>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</si>
  <si>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</si>
  <si>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</si>
  <si>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</si>
  <si>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</si>
  <si>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</si>
  <si>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</si>
  <si>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</si>
  <si>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</si>
  <si>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</si>
  <si>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</si>
  <si>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</si>
  <si>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</si>
  <si>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</si>
  <si>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</si>
  <si>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</si>
  <si>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</si>
  <si>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</si>
  <si>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</si>
  <si>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</si>
  <si>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</si>
  <si>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</si>
  <si>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</si>
  <si>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</si>
  <si>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</si>
  <si>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</si>
  <si>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</si>
  <si>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</si>
  <si>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</si>
  <si>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</si>
  <si>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</si>
  <si>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</si>
  <si>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</si>
  <si>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</si>
  <si>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</si>
  <si>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</si>
  <si>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</si>
  <si>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</si>
  <si>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</si>
  <si>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</si>
  <si>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</si>
  <si>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</si>
  <si>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</si>
  <si>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</si>
  <si>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</si>
  <si>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</si>
  <si>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</si>
  <si>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</si>
  <si>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</si>
  <si>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</si>
  <si>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</si>
  <si>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</si>
  <si>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</si>
  <si>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</si>
  <si>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</si>
  <si>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</si>
  <si>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</si>
  <si>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</si>
  <si>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</si>
  <si>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</si>
  <si>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</si>
  <si>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</si>
  <si>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</si>
  <si>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</si>
  <si>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</si>
  <si>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</si>
  <si>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</si>
  <si>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</si>
  <si>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</si>
  <si>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</si>
  <si>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</si>
  <si>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</si>
  <si>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</si>
  <si>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</si>
  <si>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</si>
  <si>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</si>
  <si>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</si>
  <si>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</si>
  <si>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</si>
  <si>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</si>
  <si>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</si>
  <si>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</si>
  <si>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</si>
  <si>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</si>
  <si>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</si>
  <si>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</si>
  <si>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</si>
  <si>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</si>
  <si>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</si>
  <si>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</si>
  <si>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</si>
  <si>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</si>
  <si>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</si>
  <si>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</si>
  <si>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</si>
  <si>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</si>
  <si>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</si>
  <si>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</si>
  <si>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</si>
  <si>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</si>
  <si>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</si>
  <si>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</si>
  <si>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</si>
  <si>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</si>
  <si>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</si>
  <si>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</si>
  <si>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</si>
  <si>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</si>
  <si>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</si>
  <si>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</si>
  <si>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</si>
  <si>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</si>
  <si>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</si>
  <si>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</si>
  <si>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</si>
  <si>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</si>
  <si>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</si>
  <si>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</si>
  <si>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</si>
  <si>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</si>
  <si>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</si>
  <si>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</si>
  <si>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</si>
  <si>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</si>
  <si>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</si>
  <si>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</si>
  <si>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</si>
  <si>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</si>
  <si>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</si>
  <si>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</si>
  <si>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</si>
  <si>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</si>
  <si>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</si>
  <si>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</si>
  <si>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</si>
  <si>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</si>
  <si>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</si>
  <si>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</si>
  <si>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</si>
  <si>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</si>
  <si>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</si>
  <si>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</si>
  <si>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</si>
  <si>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</si>
  <si>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</si>
  <si>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</si>
  <si>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</si>
  <si>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</si>
  <si>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</si>
  <si>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</si>
  <si>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</si>
  <si>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</si>
  <si>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</si>
  <si>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</si>
  <si>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</si>
  <si>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</si>
  <si>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</si>
  <si>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</si>
  <si>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</si>
  <si>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</si>
  <si>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</si>
  <si>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</si>
  <si>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</si>
  <si>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</si>
  <si>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</si>
  <si>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</si>
  <si>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</si>
  <si>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</si>
  <si>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</si>
  <si>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</si>
  <si>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</si>
  <si>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</si>
  <si>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</si>
  <si>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</si>
  <si>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</si>
  <si>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</si>
  <si>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</si>
  <si>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</si>
  <si>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</si>
  <si>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</si>
  <si>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</si>
  <si>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</si>
  <si>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</si>
  <si>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</si>
  <si>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</si>
  <si>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</si>
  <si>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</si>
  <si>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</si>
  <si>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</si>
  <si>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</si>
  <si>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</si>
  <si>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</si>
  <si>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</si>
  <si>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</si>
  <si>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</si>
  <si>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</si>
  <si>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</si>
  <si>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</si>
  <si>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</si>
  <si>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</si>
  <si>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</si>
  <si>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</si>
  <si>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</si>
  <si>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</si>
  <si>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</si>
  <si>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</si>
  <si>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</si>
  <si>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</si>
  <si>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</si>
  <si>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</si>
  <si>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</si>
  <si>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</si>
  <si>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</si>
  <si>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</si>
  <si>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</si>
  <si>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</si>
  <si>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</si>
  <si>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</si>
  <si>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</si>
  <si>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</si>
  <si>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</si>
  <si>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</si>
  <si>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</si>
  <si>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</si>
  <si>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</si>
  <si>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</si>
  <si>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</si>
  <si>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</si>
  <si>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</si>
  <si>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</si>
  <si>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</si>
  <si>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</si>
  <si>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</si>
  <si>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</si>
  <si>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</si>
  <si>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</si>
  <si>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</si>
  <si>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</si>
  <si>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</si>
  <si>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</si>
  <si>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</si>
  <si>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</si>
  <si>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</si>
  <si>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</si>
  <si>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</si>
  <si>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</si>
  <si>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</si>
  <si>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</si>
  <si>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</si>
  <si>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</si>
  <si>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</si>
  <si>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</si>
  <si>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</si>
  <si>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</si>
  <si>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</si>
  <si>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</si>
  <si>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</si>
  <si>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</si>
  <si>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</si>
  <si>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</si>
  <si>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</si>
  <si>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</si>
  <si>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</si>
  <si>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</si>
  <si>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</si>
  <si>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</si>
  <si>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</si>
  <si>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</si>
  <si>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</si>
  <si>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</si>
  <si>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</si>
  <si>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</si>
  <si>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</si>
  <si>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</si>
  <si>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</si>
  <si>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</si>
  <si>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</si>
  <si>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</si>
  <si>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</si>
  <si>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</si>
  <si>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</si>
  <si>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</si>
  <si>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</si>
  <si>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</si>
  <si>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</si>
  <si>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</si>
  <si>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</si>
  <si>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</si>
  <si>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</si>
  <si>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</si>
  <si>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</si>
  <si>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</si>
  <si>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</si>
  <si>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</si>
  <si>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</si>
  <si>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</si>
  <si>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</si>
  <si>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</si>
  <si>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</si>
  <si>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</si>
  <si>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</si>
  <si>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</si>
  <si>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</si>
  <si>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</si>
  <si>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</si>
  <si>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</si>
  <si>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</si>
  <si>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</si>
  <si>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</si>
  <si>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</si>
  <si>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</si>
  <si>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</si>
  <si>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</si>
  <si>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</si>
  <si>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</si>
  <si>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</si>
  <si>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</si>
  <si>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</si>
  <si>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</si>
  <si>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</si>
  <si>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</si>
  <si>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</si>
  <si>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</si>
  <si>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</si>
  <si>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</si>
  <si>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</si>
  <si>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</si>
  <si>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</si>
  <si>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</si>
  <si>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</si>
  <si>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</si>
  <si>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</si>
  <si>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</si>
  <si>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</si>
  <si>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</si>
  <si>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</si>
  <si>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</si>
  <si>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</si>
  <si>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</si>
  <si>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</si>
  <si>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</si>
  <si>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</si>
  <si>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</si>
  <si>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</si>
  <si>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</si>
  <si>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</si>
  <si>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</si>
  <si>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</si>
  <si>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</si>
  <si>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</si>
  <si>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</si>
  <si>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</si>
  <si>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</si>
  <si>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</si>
  <si>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</si>
  <si>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</si>
  <si>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</si>
  <si>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</si>
  <si>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</si>
  <si>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</si>
  <si>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</si>
  <si>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</si>
  <si>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</si>
  <si>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</si>
  <si>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</si>
  <si>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</si>
  <si>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</si>
  <si>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</si>
  <si>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</si>
  <si>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</si>
  <si>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</si>
  <si>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</si>
  <si>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</si>
  <si>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</si>
  <si>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</si>
  <si>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</si>
  <si>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</si>
  <si>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</si>
  <si>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</si>
  <si>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</si>
  <si>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</si>
  <si>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</si>
  <si>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</si>
  <si>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</si>
  <si>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</si>
  <si>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</si>
  <si>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</si>
  <si>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</si>
  <si>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</si>
  <si>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</si>
  <si>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</si>
  <si>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</si>
  <si>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</si>
  <si>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</si>
  <si>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</si>
  <si>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</si>
  <si>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</si>
  <si>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</si>
  <si>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</si>
  <si>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</si>
  <si>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</si>
  <si>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</si>
  <si>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</si>
  <si>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</si>
  <si>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</si>
  <si>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</si>
  <si>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</si>
  <si>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</si>
  <si>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</si>
  <si>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</si>
  <si>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</si>
  <si>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</si>
  <si>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</si>
  <si>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</si>
  <si>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</si>
  <si>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</si>
  <si>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</si>
  <si>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</si>
  <si>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</si>
  <si>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</si>
  <si>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</si>
  <si>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</si>
  <si>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</si>
  <si>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</si>
  <si>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</si>
  <si>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</si>
  <si>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</si>
  <si>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</si>
  <si>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</si>
  <si>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</si>
  <si>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</si>
  <si>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</si>
  <si>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</si>
  <si>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</si>
  <si>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</si>
  <si>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</si>
  <si>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</si>
  <si>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</si>
  <si>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</si>
  <si>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</si>
  <si>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</si>
  <si>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</si>
  <si>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</si>
  <si>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</si>
  <si>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</si>
  <si>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</si>
  <si>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</si>
  <si>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</si>
  <si>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</si>
  <si>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</si>
  <si>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</si>
  <si>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</si>
  <si>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</si>
  <si>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</si>
  <si>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</si>
  <si>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</si>
  <si>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</si>
  <si>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</si>
  <si>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</si>
  <si>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</si>
  <si>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</si>
  <si>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</si>
  <si>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</si>
  <si>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</si>
  <si>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</si>
  <si>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</si>
  <si>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</si>
  <si>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</si>
  <si>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</si>
  <si>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</si>
  <si>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</si>
  <si>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</si>
  <si>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</si>
  <si>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</si>
  <si>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</si>
  <si>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</si>
  <si>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</si>
  <si>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</si>
  <si>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</si>
  <si>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</si>
  <si>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</si>
  <si>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</si>
  <si>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</si>
  <si>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</si>
  <si>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</si>
  <si>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</si>
  <si>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</si>
  <si>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</si>
  <si>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</si>
  <si>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</si>
  <si>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</si>
  <si>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</si>
  <si>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</si>
  <si>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</si>
  <si>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</si>
  <si>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</si>
  <si>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</si>
  <si>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</si>
  <si>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</si>
  <si>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</si>
  <si>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</si>
  <si>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</si>
  <si>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</si>
  <si>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</si>
  <si>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</si>
  <si>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</si>
  <si>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</si>
  <si>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</si>
  <si>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</si>
  <si>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</si>
  <si>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</si>
  <si>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</si>
  <si>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</si>
  <si>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</si>
  <si>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</si>
  <si>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</si>
  <si>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</si>
  <si>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</si>
  <si>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</si>
  <si>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</si>
  <si>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</si>
  <si>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</si>
  <si>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</si>
  <si>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</si>
  <si>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</si>
  <si>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</si>
  <si>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</si>
  <si>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</si>
  <si>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</si>
  <si>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</si>
  <si>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</si>
  <si>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</si>
  <si>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</si>
  <si>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</si>
  <si>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</si>
  <si>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</si>
  <si>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</si>
  <si>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</si>
  <si>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</si>
  <si>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</si>
  <si>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</si>
  <si>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</si>
  <si>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</si>
  <si>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</si>
  <si>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</si>
  <si>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</si>
  <si>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</si>
  <si>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</si>
  <si>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</si>
  <si>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</si>
  <si>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</si>
  <si>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</si>
  <si>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</si>
  <si>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</si>
  <si>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</si>
  <si>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</si>
  <si>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</si>
  <si>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</si>
  <si>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</si>
  <si>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</si>
  <si>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</si>
  <si>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</si>
  <si>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</si>
  <si>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</si>
  <si>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</si>
  <si>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</si>
  <si>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</si>
  <si>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</si>
  <si>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</si>
  <si>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</si>
  <si>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</si>
  <si>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</si>
  <si>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</si>
  <si>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</si>
  <si>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</si>
  <si>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</si>
  <si>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</si>
  <si>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</si>
  <si>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</si>
  <si>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</si>
  <si>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</si>
  <si>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</si>
  <si>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</si>
  <si>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</si>
  <si>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</si>
  <si>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</si>
  <si>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</si>
  <si>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</si>
  <si>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</si>
  <si>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</si>
  <si>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</si>
  <si>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</si>
  <si>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</si>
  <si>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</si>
  <si>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</si>
  <si>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</si>
  <si>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</si>
  <si>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</si>
  <si>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</si>
  <si>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</si>
  <si>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</si>
  <si>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</si>
  <si>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</si>
  <si>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</si>
  <si>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</si>
  <si>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</si>
  <si>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</si>
  <si>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</si>
  <si>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</si>
  <si>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</si>
  <si>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</si>
  <si>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</si>
  <si>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</si>
  <si>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</si>
  <si>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</si>
  <si>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</si>
  <si>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</si>
  <si>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</si>
  <si>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</si>
  <si>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</si>
  <si>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</si>
  <si>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</si>
  <si>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</si>
  <si>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</si>
  <si>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</si>
  <si>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</si>
  <si>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</si>
  <si>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</si>
  <si>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</si>
  <si>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</si>
  <si>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</si>
  <si>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</si>
  <si>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</si>
  <si>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</si>
  <si>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</si>
  <si>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</si>
  <si>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</si>
  <si>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</si>
  <si>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</si>
  <si>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</si>
  <si>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</si>
  <si>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</si>
  <si>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</si>
  <si>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</si>
  <si>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</si>
  <si>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</si>
  <si>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</si>
  <si>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</si>
  <si>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</si>
  <si>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</si>
  <si>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</si>
  <si>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</si>
  <si>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</si>
  <si>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</si>
  <si>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</si>
  <si>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</si>
  <si>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</si>
  <si>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</si>
  <si>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</si>
  <si>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</si>
  <si>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</si>
  <si>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</si>
  <si>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</si>
  <si>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</si>
  <si>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</si>
  <si>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</si>
  <si>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</si>
  <si>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</si>
  <si>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</si>
  <si>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</si>
  <si>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</si>
  <si>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</si>
  <si>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</si>
  <si>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</si>
  <si>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</si>
  <si>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</si>
  <si>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</si>
  <si>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</si>
  <si>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</si>
  <si>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</si>
  <si>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</si>
  <si>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</si>
  <si>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</si>
  <si>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</si>
  <si>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</si>
  <si>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</si>
  <si>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</si>
  <si>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</si>
  <si>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</si>
  <si>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</si>
  <si>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</si>
  <si>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</si>
  <si>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</si>
  <si>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</si>
  <si>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</si>
  <si>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</si>
  <si>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</si>
  <si>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</si>
  <si>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</si>
  <si>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</si>
  <si>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</si>
  <si>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</si>
  <si>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</si>
  <si>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</si>
  <si>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</si>
  <si>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</si>
  <si>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</si>
  <si>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</si>
  <si>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</si>
  <si>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</si>
  <si>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</si>
  <si>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</si>
  <si>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</si>
  <si>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</si>
  <si>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</si>
  <si>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</si>
  <si>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</si>
  <si>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</si>
  <si>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</si>
  <si>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</si>
  <si>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</si>
  <si>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</si>
  <si>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</si>
  <si>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</si>
  <si>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</si>
  <si>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</si>
  <si>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</si>
  <si>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</si>
  <si>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</si>
  <si>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</si>
  <si>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</si>
  <si>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</si>
  <si>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</si>
  <si>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</si>
  <si>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</si>
  <si>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</si>
  <si>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</si>
  <si>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</si>
  <si>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</si>
  <si>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</si>
  <si>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</si>
  <si>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</si>
  <si>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</si>
  <si>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</si>
  <si>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</si>
  <si>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</si>
  <si>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</si>
  <si>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</si>
  <si>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</si>
  <si>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</si>
  <si>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</si>
  <si>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</si>
  <si>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</si>
  <si>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</si>
  <si>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</si>
  <si>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</si>
  <si>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</si>
  <si>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</si>
  <si>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</si>
  <si>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</si>
  <si>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</si>
  <si>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</si>
  <si>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</si>
  <si>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</si>
  <si>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</si>
  <si>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</si>
  <si>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</si>
  <si>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</si>
  <si>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</si>
  <si>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</si>
  <si>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</si>
  <si>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</si>
  <si>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</si>
  <si>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</si>
  <si>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</si>
  <si>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</si>
  <si>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</si>
  <si>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</si>
  <si>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</si>
  <si>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</si>
  <si>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</si>
  <si>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</si>
  <si>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</si>
  <si>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</si>
  <si>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</si>
  <si>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</si>
  <si>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</si>
  <si>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</si>
  <si>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</si>
  <si>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</si>
  <si>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</si>
  <si>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</si>
  <si>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</si>
  <si>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</si>
  <si>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</si>
  <si>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</si>
  <si>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</si>
  <si>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</si>
  <si>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</si>
  <si>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</si>
  <si>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</si>
  <si>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</si>
  <si>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</si>
  <si>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</si>
  <si>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</si>
  <si>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</si>
  <si>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</si>
  <si>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</si>
  <si>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</si>
  <si>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</si>
  <si>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</si>
  <si>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</si>
  <si>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</si>
  <si>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</si>
  <si>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</si>
  <si>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</si>
  <si>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</si>
  <si>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</si>
  <si>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</si>
  <si>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</si>
  <si>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</si>
  <si>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</si>
  <si>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</si>
  <si>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</si>
  <si>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</si>
  <si>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</si>
  <si>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</si>
  <si>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</si>
  <si>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</si>
  <si>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</si>
  <si>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</si>
  <si>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</si>
  <si>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</si>
  <si>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</si>
  <si>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</si>
  <si>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</si>
  <si>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</si>
  <si>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</si>
  <si>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</si>
  <si>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</si>
  <si>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</si>
  <si>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</si>
  <si>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</si>
  <si>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</si>
  <si>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</si>
  <si>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</si>
  <si>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</si>
  <si>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</si>
  <si>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</si>
  <si>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</si>
  <si>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</si>
  <si>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</si>
  <si>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</si>
  <si>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</si>
  <si>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</si>
  <si>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</si>
  <si>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</si>
  <si>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</si>
  <si>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</si>
  <si>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</si>
  <si>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</si>
  <si>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</si>
  <si>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</si>
  <si>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</si>
  <si>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</si>
  <si>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</si>
  <si>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</si>
  <si>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</si>
  <si>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</si>
  <si>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</si>
  <si>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</si>
  <si>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</si>
  <si>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</si>
  <si>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</si>
  <si>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</si>
  <si>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</si>
  <si>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</si>
  <si>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</si>
  <si>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</si>
  <si>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</si>
  <si>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</si>
  <si>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</si>
  <si>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</si>
  <si>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</si>
  <si>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</si>
  <si>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</si>
  <si>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</si>
  <si>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</si>
  <si>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</si>
  <si>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</si>
  <si>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</si>
  <si>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</si>
  <si>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</si>
  <si>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</si>
  <si>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</si>
  <si>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</si>
  <si>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</si>
  <si>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</si>
  <si>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</si>
  <si>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</si>
  <si>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</si>
  <si>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</si>
  <si>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</si>
  <si>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</si>
  <si>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</si>
  <si>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</si>
  <si>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</si>
  <si>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</si>
  <si>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</si>
  <si>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</si>
  <si>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</si>
  <si>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</si>
  <si>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</si>
  <si>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</si>
  <si>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</si>
  <si>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</si>
  <si>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</si>
  <si>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</si>
  <si>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</si>
  <si>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</si>
  <si>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</si>
  <si>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</si>
  <si>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</si>
  <si>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</si>
  <si>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</si>
  <si>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</si>
  <si>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</si>
  <si>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</si>
  <si>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</si>
  <si>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</si>
  <si>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</si>
  <si>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</si>
  <si>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</si>
  <si>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</si>
  <si>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</si>
  <si>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</si>
  <si>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</si>
  <si>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</si>
  <si>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</si>
  <si>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</si>
  <si>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</si>
  <si>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</si>
  <si>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</si>
  <si>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</si>
  <si>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</si>
  <si>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</si>
  <si>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</si>
  <si>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</si>
  <si>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</si>
  <si>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</si>
  <si>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</si>
  <si>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</si>
  <si>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</si>
  <si>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</si>
  <si>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</si>
  <si>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</si>
  <si>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</si>
  <si>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</si>
  <si>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</si>
  <si>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</si>
  <si>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</si>
  <si>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</si>
  <si>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</si>
  <si>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</si>
  <si>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</si>
  <si>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</si>
  <si>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</si>
  <si>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</si>
  <si>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</si>
  <si>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</si>
  <si>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</si>
  <si>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</si>
  <si>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</si>
  <si>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</si>
  <si>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</si>
  <si>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</si>
  <si>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</si>
  <si>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</si>
  <si>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</si>
  <si>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</si>
  <si>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</si>
  <si>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</si>
  <si>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</si>
  <si>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</si>
  <si>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</si>
  <si>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</si>
  <si>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</si>
  <si>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</si>
  <si>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</si>
  <si>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</si>
  <si>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</si>
  <si>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</si>
  <si>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</si>
  <si>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</si>
  <si>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</si>
  <si>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</si>
  <si>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</si>
  <si>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</si>
  <si>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</si>
  <si>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</si>
  <si>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</si>
  <si>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</si>
  <si>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</si>
  <si>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</si>
  <si>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</si>
  <si>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</si>
  <si>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</si>
  <si>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</si>
  <si>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</si>
  <si>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</si>
  <si>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</si>
  <si>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</si>
  <si>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</si>
  <si>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</si>
  <si>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</si>
  <si>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</si>
  <si>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</si>
  <si>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</si>
  <si>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</si>
  <si>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</si>
  <si>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</si>
  <si>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</si>
  <si>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</si>
  <si>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</si>
  <si>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</si>
  <si>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</si>
  <si>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</si>
  <si>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</si>
  <si>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</si>
  <si>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</si>
  <si>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</si>
  <si>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</si>
  <si>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</si>
  <si>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</si>
  <si>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</si>
  <si>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</si>
  <si>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</si>
  <si>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</si>
  <si>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</si>
  <si>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</si>
  <si>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</si>
  <si>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</si>
  <si>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</si>
  <si>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</si>
  <si>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</si>
  <si>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</si>
  <si>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</si>
  <si>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</si>
  <si>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</si>
  <si>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</si>
  <si>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</si>
  <si>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</si>
  <si>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</si>
  <si>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</si>
  <si>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</si>
  <si>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</si>
  <si>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</si>
  <si>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</si>
  <si>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</si>
  <si>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</si>
  <si>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</si>
  <si>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</si>
  <si>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</si>
  <si>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</si>
  <si>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</si>
  <si>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</si>
  <si>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</si>
  <si>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</si>
  <si>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</si>
  <si>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</si>
  <si>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</si>
  <si>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</si>
  <si>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</si>
  <si>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</si>
  <si>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</si>
  <si>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</si>
  <si>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</si>
  <si>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</si>
  <si>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</si>
  <si>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</si>
  <si>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</si>
  <si>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</si>
  <si>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</si>
  <si>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</si>
  <si>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</si>
  <si>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</si>
  <si>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</si>
  <si>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</si>
  <si>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</si>
  <si>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</si>
  <si>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</si>
  <si>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</si>
  <si>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</si>
  <si>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</si>
  <si>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</si>
  <si>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</si>
  <si>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</si>
  <si>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</si>
  <si>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</si>
  <si>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</si>
  <si>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</si>
  <si>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</si>
  <si>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</si>
  <si>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</si>
  <si>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</si>
  <si>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</si>
  <si>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</si>
  <si>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</si>
  <si>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</si>
  <si>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</si>
  <si>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</si>
  <si>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</si>
  <si>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</si>
  <si>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</si>
  <si>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</si>
  <si>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</si>
  <si>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</si>
  <si>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</si>
  <si>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</si>
  <si>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</si>
  <si>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</si>
  <si>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</si>
  <si>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</si>
  <si>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</si>
  <si>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</si>
  <si>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</si>
  <si>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</si>
  <si>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</si>
  <si>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</si>
  <si>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</si>
  <si>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</si>
  <si>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</si>
  <si>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</si>
  <si>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</si>
  <si>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</si>
  <si>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</si>
  <si>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</si>
  <si>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</si>
  <si>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</si>
  <si>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</si>
  <si>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</si>
  <si>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</si>
  <si>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</si>
  <si>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</si>
  <si>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</si>
  <si>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</si>
  <si>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</si>
  <si>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</si>
  <si>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</si>
  <si>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</si>
  <si>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</si>
  <si>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</si>
  <si>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</si>
  <si>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</si>
  <si>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</si>
  <si>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</si>
  <si>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</si>
  <si>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</si>
  <si>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</si>
  <si>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</si>
  <si>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</si>
  <si>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</si>
  <si>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</si>
  <si>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</si>
  <si>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</si>
  <si>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</si>
  <si>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</si>
  <si>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</si>
  <si>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</si>
  <si>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</si>
  <si>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</si>
  <si>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</si>
  <si>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</si>
  <si>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</si>
  <si>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</si>
  <si>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</si>
  <si>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</si>
  <si>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</si>
  <si>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</si>
  <si>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</si>
  <si>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</si>
  <si>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</si>
  <si>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</si>
  <si>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</si>
  <si>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</si>
  <si>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</si>
  <si>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</si>
  <si>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</si>
  <si>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</si>
  <si>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</si>
  <si>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</si>
  <si>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</si>
  <si>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</si>
  <si>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</si>
  <si>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</si>
  <si>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</si>
  <si>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</si>
  <si>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</si>
  <si>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</si>
  <si>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</si>
  <si>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</si>
  <si>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</si>
  <si>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</si>
  <si>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</si>
  <si>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</si>
  <si>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</si>
  <si>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</si>
  <si>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</si>
  <si>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</si>
  <si>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</si>
  <si>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</si>
  <si>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</si>
  <si>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</si>
  <si>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</si>
  <si>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</si>
  <si>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</si>
  <si>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</si>
  <si>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</si>
  <si>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</si>
  <si>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</si>
  <si>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</si>
  <si>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</si>
  <si>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</si>
  <si>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</si>
  <si>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</si>
  <si>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</si>
  <si>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</si>
  <si>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</si>
  <si>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</si>
  <si>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</si>
  <si>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</si>
  <si>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</si>
  <si>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</si>
  <si>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</si>
  <si>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</si>
  <si>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</si>
  <si>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</si>
  <si>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</si>
  <si>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</si>
  <si>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</si>
  <si>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</si>
  <si>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</si>
  <si>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</si>
  <si>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</si>
  <si>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</si>
  <si>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</si>
  <si>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</si>
  <si>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</si>
  <si>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</si>
  <si>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</si>
  <si>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</si>
  <si>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</si>
  <si>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</si>
  <si>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</si>
  <si>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</si>
  <si>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</si>
  <si>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</si>
  <si>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</si>
  <si>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</si>
  <si>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</si>
  <si>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</si>
  <si>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</si>
  <si>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</si>
  <si>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</si>
  <si>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</si>
  <si>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</si>
  <si>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</si>
  <si>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</si>
  <si>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</si>
  <si>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</si>
  <si>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</si>
  <si>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</si>
  <si>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</si>
  <si>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</si>
  <si>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</si>
  <si>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</si>
  <si>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</si>
  <si>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</si>
  <si>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</si>
  <si>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</si>
  <si>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</si>
  <si>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</si>
  <si>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</si>
  <si>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</si>
  <si>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</si>
  <si>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</si>
  <si>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</si>
  <si>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</si>
  <si>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</si>
  <si>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</si>
  <si>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</si>
  <si>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</si>
  <si>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</si>
  <si>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</si>
  <si>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</si>
  <si>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</si>
  <si>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</si>
  <si>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</si>
  <si>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</si>
  <si>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</si>
  <si>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</si>
  <si>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</si>
  <si>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</si>
  <si>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</si>
  <si>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</si>
  <si>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</si>
  <si>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</si>
  <si>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</si>
  <si>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</si>
  <si>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</si>
  <si>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</si>
  <si>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</si>
  <si>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</si>
  <si>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</si>
  <si>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</si>
  <si>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</si>
  <si>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</si>
  <si>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</si>
  <si>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</si>
  <si>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</si>
  <si>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</si>
  <si>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</si>
  <si>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</si>
  <si>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</si>
  <si>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</si>
  <si>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</si>
  <si>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</si>
  <si>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</si>
  <si>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</si>
  <si>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</si>
  <si>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</si>
  <si>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</si>
  <si>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</si>
  <si>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</si>
  <si>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</si>
  <si>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</si>
  <si>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</si>
  <si>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</si>
  <si>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</si>
  <si>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</si>
  <si>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</si>
  <si>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</si>
  <si>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</si>
  <si>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</si>
  <si>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</si>
  <si>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</si>
  <si>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</si>
  <si>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</si>
  <si>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</si>
  <si>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</si>
  <si>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</si>
  <si>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</si>
  <si>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</si>
  <si>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</si>
  <si>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</si>
  <si>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</si>
  <si>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</si>
  <si>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</si>
  <si>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</si>
  <si>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</si>
  <si>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</si>
  <si>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</si>
  <si>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</si>
  <si>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</si>
  <si>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</si>
  <si>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</si>
  <si>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</si>
  <si>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</si>
  <si>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</si>
  <si>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</si>
  <si>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</si>
  <si>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</si>
  <si>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</si>
  <si>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</si>
  <si>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</si>
  <si>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</si>
  <si>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</si>
  <si>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</si>
  <si>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</si>
  <si>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</si>
  <si>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</si>
  <si>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</si>
  <si>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</si>
  <si>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</si>
  <si>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</si>
  <si>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</si>
  <si>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</si>
  <si>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</si>
  <si>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</si>
  <si>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</si>
  <si>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</si>
  <si>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</si>
  <si>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</si>
  <si>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</si>
  <si>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</si>
  <si>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</si>
  <si>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</si>
  <si>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</si>
  <si>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</si>
  <si>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</si>
  <si>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</si>
  <si>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</si>
  <si>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</si>
  <si>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</si>
  <si>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</si>
  <si>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</si>
  <si>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</si>
  <si>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</si>
  <si>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</si>
  <si>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</si>
  <si>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</si>
  <si>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</si>
  <si>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</si>
  <si>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</si>
  <si>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</si>
  <si>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</si>
  <si>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</si>
  <si>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</si>
  <si>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</si>
  <si>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</si>
  <si>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</si>
  <si>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</si>
  <si>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</si>
  <si>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</si>
  <si>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</si>
  <si>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</si>
  <si>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</si>
  <si>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</si>
  <si>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</si>
  <si>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</si>
  <si>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</si>
  <si>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</si>
  <si>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</si>
  <si>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</si>
  <si>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</si>
  <si>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</si>
  <si>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</si>
  <si>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</si>
  <si>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</si>
  <si>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</si>
  <si>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</si>
  <si>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</si>
  <si>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</si>
  <si>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</si>
  <si>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</si>
  <si>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</si>
  <si>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</si>
  <si>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</si>
  <si>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</si>
  <si>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</si>
  <si>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</si>
  <si>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</si>
  <si>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</si>
  <si>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</si>
  <si>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</si>
  <si>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</si>
  <si>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</si>
  <si>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</si>
  <si>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</si>
  <si>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</si>
  <si>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</si>
  <si>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</si>
  <si>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</si>
  <si>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</si>
  <si>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</si>
  <si>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</si>
  <si>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</si>
  <si>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</si>
  <si>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</si>
  <si>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</si>
  <si>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</si>
  <si>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</si>
  <si>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</si>
  <si>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</si>
  <si>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</si>
  <si>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</si>
  <si>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</si>
  <si>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</si>
  <si>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</si>
  <si>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</si>
  <si>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</si>
  <si>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</si>
  <si>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</si>
  <si>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</si>
  <si>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</si>
  <si>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</si>
  <si>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</si>
  <si>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</si>
  <si>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</si>
  <si>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</si>
  <si>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</si>
  <si>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</si>
  <si>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</si>
  <si>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</si>
  <si>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</si>
  <si>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</si>
  <si>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</si>
  <si>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</si>
  <si>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</si>
  <si>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</si>
  <si>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</si>
  <si>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</si>
  <si>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</si>
  <si>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</si>
  <si>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</si>
  <si>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</si>
  <si>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</si>
  <si>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</si>
  <si>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</si>
  <si>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</si>
  <si>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</si>
  <si>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</si>
  <si>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</si>
  <si>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</si>
  <si>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</si>
  <si>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</si>
  <si>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</si>
  <si>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</si>
  <si>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</si>
  <si>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</si>
  <si>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</si>
  <si>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</si>
  <si>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</si>
  <si>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</si>
  <si>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</si>
  <si>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</si>
  <si>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</si>
  <si>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</si>
  <si>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</si>
  <si>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</si>
  <si>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</si>
  <si>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</si>
  <si>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</si>
  <si>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</si>
  <si>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</si>
  <si>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</si>
  <si>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</si>
  <si>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</si>
  <si>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</si>
  <si>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</si>
  <si>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</si>
  <si>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</si>
  <si>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</si>
  <si>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</si>
  <si>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</si>
  <si>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</si>
  <si>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</si>
  <si>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</si>
  <si>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</si>
  <si>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</si>
  <si>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</si>
  <si>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</si>
  <si>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</si>
  <si>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</si>
  <si>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</si>
  <si>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</si>
  <si>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</si>
  <si>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</si>
  <si>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</si>
  <si>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</si>
  <si>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</si>
  <si>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</si>
  <si>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</si>
  <si>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</si>
  <si>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</si>
  <si>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</si>
  <si>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</si>
  <si>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</si>
  <si>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</si>
  <si>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</si>
  <si>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</si>
  <si>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</si>
  <si>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</si>
  <si>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</si>
  <si>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</si>
  <si>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</si>
  <si>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</si>
  <si>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</si>
  <si>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</si>
  <si>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</si>
  <si>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</si>
  <si>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</si>
  <si>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</si>
  <si>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</si>
  <si>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</si>
  <si>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</si>
  <si>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</si>
  <si>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</si>
  <si>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</si>
  <si>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</si>
  <si>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</si>
  <si>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</si>
  <si>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</si>
  <si>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</si>
  <si>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</si>
  <si>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</si>
  <si>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</si>
  <si>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</si>
  <si>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</si>
  <si>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</si>
  <si>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</si>
  <si>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</si>
  <si>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</si>
  <si>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</si>
  <si>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</si>
  <si>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</si>
  <si>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</si>
  <si>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</si>
  <si>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</si>
  <si>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</si>
  <si>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</si>
  <si>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</si>
  <si>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</si>
  <si>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</si>
  <si>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</si>
  <si>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</si>
  <si>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</si>
  <si>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</si>
  <si>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</si>
  <si>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</si>
  <si>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</si>
  <si>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</si>
  <si>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</si>
  <si>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</si>
  <si>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</si>
  <si>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</si>
  <si>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</si>
  <si>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</si>
  <si>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</si>
  <si>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</si>
  <si>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</si>
  <si>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</si>
  <si>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</si>
  <si>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</si>
  <si>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</si>
  <si>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</si>
  <si>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</si>
  <si>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</si>
  <si>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</si>
  <si>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</si>
  <si>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</si>
  <si>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</si>
  <si>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</si>
  <si>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</si>
  <si>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</si>
  <si>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</si>
  <si>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</si>
  <si>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</si>
  <si>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</si>
  <si>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</si>
  <si>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</si>
  <si>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</si>
  <si>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</si>
  <si>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</si>
  <si>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</si>
  <si>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</si>
  <si>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</si>
  <si>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</si>
  <si>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</si>
  <si>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</si>
  <si>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</si>
  <si>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</si>
  <si>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</si>
  <si>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</si>
  <si>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</si>
  <si>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</si>
  <si>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</si>
  <si>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</si>
  <si>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</si>
  <si>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</si>
  <si>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</si>
  <si>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</si>
  <si>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</si>
  <si>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</si>
  <si>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</si>
  <si>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</si>
  <si>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</si>
  <si>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</si>
  <si>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</si>
  <si>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</si>
  <si>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</si>
  <si>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</si>
  <si>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</si>
  <si>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</si>
  <si>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</si>
  <si>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</si>
  <si>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</si>
  <si>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</si>
  <si>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</si>
  <si>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</si>
  <si>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</si>
  <si>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</si>
  <si>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</si>
  <si>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</si>
  <si>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</si>
  <si>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</si>
  <si>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</si>
  <si>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</si>
  <si>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</si>
  <si>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</si>
  <si>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</si>
  <si>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</si>
  <si>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</si>
  <si>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</si>
  <si>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</si>
  <si>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</si>
  <si>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</si>
  <si>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</si>
  <si>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</si>
  <si>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</si>
  <si>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</si>
  <si>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</si>
  <si>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</si>
  <si>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</si>
  <si>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</si>
  <si>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</si>
  <si>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</si>
  <si>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</si>
  <si>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</si>
  <si>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</si>
  <si>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</si>
  <si>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</si>
  <si>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</si>
  <si>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</si>
  <si>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</si>
  <si>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</si>
  <si>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</si>
  <si>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</si>
  <si>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</si>
  <si>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</si>
  <si>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</si>
  <si>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</si>
  <si>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</si>
  <si>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</si>
  <si>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</si>
  <si>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</si>
  <si>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</si>
  <si>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</si>
  <si>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</si>
  <si>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</si>
  <si>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</si>
  <si>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</si>
  <si>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</si>
  <si>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</si>
  <si>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</si>
  <si>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</si>
  <si>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</si>
  <si>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</si>
  <si>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</si>
  <si>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</si>
  <si>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</si>
  <si>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</si>
  <si>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</si>
  <si>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</si>
  <si>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</si>
  <si>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</si>
  <si>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</si>
  <si>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</si>
  <si>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</si>
  <si>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</si>
  <si>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</si>
  <si>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</si>
  <si>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</si>
  <si>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</si>
  <si>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</si>
  <si>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</si>
  <si>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</si>
  <si>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</si>
  <si>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</si>
  <si>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</si>
  <si>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</si>
  <si>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</si>
  <si>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</si>
  <si>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</si>
  <si>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</si>
  <si>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</si>
  <si>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</si>
  <si>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</si>
  <si>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</si>
  <si>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</si>
  <si>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</si>
  <si>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</si>
  <si>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</si>
  <si>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</si>
  <si>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</si>
  <si>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</si>
  <si>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</si>
  <si>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</si>
  <si>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</si>
  <si>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</si>
  <si>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</si>
  <si>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</si>
  <si>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</si>
  <si>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</si>
  <si>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</si>
  <si>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</si>
  <si>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</si>
  <si>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</si>
  <si>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</si>
  <si>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</si>
  <si>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</si>
  <si>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</si>
  <si>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</si>
  <si>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</si>
  <si>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</si>
  <si>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</si>
  <si>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</si>
  <si>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</si>
  <si>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</si>
  <si>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</si>
  <si>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</si>
  <si>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</si>
  <si>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</si>
  <si>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</si>
  <si>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</si>
  <si>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</si>
  <si>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</si>
  <si>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</si>
  <si>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</si>
  <si>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</si>
  <si>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</si>
  <si>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</si>
  <si>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</si>
  <si>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</si>
  <si>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</si>
  <si>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</si>
  <si>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</si>
  <si>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</si>
  <si>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</si>
  <si>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</si>
  <si>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</si>
  <si>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</si>
  <si>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</si>
  <si>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</si>
  <si>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</si>
  <si>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</si>
  <si>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</si>
  <si>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</si>
  <si>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</si>
  <si>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</si>
  <si>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</si>
  <si>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</si>
  <si>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</si>
  <si>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</si>
  <si>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</si>
  <si>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</si>
  <si>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</si>
  <si>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</si>
  <si>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</si>
  <si>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</si>
  <si>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</si>
  <si>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</si>
  <si>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</si>
  <si>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</si>
  <si>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</si>
  <si>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</si>
  <si>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</si>
  <si>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</si>
  <si>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</si>
  <si>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</si>
  <si>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</si>
  <si>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</si>
  <si>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</si>
  <si>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</si>
  <si>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</si>
  <si>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</si>
  <si>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</si>
  <si>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</si>
  <si>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</si>
  <si>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</si>
  <si>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</si>
  <si>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</si>
  <si>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</si>
  <si>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</si>
  <si>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</si>
  <si>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</si>
  <si>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</si>
  <si>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</si>
  <si>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</si>
  <si>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</si>
  <si>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</si>
  <si>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</si>
  <si>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</si>
  <si>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</si>
  <si>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</si>
  <si>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</si>
  <si>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</si>
  <si>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</si>
  <si>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</si>
  <si>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</si>
  <si>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</si>
  <si>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</si>
  <si>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</si>
  <si>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</si>
  <si>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</si>
  <si>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</si>
  <si>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</si>
  <si>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</si>
  <si>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</si>
  <si>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</si>
  <si>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</si>
  <si>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</si>
  <si>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</si>
  <si>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</si>
  <si>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</si>
  <si>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</si>
  <si>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</si>
  <si>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</si>
  <si>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</si>
  <si>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</si>
  <si>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</si>
  <si>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</si>
  <si>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</si>
  <si>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</si>
  <si>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</si>
  <si>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</si>
  <si>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</si>
  <si>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</si>
  <si>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</si>
  <si>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</si>
  <si>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</si>
  <si>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</si>
  <si>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</si>
  <si>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</si>
  <si>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</si>
  <si>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</si>
  <si>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</si>
  <si>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</si>
  <si>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</si>
  <si>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</si>
  <si>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</si>
  <si>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</si>
  <si>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</si>
  <si>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</si>
  <si>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</si>
  <si>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</si>
  <si>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</si>
  <si>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</si>
  <si>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</si>
  <si>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</si>
  <si>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</si>
  <si>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</si>
  <si>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</si>
  <si>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</si>
  <si>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</si>
  <si>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</si>
  <si>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</si>
  <si>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</si>
  <si>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</si>
  <si>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</si>
  <si>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</si>
  <si>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</si>
  <si>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</si>
  <si>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</si>
  <si>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</si>
  <si>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</si>
  <si>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</si>
  <si>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</si>
  <si>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</si>
  <si>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</si>
  <si>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</si>
  <si>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</si>
  <si>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</si>
  <si>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</si>
  <si>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</si>
  <si>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</si>
  <si>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</si>
  <si>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</si>
  <si>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</si>
  <si>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</si>
  <si>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</si>
  <si>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</si>
  <si>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</si>
  <si>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</si>
  <si>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</si>
  <si>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</si>
  <si>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</si>
  <si>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</si>
  <si>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</si>
  <si>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</si>
  <si>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</si>
  <si>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</si>
  <si>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</si>
  <si>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</si>
  <si>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</si>
  <si>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</si>
  <si>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</si>
  <si>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</si>
  <si>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</si>
  <si>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</si>
  <si>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</si>
  <si>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</si>
  <si>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</si>
  <si>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</si>
  <si>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</si>
  <si>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</si>
  <si>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</si>
  <si>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</si>
  <si>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</si>
  <si>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</si>
  <si>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</si>
  <si>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</si>
  <si>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</si>
  <si>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</si>
  <si>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</si>
  <si>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</si>
  <si>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</si>
  <si>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</si>
  <si>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</si>
  <si>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</si>
  <si>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</si>
  <si>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</si>
  <si>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</si>
  <si>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</si>
  <si>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</si>
  <si>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</si>
  <si>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</si>
  <si>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</si>
  <si>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</si>
  <si>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</si>
  <si>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</si>
  <si>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</si>
  <si>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</si>
  <si>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</si>
  <si>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</si>
  <si>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</si>
  <si>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</si>
  <si>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</si>
  <si>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</si>
  <si>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</si>
  <si>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</si>
  <si>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</si>
  <si>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</si>
  <si>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</si>
  <si>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</si>
  <si>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</si>
  <si>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</si>
  <si>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</si>
  <si>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</si>
  <si>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</si>
  <si>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</si>
  <si>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</si>
  <si>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</si>
  <si>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</si>
  <si>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</si>
  <si>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</si>
  <si>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</si>
  <si>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</si>
  <si>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</si>
  <si>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</si>
  <si>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</si>
  <si>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</si>
  <si>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</si>
  <si>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</si>
  <si>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</si>
  <si>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</si>
  <si>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</si>
  <si>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</si>
  <si>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</si>
  <si>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</si>
  <si>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</si>
  <si>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</si>
  <si>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</si>
  <si>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</si>
  <si>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</si>
  <si>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</si>
  <si>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</si>
  <si>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</si>
  <si>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</si>
  <si>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</si>
  <si>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</si>
  <si>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</si>
  <si>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</si>
  <si>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</si>
  <si>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</si>
  <si>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</si>
  <si>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</si>
  <si>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</si>
  <si>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</si>
  <si>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</si>
  <si>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</si>
  <si>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</si>
  <si>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</si>
  <si>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</si>
  <si>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</si>
  <si>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</si>
  <si>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</si>
  <si>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</si>
  <si>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</si>
  <si>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</si>
  <si>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</si>
  <si>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</si>
  <si>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</si>
  <si>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</si>
  <si>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</si>
  <si>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</si>
  <si>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</si>
  <si>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</si>
  <si>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</si>
  <si>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</si>
  <si>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</si>
  <si>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</si>
  <si>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</si>
  <si>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</si>
  <si>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</si>
  <si>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</si>
  <si>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</si>
  <si>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</si>
  <si>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</si>
  <si>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</si>
  <si>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</si>
  <si>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</si>
  <si>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</si>
  <si>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</si>
  <si>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</si>
  <si>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</si>
  <si>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</si>
  <si>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</si>
  <si>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</si>
  <si>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</si>
  <si>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</si>
  <si>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</si>
  <si>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</si>
  <si>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</si>
  <si>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</si>
  <si>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</si>
  <si>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</si>
  <si>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</si>
  <si>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</si>
  <si>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</si>
  <si>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</si>
  <si>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</si>
  <si>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</si>
  <si>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</si>
  <si>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</si>
  <si>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</si>
  <si>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</si>
  <si>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</si>
  <si>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</si>
  <si>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</si>
  <si>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</si>
  <si>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</si>
  <si>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</si>
  <si>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</si>
  <si>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</si>
  <si>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</si>
  <si>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</si>
  <si>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</si>
  <si>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</si>
  <si>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</si>
  <si>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</si>
  <si>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</si>
  <si>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</si>
  <si>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</si>
  <si>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</si>
  <si>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</si>
  <si>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</si>
  <si>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</si>
  <si>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</si>
  <si>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</si>
  <si>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</si>
  <si>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</si>
  <si>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</si>
  <si>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</si>
  <si>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</si>
  <si>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</si>
  <si>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</si>
  <si>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</si>
  <si>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</si>
  <si>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</si>
  <si>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</si>
  <si>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</si>
  <si>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</si>
  <si>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</si>
  <si>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</si>
  <si>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</si>
  <si>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</si>
  <si>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</si>
  <si>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</si>
  <si>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</si>
  <si>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</si>
  <si>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</si>
  <si>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</si>
  <si>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</si>
  <si>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</si>
  <si>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</si>
  <si>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</si>
  <si>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</si>
  <si>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</si>
  <si>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</si>
  <si>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</si>
  <si>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</si>
  <si>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</si>
  <si>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</si>
  <si>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</si>
  <si>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</si>
  <si>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</si>
  <si>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</si>
  <si>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</si>
  <si>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</si>
  <si>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</si>
  <si>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</si>
  <si>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</si>
  <si>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</si>
  <si>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</si>
  <si>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</si>
  <si>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</si>
  <si>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</si>
  <si>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</si>
  <si>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</si>
  <si>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</si>
  <si>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</si>
  <si>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</si>
  <si>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</si>
  <si>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</si>
  <si>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</si>
  <si>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</si>
  <si>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</si>
  <si>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</si>
  <si>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</si>
  <si>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</si>
  <si>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</si>
  <si>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</si>
  <si>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</si>
  <si>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</si>
  <si>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</si>
  <si>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</si>
  <si>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</si>
  <si>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</si>
  <si>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</si>
  <si>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</si>
  <si>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</si>
  <si>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</si>
  <si>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</si>
  <si>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</si>
  <si>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</si>
  <si>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</si>
  <si>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</si>
  <si>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</si>
  <si>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</si>
  <si>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</si>
  <si>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</si>
  <si>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</si>
  <si>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</si>
  <si>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</si>
  <si>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</si>
  <si>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</si>
  <si>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</si>
  <si>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</si>
  <si>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</si>
  <si>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</si>
  <si>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</si>
  <si>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</si>
  <si>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</si>
  <si>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</si>
  <si>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</si>
  <si>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</si>
  <si>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</si>
  <si>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</si>
  <si>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</si>
  <si>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</si>
  <si>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</si>
  <si>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</si>
  <si>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</si>
  <si>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</si>
  <si>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</si>
  <si>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</si>
  <si>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</si>
  <si>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</si>
  <si>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</si>
  <si>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</si>
  <si>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</si>
  <si>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</si>
  <si>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</si>
  <si>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</si>
  <si>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</si>
  <si>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</si>
  <si>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</si>
  <si>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</si>
  <si>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</si>
  <si>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</si>
  <si>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</si>
  <si>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</si>
  <si>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</si>
  <si>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</si>
  <si>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</si>
  <si>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</si>
  <si>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</si>
  <si>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</si>
  <si>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</si>
  <si>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</si>
  <si>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</si>
  <si>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</si>
  <si>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</si>
  <si>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</si>
  <si>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</si>
  <si>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</si>
  <si>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</si>
  <si>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</si>
  <si>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</si>
  <si>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</si>
  <si>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</si>
  <si>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</si>
  <si>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</si>
  <si>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</si>
  <si>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</si>
  <si>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</si>
  <si>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</si>
  <si>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</si>
  <si>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</si>
  <si>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</si>
  <si>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</si>
  <si>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</si>
  <si>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</si>
  <si>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</si>
  <si>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</si>
  <si>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</si>
  <si>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</si>
  <si>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</si>
  <si>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</si>
  <si>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</si>
  <si>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</si>
  <si>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</si>
  <si>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</si>
  <si>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</si>
  <si>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</si>
  <si>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</si>
  <si>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</si>
  <si>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</si>
  <si>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</si>
  <si>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</si>
  <si>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</si>
  <si>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</si>
  <si>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</si>
  <si>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</si>
  <si>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</si>
  <si>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</si>
  <si>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</si>
  <si>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</si>
  <si>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</si>
  <si>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</si>
  <si>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</si>
  <si>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</si>
  <si>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</si>
  <si>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</si>
  <si>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</si>
  <si>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</si>
  <si>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</si>
  <si>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</si>
  <si>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</si>
  <si>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</si>
  <si>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</si>
  <si>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</si>
  <si>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</si>
  <si>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</si>
  <si>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</si>
  <si>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</si>
  <si>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</si>
  <si>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</si>
  <si>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</si>
  <si>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</si>
  <si>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</si>
  <si>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</si>
  <si>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</si>
  <si>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</si>
  <si>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</si>
  <si>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</si>
  <si>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</si>
  <si>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</si>
  <si>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</si>
  <si>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</si>
  <si>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</si>
  <si>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</si>
  <si>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</si>
  <si>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</si>
  <si>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</si>
  <si>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</si>
  <si>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</si>
  <si>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</si>
  <si>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</si>
  <si>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</si>
  <si>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</si>
  <si>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</si>
  <si>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</si>
  <si>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</si>
  <si>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</si>
  <si>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</si>
  <si>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</si>
  <si>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</si>
  <si>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</si>
  <si>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</si>
  <si>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</si>
  <si>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</si>
  <si>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</si>
  <si>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</si>
  <si>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</si>
  <si>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</si>
  <si>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</si>
  <si>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</si>
  <si>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</si>
  <si>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</si>
  <si>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</si>
  <si>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</si>
  <si>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</si>
  <si>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</si>
  <si>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</si>
  <si>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</si>
  <si>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</si>
  <si>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</si>
  <si>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</si>
  <si>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</si>
  <si>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</si>
  <si>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</si>
  <si>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</si>
  <si>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</si>
  <si>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</si>
  <si>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</si>
  <si>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</si>
  <si>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</si>
  <si>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</si>
  <si>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</si>
  <si>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</si>
  <si>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</si>
  <si>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</si>
  <si>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</si>
  <si>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</si>
  <si>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</si>
  <si>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</si>
  <si>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</si>
  <si>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</si>
  <si>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</si>
  <si>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</si>
  <si>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</si>
  <si>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</si>
  <si>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</si>
  <si>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</si>
  <si>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</si>
  <si>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</si>
  <si>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</si>
  <si>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</si>
  <si>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</si>
  <si>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</si>
  <si>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</si>
  <si>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</si>
  <si>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</si>
  <si>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</si>
  <si>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</si>
  <si>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</si>
  <si>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</si>
  <si>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</si>
  <si>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</si>
  <si>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</si>
  <si>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</si>
  <si>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</si>
  <si>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</si>
  <si>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</si>
  <si>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</si>
  <si>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</si>
  <si>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</si>
  <si>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</si>
  <si>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</si>
  <si>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</si>
  <si>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</si>
  <si>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</si>
  <si>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</si>
  <si>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</si>
  <si>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</si>
  <si>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</si>
  <si>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</si>
  <si>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</si>
  <si>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</si>
  <si>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</si>
  <si>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</si>
  <si>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</si>
  <si>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</si>
  <si>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</si>
  <si>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</si>
  <si>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</si>
  <si>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</si>
  <si>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</si>
  <si>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</si>
  <si>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</si>
  <si>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</si>
  <si>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</si>
  <si>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</si>
  <si>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</si>
  <si>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</si>
  <si>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</si>
  <si>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</si>
  <si>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</si>
  <si>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</si>
  <si>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</si>
  <si>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</si>
  <si>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</si>
  <si>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</si>
  <si>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</si>
  <si>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</si>
  <si>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</si>
  <si>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</si>
  <si>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</si>
  <si>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</si>
  <si>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</si>
  <si>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</si>
  <si>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</si>
  <si>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</si>
  <si>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</si>
  <si>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</si>
  <si>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</si>
  <si>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</si>
  <si>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</si>
  <si>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</si>
  <si>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</si>
  <si>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</si>
  <si>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</si>
  <si>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</si>
  <si>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</si>
  <si>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</si>
  <si>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</si>
  <si>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</si>
  <si>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</si>
  <si>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</si>
  <si>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</si>
  <si>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</si>
  <si>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</si>
  <si>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</si>
  <si>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</si>
  <si>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</si>
  <si>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</si>
  <si>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</si>
  <si>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</si>
  <si>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</si>
  <si>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</si>
  <si>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</si>
  <si>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</si>
  <si>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</si>
  <si>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</si>
  <si>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</si>
  <si>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</si>
  <si>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</si>
  <si>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</si>
  <si>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</si>
  <si>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</si>
  <si>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</si>
  <si>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</si>
  <si>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</si>
  <si>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</si>
  <si>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</si>
  <si>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</si>
  <si>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</si>
  <si>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</si>
  <si>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</si>
  <si>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</si>
  <si>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</si>
  <si>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</si>
  <si>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</si>
  <si>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</si>
  <si>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</si>
  <si>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</si>
  <si>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</si>
  <si>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</si>
  <si>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</si>
  <si>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</si>
  <si>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</si>
  <si>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</si>
  <si>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</si>
  <si>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</si>
  <si>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</si>
  <si>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</si>
  <si>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</si>
  <si>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</si>
  <si>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</si>
  <si>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</si>
  <si>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</si>
  <si>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</si>
  <si>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</si>
  <si>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</si>
  <si>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</si>
  <si>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</si>
  <si>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</si>
  <si>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</si>
  <si>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</si>
  <si>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</si>
  <si>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</si>
  <si>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</si>
  <si>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</si>
  <si>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</si>
  <si>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</si>
  <si>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</si>
  <si>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</si>
  <si>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</si>
  <si>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</si>
  <si>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</si>
  <si>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</si>
  <si>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</si>
  <si>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</si>
  <si>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</si>
  <si>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</si>
  <si>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</si>
  <si>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</si>
  <si>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</si>
  <si>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</si>
  <si>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</si>
  <si>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</si>
  <si>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</si>
  <si>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</si>
  <si>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</si>
  <si>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</si>
  <si>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</si>
  <si>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</si>
  <si>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</si>
  <si>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</si>
  <si>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</si>
  <si>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</si>
  <si>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</si>
  <si>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</si>
  <si>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</si>
  <si>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</si>
  <si>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</si>
  <si>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</si>
  <si>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</si>
  <si>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</si>
  <si>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</si>
  <si>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</si>
  <si>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</si>
  <si>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</si>
  <si>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</si>
  <si>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</si>
  <si>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</si>
  <si>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</si>
  <si>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</si>
  <si>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</si>
  <si>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</si>
  <si>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</si>
  <si>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</si>
  <si>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</si>
  <si>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</si>
  <si>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</si>
  <si>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</si>
  <si>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</si>
  <si>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</si>
  <si>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</si>
  <si>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</si>
  <si>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</si>
  <si>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</si>
  <si>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</si>
  <si>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</si>
  <si>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</si>
  <si>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</si>
  <si>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</si>
  <si>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</si>
  <si>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</si>
  <si>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</si>
  <si>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</si>
  <si>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</si>
  <si>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</si>
  <si>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</si>
  <si>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</si>
  <si>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</si>
  <si>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</si>
  <si>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</si>
  <si>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</si>
  <si>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</si>
  <si>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</si>
  <si>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</si>
  <si>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</si>
  <si>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</si>
  <si>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</si>
  <si>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</si>
  <si>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</si>
  <si>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</si>
  <si>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</si>
  <si>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</si>
  <si>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</si>
  <si>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</si>
  <si>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</si>
  <si>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</si>
  <si>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</si>
  <si>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</si>
  <si>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</si>
  <si>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</si>
  <si>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</si>
  <si>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</si>
  <si>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</si>
  <si>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</si>
  <si>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</si>
  <si>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</si>
  <si>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</si>
  <si>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</si>
  <si>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</si>
  <si>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</si>
  <si>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</si>
  <si>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</si>
  <si>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</si>
  <si>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</si>
  <si>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</si>
  <si>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</si>
  <si>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</si>
  <si>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</si>
  <si>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</si>
  <si>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</si>
  <si>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</si>
  <si>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</si>
  <si>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</si>
  <si>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</si>
  <si>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</si>
  <si>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</si>
  <si>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</si>
  <si>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</si>
  <si>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</si>
  <si>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</si>
  <si>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</si>
  <si>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</si>
  <si>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</si>
  <si>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</si>
  <si>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</si>
  <si>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</si>
  <si>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</si>
  <si>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</si>
  <si>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</si>
  <si>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</si>
  <si>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</si>
  <si>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</si>
  <si>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</si>
  <si>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</si>
  <si>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</si>
  <si>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</si>
  <si>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</si>
  <si>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</si>
  <si>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</si>
  <si>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</si>
  <si>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</si>
  <si>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</si>
  <si>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</si>
  <si>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</si>
  <si>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</si>
  <si>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</si>
  <si>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</si>
  <si>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</si>
  <si>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</si>
  <si>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</si>
  <si>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</si>
  <si>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</si>
  <si>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</si>
  <si>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</si>
  <si>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</si>
  <si>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</si>
  <si>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</si>
  <si>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</si>
  <si>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</si>
  <si>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</si>
  <si>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</si>
  <si>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</si>
  <si>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</si>
  <si>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</si>
  <si>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</si>
  <si>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</si>
  <si>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</si>
  <si>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</si>
  <si>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</si>
  <si>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</si>
  <si>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</si>
  <si>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</si>
  <si>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</si>
  <si>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</si>
  <si>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</si>
  <si>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</si>
  <si>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</si>
  <si>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</si>
  <si>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</si>
  <si>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</si>
  <si>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</si>
  <si>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</si>
  <si>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</si>
  <si>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</si>
  <si>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</si>
  <si>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</si>
  <si>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</si>
  <si>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</si>
  <si>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</si>
  <si>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</si>
  <si>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</si>
  <si>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</si>
  <si>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</si>
  <si>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</si>
  <si>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</si>
  <si>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</si>
  <si>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</si>
  <si>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</si>
  <si>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</si>
  <si>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</si>
  <si>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</si>
  <si>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</si>
  <si>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</si>
  <si>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</si>
  <si>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</si>
  <si>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</si>
  <si>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</si>
  <si>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</si>
  <si>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</si>
  <si>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</si>
  <si>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</si>
  <si>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</si>
  <si>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</si>
  <si>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</si>
  <si>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</si>
  <si>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</si>
  <si>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</si>
  <si>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</si>
  <si>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</si>
  <si>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</si>
  <si>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</si>
  <si>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</si>
  <si>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</si>
  <si>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</si>
  <si>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</si>
  <si>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</si>
  <si>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</si>
  <si>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</si>
  <si>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</si>
  <si>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</si>
  <si>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</si>
  <si>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</si>
  <si>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</si>
  <si>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</si>
  <si>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</si>
  <si>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</si>
  <si>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</si>
  <si>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</si>
  <si>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</si>
  <si>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</si>
  <si>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</si>
  <si>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</si>
  <si>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</si>
  <si>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</si>
  <si>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</si>
  <si>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</si>
  <si>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</si>
  <si>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</si>
  <si>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</si>
  <si>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</si>
  <si>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</si>
  <si>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</si>
  <si>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</si>
  <si>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</si>
  <si>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</si>
  <si>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</si>
  <si>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</si>
  <si>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</si>
  <si>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</si>
  <si>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</si>
  <si>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</si>
  <si>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</si>
  <si>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</si>
  <si>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</si>
  <si>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</si>
  <si>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</si>
  <si>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</si>
  <si>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</si>
  <si>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</si>
  <si>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</si>
  <si>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</si>
  <si>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</si>
  <si>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</si>
  <si>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</si>
  <si>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</si>
  <si>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</si>
  <si>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</si>
  <si>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</si>
  <si>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</si>
  <si>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</si>
  <si>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</si>
  <si>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</si>
  <si>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</si>
  <si>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</si>
  <si>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</si>
  <si>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</si>
  <si>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</si>
  <si>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</si>
  <si>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</si>
  <si>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</si>
  <si>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</si>
  <si>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</si>
  <si>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</si>
  <si>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</si>
  <si>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</si>
  <si>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</si>
  <si>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</si>
  <si>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</si>
  <si>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</si>
  <si>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</si>
  <si>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</si>
  <si>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</si>
  <si>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</si>
  <si>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</si>
  <si>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</si>
  <si>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</si>
  <si>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</si>
  <si>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</si>
  <si>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</si>
  <si>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</si>
  <si>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</si>
  <si>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</si>
  <si>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</si>
  <si>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</si>
  <si>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</si>
  <si>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</si>
  <si>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</si>
  <si>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</si>
  <si>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</si>
  <si>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</si>
  <si>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</si>
  <si>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</si>
  <si>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</si>
  <si>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</si>
  <si>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</si>
  <si>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</si>
  <si>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</si>
  <si>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</si>
  <si>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</si>
  <si>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</si>
  <si>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</si>
  <si>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</si>
  <si>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</si>
  <si>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</si>
  <si>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</si>
  <si>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</si>
  <si>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</si>
  <si>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</si>
  <si>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</si>
  <si>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</si>
  <si>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</si>
  <si>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</si>
  <si>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</si>
  <si>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</si>
  <si>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</si>
  <si>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</si>
  <si>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</si>
  <si>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</si>
  <si>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</si>
  <si>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</si>
  <si>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</si>
  <si>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</si>
  <si>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</si>
  <si>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</si>
  <si>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</si>
  <si>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</si>
  <si>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</si>
  <si>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</si>
  <si>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</si>
  <si>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</si>
  <si>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</si>
  <si>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</si>
  <si>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</si>
  <si>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</si>
  <si>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</si>
  <si>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</si>
  <si>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</si>
  <si>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</si>
  <si>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</si>
  <si>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</si>
  <si>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</si>
  <si>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</si>
  <si>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</si>
  <si>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</si>
  <si>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</si>
  <si>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</si>
  <si>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</si>
  <si>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</si>
  <si>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</si>
  <si>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</si>
  <si>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</si>
  <si>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</si>
  <si>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</si>
  <si>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</si>
  <si>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</si>
  <si>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</si>
  <si>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</si>
  <si>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</si>
  <si>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</si>
  <si>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</si>
  <si>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</si>
  <si>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</si>
  <si>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</si>
  <si>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</si>
  <si>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</si>
  <si>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</si>
  <si>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</si>
  <si>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</si>
  <si>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</si>
  <si>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</si>
  <si>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</si>
  <si>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</si>
  <si>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</si>
  <si>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</si>
  <si>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</si>
  <si>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</si>
  <si>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</si>
  <si>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</si>
  <si>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</si>
  <si>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</si>
  <si>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</si>
  <si>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</si>
  <si>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</si>
  <si>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</si>
  <si>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</si>
  <si>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</si>
  <si>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</si>
  <si>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</si>
  <si>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</si>
  <si>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</si>
  <si>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</si>
  <si>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</si>
  <si>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</si>
  <si>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</si>
  <si>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</si>
  <si>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</si>
  <si>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</si>
  <si>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</si>
  <si>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</si>
  <si>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</si>
  <si>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</si>
  <si>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</si>
  <si>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</si>
  <si>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</si>
  <si>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</si>
  <si>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</si>
  <si>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</si>
  <si>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</si>
  <si>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</si>
  <si>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</si>
  <si>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</si>
  <si>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</si>
  <si>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</si>
  <si>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</si>
  <si>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</si>
  <si>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</si>
  <si>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</si>
  <si>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</si>
  <si>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</si>
  <si>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</si>
  <si>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</si>
  <si>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</si>
  <si>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</si>
  <si>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</si>
  <si>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</si>
  <si>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</si>
  <si>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</si>
  <si>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</si>
  <si>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</si>
  <si>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</si>
  <si>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</si>
  <si>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</si>
  <si>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</si>
  <si>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</si>
  <si>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</si>
  <si>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</si>
  <si>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</si>
  <si>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</si>
  <si>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</si>
  <si>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</si>
  <si>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</si>
  <si>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</si>
  <si>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</si>
  <si>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</si>
  <si>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</si>
  <si>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</si>
  <si>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</si>
  <si>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</si>
  <si>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</si>
  <si>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</si>
  <si>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</si>
  <si>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</si>
  <si>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</si>
  <si>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</si>
  <si>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</si>
  <si>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</si>
  <si>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</si>
  <si>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</si>
  <si>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</si>
  <si>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</si>
  <si>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</si>
  <si>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</si>
  <si>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</si>
  <si>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</si>
  <si>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</si>
  <si>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</si>
  <si>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</si>
  <si>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</si>
  <si>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</si>
  <si>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</si>
  <si>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</si>
  <si>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</si>
  <si>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</si>
  <si>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</si>
  <si>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</si>
  <si>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</si>
  <si>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</si>
  <si>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</si>
  <si>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</si>
  <si>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</si>
  <si>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</si>
  <si>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</si>
  <si>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</si>
  <si>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</si>
  <si>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</si>
  <si>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</si>
  <si>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</si>
  <si>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</si>
  <si>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</si>
  <si>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</si>
  <si>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</si>
  <si>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</si>
  <si>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</si>
  <si>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</si>
  <si>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</si>
  <si>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</si>
  <si>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</si>
  <si>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</si>
  <si>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</si>
  <si>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</si>
  <si>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</si>
  <si>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</si>
  <si>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</si>
  <si>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</si>
  <si>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</si>
  <si>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</si>
  <si>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</si>
  <si>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</si>
  <si>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</si>
  <si>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</si>
  <si>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</si>
  <si>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</si>
  <si>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</si>
  <si>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</si>
  <si>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</si>
  <si>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</si>
  <si>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</si>
  <si>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</si>
  <si>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</si>
  <si>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</si>
  <si>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</si>
  <si>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</si>
  <si>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</si>
  <si>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</si>
  <si>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</si>
  <si>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</si>
  <si>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</si>
  <si>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</si>
  <si>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</si>
  <si>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</si>
  <si>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</si>
  <si>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</si>
  <si>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</si>
  <si>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</si>
  <si>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</si>
  <si>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</si>
  <si>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</si>
  <si>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</si>
  <si>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</si>
  <si>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</si>
  <si>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</si>
  <si>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</si>
  <si>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</si>
  <si>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</si>
  <si>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</si>
  <si>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</si>
  <si>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</si>
  <si>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</si>
  <si>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</si>
  <si>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</si>
  <si>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</si>
  <si>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</si>
  <si>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</si>
  <si>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</si>
  <si>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</si>
  <si>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</si>
  <si>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</si>
  <si>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</si>
  <si>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</si>
  <si>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</si>
  <si>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</si>
  <si>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</si>
  <si>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</si>
  <si>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</si>
  <si>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</si>
  <si>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</si>
  <si>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</si>
  <si>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</si>
  <si>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</si>
  <si>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</si>
  <si>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</si>
  <si>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</si>
  <si>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</si>
  <si>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</si>
  <si>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</si>
  <si>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</si>
  <si>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</si>
  <si>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</si>
  <si>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</si>
  <si>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</si>
  <si>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</si>
  <si>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</si>
  <si>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</si>
  <si>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</si>
  <si>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</si>
  <si>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</si>
  <si>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</si>
  <si>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</si>
  <si>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</si>
  <si>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</si>
  <si>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</si>
  <si>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</si>
  <si>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</si>
  <si>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</si>
  <si>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</si>
  <si>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</si>
  <si>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</si>
  <si>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</si>
  <si>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</si>
  <si>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</si>
  <si>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</si>
  <si>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</si>
  <si>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</si>
  <si>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</si>
  <si>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</si>
  <si>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</si>
  <si>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</si>
  <si>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</si>
  <si>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</si>
  <si>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</si>
  <si>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</si>
  <si>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</si>
  <si>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</si>
  <si>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</si>
  <si>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</si>
  <si>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</si>
  <si>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</si>
  <si>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</si>
  <si>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</si>
  <si>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</si>
  <si>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</si>
  <si>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</si>
  <si>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</si>
  <si>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</si>
  <si>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</si>
  <si>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</si>
  <si>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</si>
  <si>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</si>
  <si>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</si>
  <si>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</si>
  <si>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</si>
  <si>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</si>
  <si>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</si>
  <si>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</si>
  <si>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</si>
  <si>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</si>
  <si>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</si>
  <si>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</si>
  <si>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</si>
  <si>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</si>
  <si>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</si>
  <si>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</si>
  <si>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</si>
  <si>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</si>
  <si>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</si>
  <si>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</si>
  <si>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</si>
  <si>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</si>
  <si>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</si>
  <si>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</si>
  <si>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</si>
  <si>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</si>
  <si>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</si>
  <si>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</si>
  <si>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</si>
  <si>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</si>
  <si>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</si>
  <si>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</si>
  <si>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</si>
  <si>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</si>
  <si>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</si>
  <si>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</si>
  <si>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</si>
  <si>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</si>
  <si>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</si>
  <si>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</si>
  <si>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</si>
  <si>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</si>
  <si>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</si>
  <si>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</si>
  <si>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</si>
  <si>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</si>
  <si>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</si>
  <si>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</si>
  <si>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</si>
  <si>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</si>
  <si>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</si>
  <si>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</si>
  <si>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</si>
  <si>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</si>
  <si>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</si>
  <si>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</si>
  <si>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</si>
  <si>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</si>
  <si>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</si>
  <si>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</si>
  <si>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</si>
  <si>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</si>
  <si>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</si>
  <si>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</si>
  <si>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</si>
  <si>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</si>
  <si>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</si>
  <si>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</si>
  <si>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</si>
  <si>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</si>
  <si>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</si>
  <si>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</si>
  <si>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</si>
  <si>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</si>
  <si>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</si>
  <si>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</si>
  <si>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</si>
  <si>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</si>
  <si>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</si>
  <si>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</si>
  <si>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</si>
  <si>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</si>
  <si>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</si>
  <si>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</si>
  <si>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</si>
  <si>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</si>
  <si>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</si>
  <si>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</si>
  <si>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</si>
  <si>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</si>
  <si>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</si>
  <si>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</si>
  <si>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</si>
  <si>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</si>
  <si>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</si>
  <si>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</si>
  <si>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</si>
  <si>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</si>
  <si>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</si>
  <si>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</si>
  <si>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</si>
  <si>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</si>
  <si>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</si>
  <si>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</si>
  <si>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</si>
  <si>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</si>
  <si>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</si>
  <si>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</si>
  <si>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</si>
  <si>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</si>
  <si>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</si>
  <si>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</si>
  <si>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</si>
  <si>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</si>
  <si>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</si>
  <si>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</si>
  <si>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</si>
  <si>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</si>
  <si>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</si>
  <si>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</si>
  <si>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</si>
  <si>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</si>
  <si>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</si>
  <si>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</si>
  <si>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</si>
  <si>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</si>
  <si>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</si>
  <si>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</si>
  <si>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</si>
  <si>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</si>
  <si>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</si>
  <si>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</si>
  <si>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</si>
  <si>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</si>
  <si>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</si>
  <si>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</si>
  <si>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</si>
  <si>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</si>
  <si>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</si>
  <si>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</si>
  <si>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</si>
  <si>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</si>
  <si>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</si>
  <si>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</si>
  <si>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</si>
  <si>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</si>
  <si>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</si>
  <si>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</si>
  <si>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</si>
  <si>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</si>
  <si>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</si>
  <si>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</si>
  <si>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</si>
  <si>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</si>
  <si>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</si>
  <si>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</si>
  <si>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</si>
  <si>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</si>
  <si>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</si>
  <si>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</si>
  <si>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</si>
  <si>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</si>
  <si>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</si>
  <si>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</si>
  <si>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</si>
  <si>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</si>
  <si>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</si>
  <si>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</si>
  <si>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</si>
  <si>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</si>
  <si>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</si>
  <si>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</si>
  <si>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</si>
  <si>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</si>
  <si>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</si>
  <si>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</si>
  <si>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</si>
  <si>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</si>
  <si>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</si>
  <si>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</si>
  <si>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</si>
  <si>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</si>
  <si>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</si>
  <si>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</si>
  <si>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</si>
  <si>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</si>
  <si>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</si>
  <si>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</si>
  <si>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</si>
  <si>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</si>
  <si>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</si>
  <si>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</si>
  <si>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</si>
  <si>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</si>
  <si>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</si>
  <si>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</si>
  <si>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</si>
  <si>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</si>
  <si>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</si>
  <si>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</si>
  <si>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</si>
  <si>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</si>
  <si>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</si>
  <si>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</si>
  <si>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</si>
  <si>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</si>
  <si>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</si>
  <si>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</si>
  <si>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</si>
  <si>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</si>
  <si>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</si>
  <si>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</si>
  <si>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</si>
  <si>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</si>
  <si>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</si>
  <si>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</si>
  <si>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</si>
  <si>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</si>
  <si>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</si>
  <si>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</si>
  <si>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</si>
  <si>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</si>
  <si>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</si>
  <si>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</si>
  <si>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</si>
  <si>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</si>
  <si>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</si>
  <si>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</si>
  <si>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</si>
  <si>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</si>
  <si>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</si>
  <si>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</si>
  <si>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</si>
  <si>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</si>
  <si>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</si>
  <si>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</si>
  <si>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</si>
  <si>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</si>
  <si>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</si>
  <si>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</si>
  <si>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</si>
  <si>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</si>
  <si>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</si>
  <si>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</si>
  <si>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</si>
  <si>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</si>
  <si>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</si>
  <si>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</si>
  <si>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</si>
  <si>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</si>
  <si>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</si>
  <si>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</si>
  <si>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</si>
  <si>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</si>
  <si>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</si>
  <si>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</si>
  <si>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</si>
  <si>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</si>
  <si>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</si>
  <si>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</si>
  <si>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</si>
  <si>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</si>
  <si>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</si>
  <si>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</si>
  <si>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</si>
  <si>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</si>
  <si>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</si>
  <si>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</si>
  <si>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</si>
  <si>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</si>
  <si>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</si>
  <si>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</si>
  <si>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</si>
  <si>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</si>
  <si>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</si>
  <si>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</si>
  <si>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</si>
  <si>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</si>
  <si>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</si>
  <si>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</si>
  <si>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</si>
  <si>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</si>
  <si>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</si>
  <si>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</si>
  <si>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</si>
  <si>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</si>
  <si>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</si>
  <si>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</si>
  <si>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</si>
  <si>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</si>
  <si>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</si>
  <si>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</si>
  <si>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</si>
  <si>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</si>
  <si>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</si>
  <si>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</si>
  <si>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</si>
  <si>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</si>
  <si>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</si>
  <si>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</si>
  <si>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</si>
  <si>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</si>
  <si>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</si>
  <si>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</si>
  <si>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</si>
  <si>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</si>
  <si>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</si>
  <si>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</si>
  <si>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</si>
  <si>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</si>
  <si>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</si>
  <si>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</si>
  <si>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</si>
  <si>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</si>
  <si>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</si>
  <si>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</si>
  <si>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</si>
  <si>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</si>
  <si>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</si>
  <si>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</si>
  <si>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</si>
  <si>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</si>
  <si>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</si>
  <si>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</si>
  <si>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</si>
  <si>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</si>
  <si>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</si>
  <si>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</si>
  <si>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</si>
  <si>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</si>
  <si>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</si>
  <si>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</si>
  <si>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</si>
  <si>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</si>
  <si>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</si>
  <si>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</si>
  <si>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</si>
  <si>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</si>
  <si>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</si>
  <si>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</si>
  <si>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</si>
  <si>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</si>
  <si>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</si>
  <si>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</si>
  <si>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</si>
  <si>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</si>
  <si>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</si>
  <si>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</si>
  <si>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</si>
  <si>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</si>
  <si>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</si>
  <si>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</si>
  <si>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</si>
  <si>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</si>
  <si>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</si>
  <si>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</si>
  <si>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</si>
  <si>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</si>
  <si>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</si>
  <si>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</si>
  <si>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</si>
  <si>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</si>
  <si>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</si>
  <si>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</si>
  <si>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</si>
  <si>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</si>
  <si>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</si>
  <si>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</si>
  <si>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</si>
  <si>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</si>
  <si>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</si>
  <si>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</si>
  <si>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</si>
  <si>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</si>
  <si>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</si>
  <si>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</si>
  <si>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</si>
  <si>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</si>
  <si>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</si>
  <si>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</si>
  <si>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</si>
  <si>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</si>
  <si>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</si>
  <si>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</si>
  <si>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</si>
  <si>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</si>
  <si>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</si>
  <si>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</si>
  <si>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</si>
  <si>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</si>
  <si>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</si>
  <si>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</si>
  <si>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</si>
  <si>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</si>
  <si>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</si>
  <si>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</si>
  <si>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</si>
  <si>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</si>
  <si>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</si>
  <si>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</si>
  <si>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</si>
  <si>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</si>
  <si>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</si>
  <si>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</si>
  <si>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</si>
  <si>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</si>
  <si>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</si>
  <si>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</si>
  <si>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</si>
  <si>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</si>
  <si>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</si>
  <si>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</si>
  <si>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</si>
  <si>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</si>
  <si>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</si>
  <si>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</si>
  <si>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</si>
  <si>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</si>
  <si>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</si>
  <si>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</si>
  <si>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</si>
  <si>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</si>
  <si>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</si>
  <si>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</si>
  <si>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</si>
  <si>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</si>
  <si>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</si>
  <si>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</si>
  <si>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</si>
  <si>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</si>
  <si>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</si>
  <si>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</si>
  <si>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</si>
  <si>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</si>
  <si>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</si>
  <si>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</si>
  <si>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</si>
  <si>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</si>
  <si>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</si>
  <si>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</si>
  <si>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</si>
  <si>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</si>
  <si>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</si>
  <si>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</si>
  <si>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</si>
  <si>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</si>
  <si>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</si>
  <si>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</si>
  <si>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</si>
  <si>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</si>
  <si>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</si>
  <si>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</si>
  <si>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</si>
  <si>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</si>
  <si>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</si>
  <si>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</si>
  <si>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</si>
  <si>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</si>
  <si>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</si>
  <si>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</si>
  <si>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</si>
  <si>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</si>
  <si>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</si>
  <si>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</si>
  <si>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</si>
  <si>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</si>
  <si>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</si>
  <si>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</si>
  <si>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</si>
  <si>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</si>
  <si>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</si>
  <si>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</si>
  <si>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</si>
  <si>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</si>
  <si>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</si>
  <si>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</si>
  <si>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</si>
  <si>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</si>
  <si>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</si>
  <si>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</si>
  <si>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</si>
  <si>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</si>
  <si>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</si>
  <si>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</si>
  <si>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</si>
  <si>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</si>
  <si>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</si>
  <si>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</si>
  <si>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</si>
  <si>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</si>
  <si>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</si>
  <si>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</si>
  <si>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</si>
  <si>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</si>
  <si>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</si>
  <si>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</si>
  <si>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</si>
  <si>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</si>
  <si>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</si>
  <si>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</si>
  <si>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</si>
  <si>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</si>
  <si>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</si>
  <si>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</si>
  <si>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</si>
  <si>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</si>
  <si>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</si>
  <si>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</si>
  <si>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</si>
  <si>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</si>
  <si>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</si>
  <si>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</si>
  <si>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</si>
  <si>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</si>
  <si>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</si>
  <si>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</si>
  <si>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</si>
  <si>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</si>
  <si>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</si>
  <si>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</si>
  <si>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</si>
  <si>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</si>
  <si>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</si>
  <si>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</si>
  <si>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</si>
  <si>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</si>
  <si>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</si>
  <si>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</si>
  <si>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</si>
  <si>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</si>
  <si>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</si>
  <si>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</si>
  <si>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</si>
  <si>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</si>
  <si>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</si>
  <si>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</si>
  <si>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</si>
  <si>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</si>
  <si>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</si>
  <si>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</si>
  <si>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</si>
  <si>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</si>
  <si>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</si>
  <si>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</si>
  <si>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</si>
  <si>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</si>
  <si>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</si>
  <si>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</si>
  <si>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</si>
  <si>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</si>
  <si>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</si>
  <si>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</si>
  <si>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</si>
  <si>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</si>
  <si>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</si>
  <si>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</si>
  <si>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</si>
  <si>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</si>
  <si>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</si>
  <si>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</si>
  <si>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</si>
  <si>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</si>
  <si>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</si>
  <si>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</si>
  <si>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</si>
  <si>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</si>
  <si>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</si>
  <si>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</si>
  <si>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</si>
  <si>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</si>
  <si>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</si>
  <si>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</si>
  <si>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</si>
  <si>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</si>
  <si>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</si>
  <si>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</si>
  <si>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</si>
  <si>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</si>
  <si>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</si>
  <si>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</si>
  <si>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</si>
  <si>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</si>
  <si>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</si>
  <si>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</si>
  <si>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</si>
  <si>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</si>
  <si>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</si>
  <si>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</si>
  <si>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</si>
  <si>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</si>
  <si>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</si>
  <si>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</si>
  <si>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</si>
  <si>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</si>
  <si>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</si>
  <si>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</si>
  <si>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</si>
  <si>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</si>
  <si>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</si>
  <si>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</si>
  <si>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</si>
  <si>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</si>
  <si>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</si>
  <si>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</si>
  <si>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</si>
  <si>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</si>
  <si>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</si>
  <si>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</si>
  <si>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</si>
  <si>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</si>
  <si>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</si>
  <si>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</si>
  <si>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</si>
  <si>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</si>
  <si>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</si>
  <si>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</si>
  <si>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</si>
  <si>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</si>
  <si>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</si>
  <si>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</si>
  <si>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</si>
  <si>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</si>
  <si>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</si>
  <si>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</si>
  <si>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</si>
  <si>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</si>
  <si>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</si>
  <si>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</si>
  <si>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</si>
  <si>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</si>
  <si>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</si>
  <si>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</si>
  <si>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</si>
  <si>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</si>
  <si>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</si>
  <si>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</si>
  <si>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</si>
  <si>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</si>
  <si>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</si>
  <si>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</si>
  <si>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</si>
  <si>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</si>
  <si>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</si>
  <si>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</si>
  <si>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</si>
  <si>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</si>
  <si>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</si>
  <si>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</si>
  <si>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</si>
  <si>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</si>
  <si>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</si>
  <si>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</si>
  <si>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</si>
  <si>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</si>
  <si>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</si>
  <si>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</si>
  <si>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</si>
  <si>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</si>
  <si>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</si>
  <si>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</si>
  <si>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</si>
  <si>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</si>
  <si>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</si>
  <si>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</si>
  <si>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</si>
  <si>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</si>
  <si>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</si>
  <si>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</si>
  <si>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</si>
  <si>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</si>
  <si>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</si>
  <si>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</si>
  <si>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</si>
  <si>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</si>
  <si>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</si>
  <si>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</si>
  <si>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</si>
  <si>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</si>
  <si>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</si>
  <si>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</si>
  <si>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</si>
  <si>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</si>
  <si>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</si>
  <si>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</si>
  <si>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</si>
  <si>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</si>
  <si>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</si>
  <si>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</si>
  <si>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</si>
  <si>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</si>
  <si>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</si>
  <si>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</si>
  <si>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</si>
  <si>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</si>
  <si>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</si>
  <si>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</si>
  <si>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</si>
  <si>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</si>
  <si>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</si>
  <si>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</si>
  <si>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</si>
  <si>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</si>
  <si>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</si>
  <si>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</si>
  <si>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</si>
  <si>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</si>
  <si>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</si>
  <si>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</si>
  <si>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</si>
  <si>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</si>
  <si>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</si>
  <si>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</si>
  <si>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</si>
  <si>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</si>
  <si>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</si>
  <si>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</si>
  <si>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</si>
  <si>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</si>
  <si>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</si>
  <si>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</si>
  <si>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</si>
  <si>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</si>
  <si>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</si>
  <si>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</si>
  <si>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</si>
  <si>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</si>
  <si>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</si>
  <si>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</si>
  <si>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</si>
  <si>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</si>
  <si>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</si>
  <si>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</si>
  <si>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</si>
  <si>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</si>
  <si>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</si>
  <si>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</si>
  <si>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</si>
  <si>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</si>
  <si>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</si>
  <si>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</si>
  <si>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</si>
  <si>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</si>
  <si>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</si>
  <si>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</si>
  <si>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</si>
  <si>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</si>
  <si>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</si>
  <si>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</si>
  <si>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</si>
  <si>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</si>
  <si>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</si>
  <si>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</si>
  <si>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</si>
  <si>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</si>
  <si>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</si>
  <si>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</si>
  <si>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</si>
  <si>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</si>
  <si>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</si>
  <si>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</si>
  <si>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</si>
  <si>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</si>
  <si>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</si>
  <si>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</si>
  <si>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</si>
  <si>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</si>
  <si>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</si>
  <si>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</si>
  <si>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</si>
  <si>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</si>
  <si>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</si>
  <si>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</si>
  <si>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</si>
  <si>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</si>
  <si>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</si>
  <si>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</si>
  <si>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</si>
  <si>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</si>
  <si>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</si>
  <si>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</si>
  <si>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</si>
  <si>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</si>
  <si>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</si>
  <si>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</si>
  <si>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</si>
  <si>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</si>
  <si>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</si>
  <si>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</si>
  <si>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</si>
  <si>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</si>
  <si>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</si>
  <si>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</si>
  <si>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</si>
  <si>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</si>
  <si>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</si>
  <si>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</si>
  <si>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</si>
  <si>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</si>
  <si>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</si>
  <si>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</si>
  <si>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</si>
  <si>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</si>
  <si>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</si>
  <si>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</si>
  <si>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</si>
  <si>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</si>
  <si>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</si>
  <si>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</si>
  <si>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</si>
  <si>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</si>
  <si>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</si>
  <si>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</si>
  <si>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</si>
  <si>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</si>
  <si>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</si>
  <si>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</si>
  <si>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</si>
  <si>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</si>
  <si>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</si>
  <si>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</si>
  <si>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</si>
  <si>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</si>
  <si>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</si>
  <si>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</si>
  <si>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</si>
  <si>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</si>
  <si>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</si>
  <si>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</si>
  <si>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</si>
  <si>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</si>
  <si>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</si>
  <si>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</si>
  <si>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</si>
  <si>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</si>
  <si>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</si>
  <si>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</si>
  <si>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</si>
  <si>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</si>
  <si>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</si>
  <si>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</si>
  <si>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</si>
  <si>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</si>
  <si>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</si>
  <si>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</si>
  <si>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</si>
  <si>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</si>
  <si>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</si>
  <si>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</si>
  <si>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</si>
  <si>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</si>
  <si>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</si>
  <si>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</si>
  <si>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</si>
  <si>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</si>
  <si>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</si>
  <si>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</si>
  <si>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</si>
  <si>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</si>
  <si>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</si>
  <si>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</si>
  <si>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</si>
  <si>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</si>
  <si>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</si>
  <si>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</si>
  <si>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</si>
  <si>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</si>
  <si>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</si>
  <si>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</si>
  <si>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</si>
  <si>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</si>
  <si>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</si>
  <si>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</si>
  <si>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</si>
  <si>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</si>
  <si>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</si>
  <si>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</si>
  <si>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</si>
  <si>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</si>
  <si>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</si>
  <si>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</si>
  <si>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</si>
  <si>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</si>
  <si>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</si>
  <si>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</si>
  <si>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</si>
  <si>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</si>
  <si>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</si>
  <si>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</si>
  <si>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</si>
  <si>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</si>
  <si>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</si>
  <si>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</si>
  <si>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</si>
  <si>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</si>
  <si>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</si>
  <si>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</si>
  <si>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</si>
  <si>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</si>
  <si>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</si>
  <si>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</si>
  <si>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</si>
  <si>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</si>
  <si>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</si>
  <si>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</si>
  <si>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</si>
  <si>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</si>
  <si>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</si>
  <si>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</si>
  <si>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</si>
  <si>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</si>
  <si>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</si>
  <si>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</si>
  <si>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</si>
  <si>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</si>
  <si>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</si>
  <si>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</si>
  <si>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</si>
  <si>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</si>
  <si>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</si>
  <si>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</si>
  <si>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</si>
  <si>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</si>
  <si>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</si>
  <si>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</si>
  <si>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</si>
  <si>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</si>
  <si>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</si>
  <si>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</si>
  <si>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</si>
  <si>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</si>
  <si>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</si>
  <si>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</si>
  <si>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</si>
  <si>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</si>
  <si>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</si>
  <si>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</si>
  <si>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</si>
  <si>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</si>
  <si>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</si>
  <si>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</si>
  <si>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</si>
  <si>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</si>
  <si>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</si>
  <si>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</si>
  <si>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</si>
  <si>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</si>
  <si>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</si>
  <si>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</si>
  <si>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</si>
  <si>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</si>
  <si>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</si>
  <si>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</si>
  <si>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</si>
  <si>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</si>
  <si>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</si>
  <si>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</si>
  <si>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</si>
  <si>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</si>
  <si>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</si>
  <si>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</si>
  <si>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</si>
  <si>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</si>
  <si>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</si>
  <si>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</si>
  <si>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</si>
  <si>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</si>
  <si>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</si>
  <si>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</si>
  <si>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</si>
  <si>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</si>
  <si>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</si>
  <si>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</si>
  <si>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</si>
  <si>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</si>
  <si>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</si>
  <si>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</si>
  <si>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</si>
  <si>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</si>
  <si>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</si>
  <si>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</si>
  <si>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</si>
  <si>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</si>
  <si>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</si>
  <si>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</si>
  <si>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</si>
  <si>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</si>
  <si>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</si>
  <si>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</si>
  <si>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</si>
  <si>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</si>
  <si>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</si>
  <si>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</si>
  <si>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</si>
  <si>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</si>
  <si>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</si>
  <si>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</si>
  <si>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</si>
  <si>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</si>
  <si>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</si>
  <si>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</si>
  <si>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</si>
  <si>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</si>
  <si>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</si>
  <si>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</si>
  <si>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</si>
  <si>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</si>
  <si>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</si>
  <si>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</si>
  <si>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</si>
  <si>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</si>
  <si>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</si>
  <si>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</si>
  <si>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</si>
  <si>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</si>
  <si>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</si>
  <si>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</si>
  <si>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</si>
  <si>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</si>
  <si>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</si>
  <si>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</si>
  <si>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</si>
  <si>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</si>
  <si>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</si>
  <si>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</si>
  <si>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</si>
  <si>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</si>
  <si>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</si>
  <si>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</si>
  <si>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</si>
  <si>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</si>
  <si>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</si>
  <si>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</si>
  <si>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</si>
  <si>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</si>
  <si>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</si>
  <si>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</si>
  <si>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</si>
  <si>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</si>
  <si>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</si>
  <si>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</si>
  <si>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</si>
  <si>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</si>
  <si>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</si>
  <si>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</si>
  <si>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</si>
  <si>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</si>
  <si>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</si>
  <si>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</si>
  <si>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</si>
  <si>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</si>
  <si>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</si>
  <si>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</si>
  <si>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</si>
  <si>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</si>
  <si>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</si>
  <si>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</si>
  <si>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</si>
  <si>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</si>
  <si>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</si>
  <si>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</si>
  <si>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</si>
  <si>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</si>
  <si>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</si>
  <si>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</si>
  <si>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</si>
  <si>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</si>
  <si>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</si>
  <si>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</si>
  <si>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</si>
  <si>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</si>
  <si>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</si>
  <si>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</si>
  <si>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</si>
  <si>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</si>
  <si>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</si>
  <si>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</si>
  <si>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</si>
  <si>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</si>
  <si>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</si>
  <si>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</si>
  <si>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</si>
  <si>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</si>
  <si>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</si>
  <si>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</si>
  <si>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</si>
  <si>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</si>
  <si>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</si>
  <si>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</si>
  <si>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</si>
  <si>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</si>
  <si>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</si>
  <si>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</si>
  <si>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</si>
  <si>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</si>
  <si>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</si>
  <si>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</si>
  <si>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</si>
  <si>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</si>
  <si>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</si>
  <si>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</si>
  <si>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</si>
  <si>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</si>
  <si>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</si>
  <si>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</si>
  <si>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</si>
  <si>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</si>
  <si>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</si>
  <si>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</si>
  <si>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</si>
  <si>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</si>
  <si>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</si>
  <si>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</si>
  <si>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</si>
  <si>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</si>
  <si>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</si>
  <si>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</si>
  <si>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</si>
  <si>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</si>
  <si>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</si>
  <si>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</si>
  <si>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</si>
  <si>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</si>
  <si>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</si>
  <si>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</si>
  <si>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</si>
  <si>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</si>
  <si>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</si>
  <si>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</si>
  <si>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</si>
  <si>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</si>
  <si>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</si>
  <si>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</si>
  <si>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</si>
  <si>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</si>
  <si>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</si>
  <si>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</si>
  <si>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</si>
  <si>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</si>
  <si>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</si>
  <si>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</si>
  <si>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</si>
  <si>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</si>
  <si>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</si>
  <si>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</si>
  <si>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</si>
  <si>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</si>
  <si>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</si>
  <si>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</si>
  <si>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</si>
  <si>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</si>
  <si>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</si>
  <si>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</si>
  <si>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</si>
  <si>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</si>
  <si>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</si>
  <si>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</si>
  <si>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</si>
  <si>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</si>
  <si>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</si>
  <si>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</si>
  <si>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</si>
  <si>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</si>
  <si>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</si>
  <si>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</si>
  <si>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</si>
  <si>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</si>
  <si>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</si>
  <si>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</si>
  <si>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</si>
  <si>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</si>
  <si>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</si>
  <si>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</si>
  <si>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</si>
  <si>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</si>
  <si>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</si>
  <si>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</si>
  <si>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</si>
  <si>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</si>
  <si>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</si>
  <si>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</si>
  <si>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</si>
  <si>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</si>
  <si>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</si>
  <si>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</si>
  <si>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</si>
  <si>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</si>
  <si>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</si>
  <si>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</si>
  <si>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</si>
  <si>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</si>
  <si>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</si>
  <si>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</si>
  <si>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</si>
  <si>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</si>
  <si>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</si>
  <si>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</si>
  <si>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</si>
  <si>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</si>
  <si>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</si>
  <si>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</si>
  <si>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</si>
  <si>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</si>
  <si>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</si>
  <si>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</si>
  <si>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</si>
  <si>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</si>
  <si>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</si>
  <si>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</si>
  <si>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</si>
  <si>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</si>
  <si>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</si>
  <si>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</si>
  <si>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</si>
  <si>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</si>
  <si>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</si>
  <si>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</si>
  <si>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</si>
  <si>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</si>
  <si>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</si>
  <si>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</si>
  <si>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</si>
  <si>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</si>
  <si>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</si>
  <si>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</si>
  <si>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</si>
  <si>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</si>
  <si>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</si>
  <si>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</si>
  <si>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</si>
  <si>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</si>
  <si>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</si>
  <si>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</si>
  <si>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</si>
  <si>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</si>
  <si>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</si>
  <si>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</si>
  <si>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</si>
  <si>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</si>
  <si>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</si>
  <si>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</si>
  <si>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</si>
  <si>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</si>
  <si>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</si>
  <si>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</si>
  <si>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</si>
  <si>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</si>
  <si>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</si>
  <si>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</si>
  <si>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</si>
  <si>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</si>
  <si>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</si>
  <si>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</si>
  <si>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</si>
  <si>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</si>
  <si>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</si>
  <si>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</si>
  <si>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</si>
  <si>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</si>
  <si>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</si>
  <si>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</si>
  <si>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</si>
  <si>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</si>
  <si>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</si>
  <si>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</si>
  <si>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</si>
  <si>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</si>
  <si>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</si>
  <si>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</si>
  <si>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</si>
  <si>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</si>
  <si>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</si>
  <si>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</si>
  <si>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</si>
  <si>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</si>
  <si>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</si>
  <si>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</si>
  <si>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</si>
  <si>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</si>
  <si>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</si>
  <si>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</si>
  <si>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</si>
  <si>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</si>
  <si>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</si>
  <si>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</si>
  <si>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</si>
  <si>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</si>
  <si>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</si>
  <si>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</si>
  <si>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</si>
  <si>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</si>
  <si>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</si>
  <si>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</si>
  <si>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</si>
  <si>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</si>
  <si>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</si>
  <si>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</si>
  <si>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</si>
  <si>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</si>
  <si>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</si>
  <si>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</si>
  <si>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</si>
  <si>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</si>
  <si>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</si>
  <si>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</si>
  <si>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</si>
  <si>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</si>
  <si>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</si>
  <si>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</si>
  <si>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</si>
  <si>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</si>
  <si>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</si>
  <si>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</si>
  <si>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</si>
  <si>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</si>
  <si>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</si>
  <si>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</si>
  <si>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</si>
  <si>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</si>
  <si>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</si>
  <si>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</si>
  <si>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</si>
  <si>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</si>
  <si>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</si>
  <si>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</si>
  <si>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</si>
  <si>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</si>
  <si>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</si>
  <si>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</si>
  <si>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</si>
  <si>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</si>
  <si>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</si>
  <si>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</si>
  <si>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</si>
  <si>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</si>
  <si>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</si>
  <si>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</si>
  <si>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</si>
  <si>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</si>
  <si>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</si>
  <si>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</si>
  <si>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</si>
  <si>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</si>
  <si>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</si>
  <si>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</si>
  <si>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</si>
  <si>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</si>
  <si>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</si>
  <si>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</si>
  <si>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</si>
  <si>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</si>
  <si>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</si>
  <si>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</si>
  <si>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</si>
  <si>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</si>
  <si>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</si>
  <si>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</si>
  <si>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</si>
  <si>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</si>
  <si>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</si>
  <si>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</si>
  <si>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</si>
  <si>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</si>
  <si>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</si>
  <si>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</si>
  <si>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</si>
  <si>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</si>
  <si>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</si>
  <si>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</si>
  <si>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</si>
  <si>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</si>
  <si>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</si>
  <si>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</si>
  <si>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</si>
  <si>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</si>
  <si>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</si>
  <si>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</si>
  <si>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</si>
  <si>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</si>
  <si>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</si>
  <si>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</si>
  <si>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</si>
  <si>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</si>
  <si>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</si>
  <si>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</si>
  <si>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</si>
  <si>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</si>
  <si>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</si>
  <si>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</si>
  <si>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</si>
  <si>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</si>
  <si>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</si>
  <si>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</si>
  <si>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</si>
  <si>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</si>
  <si>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</si>
  <si>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</si>
  <si>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</si>
  <si>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</si>
  <si>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</si>
  <si>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</si>
  <si>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</si>
  <si>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</si>
  <si>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</si>
  <si>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</si>
  <si>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</si>
  <si>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</si>
  <si>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</si>
  <si>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</si>
  <si>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</si>
  <si>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</si>
  <si>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</si>
  <si>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</si>
  <si>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</si>
  <si>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</si>
  <si>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</si>
  <si>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</si>
  <si>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</si>
  <si>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</si>
  <si>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</si>
  <si>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</si>
  <si>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</si>
  <si>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</si>
  <si>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</si>
  <si>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</si>
  <si>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</si>
  <si>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</si>
  <si>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</si>
  <si>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</si>
  <si>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</si>
  <si>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</si>
  <si>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</si>
  <si>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</si>
  <si>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</si>
  <si>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</si>
  <si>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</si>
  <si>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</si>
  <si>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</si>
  <si>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</si>
  <si>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</si>
  <si>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</si>
  <si>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</si>
  <si>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</si>
  <si>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</si>
  <si>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</si>
  <si>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</si>
  <si>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</si>
  <si>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</si>
  <si>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</si>
  <si>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</si>
  <si>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</si>
  <si>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</si>
  <si>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</si>
  <si>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</si>
  <si>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</si>
  <si>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</si>
  <si>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</si>
  <si>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</si>
  <si>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</si>
  <si>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</si>
  <si>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</si>
  <si>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</si>
  <si>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</si>
  <si>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</si>
  <si>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</si>
  <si>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</si>
  <si>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</si>
  <si>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</si>
  <si>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</si>
  <si>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</si>
  <si>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</si>
  <si>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</si>
  <si>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</si>
  <si>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</si>
  <si>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</si>
  <si>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</si>
  <si>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</si>
  <si>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</si>
  <si>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</si>
  <si>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</si>
  <si>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</si>
  <si>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</si>
  <si>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</si>
  <si>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</si>
  <si>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</si>
  <si>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</si>
  <si>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</si>
  <si>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</si>
  <si>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</si>
  <si>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</si>
  <si>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</si>
  <si>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</si>
  <si>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</si>
  <si>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</si>
  <si>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</si>
  <si>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</si>
  <si>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</si>
  <si>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</si>
  <si>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</si>
  <si>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</si>
  <si>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</si>
  <si>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</si>
  <si>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</si>
  <si>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</si>
  <si>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</si>
  <si>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</si>
  <si>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</si>
  <si>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</si>
  <si>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</si>
  <si>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</si>
  <si>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</si>
  <si>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</si>
  <si>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</si>
  <si>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</si>
  <si>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</si>
  <si>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</si>
  <si>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</si>
  <si>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</si>
  <si>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</si>
  <si>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</si>
  <si>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</si>
  <si>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</si>
  <si>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</si>
  <si>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</si>
  <si>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</si>
  <si>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</si>
  <si>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</si>
  <si>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</si>
  <si>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</si>
  <si>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</si>
  <si>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</si>
  <si>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</si>
  <si>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</si>
  <si>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</si>
  <si>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</si>
  <si>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</si>
  <si>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</si>
  <si>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</si>
  <si>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</si>
  <si>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</si>
  <si>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</si>
  <si>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</si>
  <si>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</si>
  <si>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</si>
  <si>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</si>
  <si>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</si>
  <si>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</si>
  <si>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</si>
  <si>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</si>
  <si>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</si>
  <si>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</si>
  <si>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</si>
  <si>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</si>
  <si>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</si>
  <si>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</si>
  <si>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</si>
  <si>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</si>
  <si>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</si>
  <si>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</si>
  <si>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</si>
  <si>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</si>
  <si>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</si>
  <si>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</si>
  <si>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</si>
  <si>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</si>
  <si>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</si>
  <si>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</si>
  <si>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</si>
  <si>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</si>
  <si>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</si>
  <si>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</si>
  <si>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</si>
  <si>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</si>
  <si>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</si>
  <si>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</si>
  <si>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</si>
  <si>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</si>
  <si>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</si>
  <si>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</si>
  <si>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</si>
  <si>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</si>
  <si>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</si>
  <si>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</si>
  <si>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</si>
  <si>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</si>
  <si>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</si>
  <si>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</si>
  <si>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</si>
  <si>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</si>
  <si>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</si>
  <si>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</si>
  <si>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</si>
  <si>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</si>
  <si>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</si>
  <si>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</si>
  <si>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</si>
  <si>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</si>
  <si>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</si>
  <si>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</si>
  <si>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</si>
  <si>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</si>
  <si>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</si>
  <si>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</si>
  <si>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</si>
  <si>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</si>
  <si>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</si>
  <si>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</si>
  <si>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</si>
  <si>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</si>
  <si>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</si>
  <si>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</si>
  <si>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</si>
  <si>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</si>
  <si>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</si>
  <si>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</si>
  <si>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</si>
  <si>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</si>
  <si>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</si>
  <si>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</si>
  <si>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</si>
  <si>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</si>
  <si>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</si>
  <si>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</si>
  <si>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</si>
  <si>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</si>
  <si>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</si>
  <si>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</si>
  <si>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</si>
  <si>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</si>
  <si>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</si>
  <si>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</si>
  <si>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</si>
  <si>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</si>
  <si>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</si>
  <si>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</si>
  <si>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</si>
  <si>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</si>
  <si>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</si>
  <si>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</si>
  <si>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</si>
  <si>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</si>
  <si>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</si>
  <si>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</si>
  <si>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</si>
  <si>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</si>
  <si>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</si>
  <si>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</si>
  <si>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</si>
  <si>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</si>
  <si>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</si>
  <si>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</si>
  <si>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</si>
  <si>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</si>
  <si>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</si>
  <si>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</si>
  <si>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</si>
  <si>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</si>
  <si>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</si>
  <si>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</si>
  <si>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</si>
  <si>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</si>
  <si>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</si>
  <si>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</si>
  <si>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</si>
  <si>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</si>
  <si>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</si>
  <si>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</si>
  <si>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</si>
  <si>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</si>
  <si>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</si>
  <si>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</si>
  <si>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</si>
  <si>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</si>
  <si>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</si>
  <si>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</si>
  <si>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</si>
  <si>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</si>
  <si>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</si>
  <si>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</si>
  <si>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</si>
  <si>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</si>
  <si>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</si>
  <si>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</si>
  <si>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</si>
  <si>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</si>
  <si>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</si>
  <si>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</si>
  <si>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</si>
  <si>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</si>
  <si>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</si>
  <si>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</si>
  <si>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</si>
  <si>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</si>
  <si>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</si>
  <si>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</si>
  <si>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</si>
  <si>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</si>
  <si>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</si>
  <si>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</si>
  <si>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</si>
  <si>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</si>
  <si>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</si>
  <si>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</si>
  <si>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</si>
  <si>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</si>
  <si>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</si>
  <si>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</si>
  <si>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</si>
  <si>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</si>
  <si>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</si>
  <si>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</si>
  <si>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</si>
  <si>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</si>
  <si>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</si>
  <si>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</si>
  <si>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</si>
  <si>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</si>
  <si>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</si>
  <si>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</si>
  <si>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</si>
  <si>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</si>
  <si>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</si>
  <si>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</si>
  <si>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</si>
  <si>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</si>
  <si>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</si>
  <si>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</si>
  <si>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</si>
  <si>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</si>
  <si>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</si>
  <si>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</si>
  <si>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</si>
  <si>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</si>
  <si>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</si>
  <si>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</si>
  <si>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</si>
  <si>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</si>
  <si>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</si>
  <si>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</si>
  <si>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</si>
  <si>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</si>
  <si>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</si>
  <si>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</si>
  <si>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</si>
  <si>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</si>
  <si>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</si>
  <si>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</si>
  <si>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</si>
  <si>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</si>
  <si>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</si>
  <si>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</si>
  <si>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</si>
  <si>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</si>
  <si>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</si>
  <si>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</si>
  <si>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</si>
  <si>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</si>
  <si>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</si>
  <si>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</si>
  <si>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</si>
  <si>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</si>
  <si>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</si>
  <si>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</si>
  <si>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</si>
  <si>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</si>
  <si>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</si>
  <si>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</si>
  <si>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</si>
  <si>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</si>
  <si>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</si>
  <si>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</si>
  <si>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</si>
  <si>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</si>
  <si>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</si>
  <si>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</si>
  <si>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</si>
  <si>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</si>
  <si>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</si>
  <si>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</si>
  <si>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</si>
  <si>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</si>
  <si>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</si>
  <si>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</si>
  <si>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</si>
  <si>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</si>
  <si>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</si>
  <si>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</si>
  <si>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</si>
  <si>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</si>
  <si>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</si>
  <si>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</si>
  <si>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</si>
  <si>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</si>
  <si>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</si>
  <si>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</si>
  <si>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</si>
  <si>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</si>
  <si>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</si>
  <si>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</si>
  <si>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</si>
  <si>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</si>
  <si>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</si>
  <si>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</si>
  <si>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</si>
  <si>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</si>
  <si>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</si>
  <si>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</si>
  <si>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</si>
  <si>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</si>
  <si>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</si>
  <si>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</si>
  <si>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</si>
  <si>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</si>
  <si>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</si>
  <si>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</si>
  <si>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</si>
  <si>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</si>
  <si>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</si>
  <si>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</si>
  <si>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</si>
  <si>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</si>
  <si>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</si>
  <si>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</si>
  <si>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</si>
  <si>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</si>
  <si>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</si>
  <si>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</si>
  <si>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</si>
  <si>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</si>
  <si>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</si>
  <si>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</si>
  <si>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</si>
  <si>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</si>
  <si>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</si>
  <si>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</si>
  <si>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</si>
  <si>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</si>
  <si>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</si>
  <si>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</si>
  <si>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</si>
  <si>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</si>
  <si>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</si>
  <si>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</si>
  <si>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</si>
  <si>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</si>
  <si>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</si>
  <si>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</si>
  <si>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</si>
  <si>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</si>
  <si>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</si>
  <si>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</si>
  <si>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</si>
  <si>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</si>
  <si>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</si>
  <si>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</si>
  <si>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</si>
  <si>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</si>
  <si>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</si>
  <si>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</si>
  <si>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</si>
  <si>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</si>
  <si>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</si>
  <si>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</si>
  <si>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</si>
  <si>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</si>
  <si>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</si>
  <si>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</si>
  <si>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</si>
  <si>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</si>
  <si>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</si>
  <si>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</si>
  <si>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</si>
  <si>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</si>
  <si>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</si>
  <si>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</si>
  <si>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</si>
  <si>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</si>
  <si>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</si>
  <si>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</si>
  <si>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</si>
  <si>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</si>
  <si>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</si>
  <si>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</si>
  <si>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</si>
  <si>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</si>
  <si>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</si>
  <si>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</si>
  <si>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</si>
  <si>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</si>
  <si>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</si>
  <si>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</si>
  <si>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</si>
  <si>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</si>
  <si>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</si>
  <si>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</si>
  <si>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</si>
  <si>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</si>
  <si>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</si>
  <si>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</si>
  <si>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</si>
  <si>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</si>
  <si>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</si>
  <si>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</si>
  <si>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</si>
  <si>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</si>
  <si>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</si>
  <si>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</si>
  <si>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</si>
  <si>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</si>
  <si>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</si>
  <si>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</si>
  <si>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</si>
  <si>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</si>
  <si>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</si>
  <si>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</si>
  <si>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</si>
  <si>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</si>
  <si>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</si>
  <si>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</si>
  <si>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</si>
  <si>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</si>
  <si>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</si>
  <si>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</si>
  <si>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</si>
  <si>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</si>
  <si>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</si>
  <si>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</si>
  <si>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</si>
  <si>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</si>
  <si>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</si>
  <si>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</si>
  <si>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</si>
  <si>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</si>
  <si>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</si>
  <si>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</si>
  <si>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</si>
  <si>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</si>
  <si>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</si>
  <si>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</si>
  <si>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</si>
  <si>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</si>
  <si>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</si>
  <si>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</si>
  <si>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</si>
  <si>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</si>
  <si>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</si>
  <si>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</si>
  <si>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</si>
  <si>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</si>
  <si>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</si>
  <si>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</si>
  <si>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</si>
  <si>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</si>
  <si>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</si>
  <si>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</si>
  <si>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</si>
  <si>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</si>
  <si>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</si>
  <si>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</si>
  <si>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</si>
  <si>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</si>
  <si>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</si>
  <si>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</si>
  <si>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</si>
  <si>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</si>
  <si>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</si>
  <si>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</si>
  <si>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</si>
  <si>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</si>
  <si>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</si>
  <si>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</si>
  <si>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</si>
  <si>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</si>
  <si>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</si>
  <si>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</si>
  <si>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</si>
  <si>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</si>
  <si>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</si>
  <si>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</si>
  <si>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</si>
  <si>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</si>
  <si>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</si>
  <si>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</si>
  <si>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</si>
  <si>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</si>
  <si>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</si>
  <si>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</si>
  <si>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</si>
  <si>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</si>
  <si>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</si>
  <si>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</si>
  <si>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</si>
  <si>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</si>
  <si>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</si>
  <si>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</si>
  <si>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</si>
  <si>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</si>
  <si>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</si>
  <si>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</si>
  <si>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</si>
  <si>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</si>
  <si>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</si>
  <si>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</si>
  <si>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</si>
  <si>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</si>
  <si>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</si>
  <si>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</si>
  <si>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</si>
  <si>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</si>
  <si>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</si>
  <si>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</si>
  <si>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</si>
  <si>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</si>
  <si>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</si>
  <si>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</si>
  <si>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</si>
  <si>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</si>
  <si>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</si>
  <si>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</si>
  <si>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</si>
  <si>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</si>
  <si>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</si>
  <si>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</si>
  <si>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</si>
  <si>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</si>
  <si>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</si>
  <si>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</si>
  <si>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</si>
  <si>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</si>
  <si>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</si>
  <si>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</si>
  <si>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</si>
  <si>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</si>
  <si>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</si>
  <si>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</si>
  <si>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</si>
  <si>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</si>
  <si>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</si>
  <si>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</si>
  <si>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</si>
  <si>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</si>
  <si>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</si>
  <si>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</si>
  <si>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</si>
  <si>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</si>
  <si>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</si>
  <si>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</si>
  <si>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</si>
  <si>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</si>
  <si>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</si>
  <si>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</si>
  <si>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</si>
  <si>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</si>
  <si>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</si>
  <si>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</si>
  <si>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</si>
  <si>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</si>
  <si>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</si>
  <si>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</si>
  <si>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</si>
  <si>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</si>
  <si>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</si>
  <si>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</si>
  <si>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</si>
  <si>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</si>
  <si>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</si>
  <si>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</si>
  <si>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</si>
  <si>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</si>
  <si>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</si>
  <si>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</si>
  <si>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</si>
  <si>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</si>
  <si>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</si>
  <si>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</si>
  <si>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</si>
  <si>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</si>
  <si>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</si>
  <si>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</si>
  <si>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</si>
  <si>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</si>
  <si>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</si>
  <si>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</si>
  <si>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</si>
  <si>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</si>
  <si>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</si>
  <si>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</si>
  <si>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</si>
  <si>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</si>
  <si>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</si>
  <si>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</si>
  <si>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</si>
  <si>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</si>
  <si>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</si>
  <si>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</si>
  <si>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</si>
  <si>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</si>
  <si>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</si>
  <si>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</si>
  <si>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</si>
  <si>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</si>
  <si>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본선일정 : 10/27일, 11/10 ~ 11/12일 가능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</si>
  <si>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</si>
  <si>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</si>
  <si>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</si>
  <si>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</si>
  <si>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</si>
  <si>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</si>
  <si>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</si>
  <si>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</si>
  <si>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</si>
  <si>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</si>
  <si>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</si>
  <si>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</si>
  <si>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</si>
  <si>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</si>
  <si>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</si>
  <si>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</si>
  <si>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</si>
  <si>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</si>
  <si>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</si>
  <si>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</si>
  <si>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</si>
  <si>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</si>
  <si>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</si>
  <si>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</si>
  <si>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</si>
  <si>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</si>
  <si>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</si>
  <si>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</si>
  <si>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</si>
  <si>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</si>
  <si>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</si>
  <si>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</si>
  <si>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</si>
  <si>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</si>
  <si>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</si>
  <si>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</si>
  <si>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</si>
  <si>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</si>
  <si>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</si>
  <si>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</si>
  <si>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</si>
  <si>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</si>
  <si>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</si>
  <si>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</si>
  <si>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</si>
  <si>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</si>
  <si>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</si>
  <si>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</si>
  <si>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</si>
  <si>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</si>
  <si>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</si>
  <si>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</si>
  <si>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</si>
  <si>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</si>
  <si>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</si>
  <si>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</si>
  <si>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</si>
  <si>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</si>
  <si>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</si>
  <si>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</si>
  <si>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</si>
  <si>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우신(2)</t>
    <phoneticPr fontId="2" type="noConversion"/>
  </si>
  <si>
    <t>무상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</si>
  <si>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</si>
  <si>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</si>
  <si>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</si>
  <si>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</si>
  <si>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</si>
  <si>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</si>
  <si>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</si>
  <si>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</si>
  <si>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</si>
  <si>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</si>
  <si>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</si>
  <si>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</si>
  <si>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</si>
  <si>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</si>
  <si>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</si>
  <si>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</si>
  <si>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</si>
  <si>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</si>
  <si>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</si>
  <si>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</si>
  <si>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</si>
  <si>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</si>
  <si>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</si>
  <si>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</si>
  <si>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</si>
  <si>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</si>
  <si>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</si>
  <si>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</si>
  <si>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</si>
  <si>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</si>
  <si>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</si>
  <si>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</si>
  <si>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</si>
  <si>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</si>
  <si>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</si>
  <si>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</si>
  <si>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</si>
  <si>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</si>
  <si>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</si>
  <si>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</si>
  <si>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</si>
  <si>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</si>
  <si>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</si>
  <si>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</si>
  <si>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</si>
  <si>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</si>
  <si>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</si>
  <si>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</si>
  <si>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</si>
  <si>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</si>
  <si>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</si>
  <si>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</si>
  <si>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</si>
  <si>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</si>
  <si>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</si>
  <si>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</si>
  <si>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</si>
  <si>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</si>
  <si>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</si>
  <si>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</si>
  <si>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</si>
  <si>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</si>
  <si>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</si>
  <si>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</si>
  <si>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</si>
  <si>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</si>
  <si>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</si>
  <si>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</si>
  <si>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</si>
  <si>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</si>
  <si>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</si>
  <si>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</si>
  <si>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비상작동 운용 교육, 로우레벨 타이머 설정 문의/설명/현장 조치, DAVIT 비상파워팩 펌프 흡인 밸브 누유 확인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</si>
</sst>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1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0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64"/>
  <sheetViews>
    <sheetView showGridLines="0" tabSelected="1" topLeftCell="A777" zoomScaleNormal="100" workbookViewId="0">
      <selection activeCell="F783" sqref="F783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5" t="s">
        <v>3261</v>
      </c>
      <c r="B1" s="905"/>
      <c r="C1" s="905"/>
      <c r="D1" s="905"/>
      <c r="E1" s="905"/>
      <c r="F1" s="905"/>
      <c r="G1" s="905"/>
      <c r="H1" s="905"/>
      <c r="I1" s="905"/>
      <c r="J1" s="905"/>
      <c r="K1" s="905"/>
      <c r="L1" s="905"/>
      <c r="M1" s="905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0"/>
      <c r="Q22" s="901"/>
      <c r="R22" s="901"/>
      <c r="S22" s="901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0"/>
      <c r="Q27" s="901"/>
      <c r="R27" s="901"/>
      <c r="S27" s="901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0"/>
      <c r="Q36" s="901"/>
      <c r="R36" s="901"/>
      <c r="S36" s="901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0"/>
      <c r="Q37" s="901"/>
      <c r="R37" s="901"/>
      <c r="S37" s="901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0"/>
      <c r="Q40" s="901"/>
      <c r="R40" s="901"/>
      <c r="S40" s="901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0"/>
      <c r="Q41" s="901"/>
      <c r="R41" s="901"/>
      <c r="S41" s="901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0" t="s">
        <v>4390</v>
      </c>
      <c r="Q43" s="901"/>
      <c r="R43" s="901"/>
      <c r="S43" s="901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0"/>
      <c r="Q61" s="901"/>
      <c r="R61" s="901"/>
      <c r="S61" s="901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0"/>
      <c r="Q64" s="901"/>
      <c r="R64" s="901"/>
      <c r="S64" s="901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0"/>
      <c r="Q67" s="901"/>
      <c r="R67" s="901"/>
      <c r="S67" s="901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0"/>
      <c r="Q74" s="901"/>
      <c r="R74" s="901"/>
      <c r="S74" s="901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0"/>
      <c r="Q83" s="901"/>
      <c r="R83" s="901"/>
      <c r="S83" s="901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0"/>
      <c r="Q85" s="901"/>
      <c r="R85" s="901"/>
      <c r="S85" s="901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0" t="s">
        <v>4390</v>
      </c>
      <c r="Q93" s="901"/>
      <c r="R93" s="901"/>
      <c r="S93" s="901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8"/>
      <c r="Q169" s="899"/>
      <c r="R169" s="899"/>
      <c r="S169" s="89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6" t="s">
        <v>4688</v>
      </c>
      <c r="Q182" s="897"/>
      <c r="R182" s="897"/>
      <c r="S182" s="89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902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903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903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904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902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903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903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 x14ac:dyDescent="0.3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 x14ac:dyDescent="0.3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 x14ac:dyDescent="0.3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 x14ac:dyDescent="0.3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4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 x14ac:dyDescent="0.3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4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 x14ac:dyDescent="0.3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 x14ac:dyDescent="0.3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 x14ac:dyDescent="0.3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 x14ac:dyDescent="0.3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 x14ac:dyDescent="0.3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7426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 x14ac:dyDescent="0.3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 x14ac:dyDescent="0.3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 x14ac:dyDescent="0.3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7426</v>
      </c>
      <c r="J736" s="875"/>
      <c r="K736" s="277" t="s">
        <v>209</v>
      </c>
      <c r="L736" s="16">
        <v>9080</v>
      </c>
      <c r="M736" s="18" t="s">
        <v>209</v>
      </c>
      <c r="N736" s="895"/>
      <c r="O736" s="430"/>
      <c r="P736" s="871"/>
    </row>
    <row r="737" spans="1:16" s="17" customFormat="1" ht="33" customHeight="1" x14ac:dyDescent="0.3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 x14ac:dyDescent="0.3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 x14ac:dyDescent="0.3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 x14ac:dyDescent="0.3">
      <c r="A743" s="866"/>
      <c r="B743" s="399">
        <v>46307</v>
      </c>
      <c r="C743" s="3" t="s">
        <v>7416</v>
      </c>
      <c r="D743" s="3" t="s">
        <v>17</v>
      </c>
      <c r="E743" s="454" t="s">
        <v>7417</v>
      </c>
      <c r="F743" s="454" t="s">
        <v>5243</v>
      </c>
      <c r="G743" s="459" t="s">
        <v>7418</v>
      </c>
      <c r="H743" s="875" t="s">
        <v>7419</v>
      </c>
      <c r="I743" s="871" t="s">
        <v>7420</v>
      </c>
      <c r="J743" s="871" t="s">
        <v>7421</v>
      </c>
      <c r="K743" s="125" t="s">
        <v>7422</v>
      </c>
      <c r="L743" s="16" t="s">
        <v>7412</v>
      </c>
      <c r="M743" s="8">
        <v>6</v>
      </c>
      <c r="N743" s="871"/>
      <c r="O743" s="429"/>
      <c r="P743" s="871"/>
    </row>
    <row r="744" spans="1:16" s="17" customFormat="1" ht="33" customHeight="1" x14ac:dyDescent="0.3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7423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 x14ac:dyDescent="0.3">
      <c r="A745" s="595"/>
      <c r="B745" s="399">
        <v>46308</v>
      </c>
      <c r="C745" s="3" t="s">
        <v>7416</v>
      </c>
      <c r="D745" s="3" t="s">
        <v>17</v>
      </c>
      <c r="E745" s="454" t="s">
        <v>7417</v>
      </c>
      <c r="F745" s="454" t="s">
        <v>5243</v>
      </c>
      <c r="G745" s="459" t="s">
        <v>7418</v>
      </c>
      <c r="H745" s="875" t="s">
        <v>7419</v>
      </c>
      <c r="I745" s="871" t="s">
        <v>7420</v>
      </c>
      <c r="J745" s="871" t="s">
        <v>7421</v>
      </c>
      <c r="K745" s="125" t="s">
        <v>7422</v>
      </c>
      <c r="L745" s="16" t="s">
        <v>7424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 x14ac:dyDescent="0.3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7423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 x14ac:dyDescent="0.3">
      <c r="A750" s="866"/>
      <c r="B750" s="399">
        <v>46309</v>
      </c>
      <c r="C750" s="3" t="s">
        <v>7416</v>
      </c>
      <c r="D750" s="3" t="s">
        <v>17</v>
      </c>
      <c r="E750" s="454" t="s">
        <v>7417</v>
      </c>
      <c r="F750" s="454" t="s">
        <v>5243</v>
      </c>
      <c r="G750" s="459" t="s">
        <v>7418</v>
      </c>
      <c r="H750" s="875" t="s">
        <v>7419</v>
      </c>
      <c r="I750" s="871" t="s">
        <v>7420</v>
      </c>
      <c r="J750" s="871" t="s">
        <v>7421</v>
      </c>
      <c r="K750" s="125" t="s">
        <v>7422</v>
      </c>
      <c r="L750" s="16" t="s">
        <v>7424</v>
      </c>
      <c r="M750" s="8">
        <v>6</v>
      </c>
      <c r="N750" s="874"/>
      <c r="O750" s="430"/>
      <c r="P750" s="871"/>
    </row>
    <row r="751" spans="1:16" s="17" customFormat="1" ht="33" customHeight="1" x14ac:dyDescent="0.3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7423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 x14ac:dyDescent="0.3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7402</v>
      </c>
      <c r="I753" s="871" t="s">
        <v>7398</v>
      </c>
      <c r="J753" s="871" t="s">
        <v>7401</v>
      </c>
      <c r="K753" s="125" t="s">
        <v>84</v>
      </c>
      <c r="L753" s="16" t="s">
        <v>7403</v>
      </c>
      <c r="M753" s="8">
        <v>2</v>
      </c>
      <c r="N753" s="422"/>
      <c r="O753" s="430" t="s">
        <v>7413</v>
      </c>
      <c r="P753" s="31"/>
    </row>
    <row r="754" spans="1:16" s="17" customFormat="1" ht="33" customHeight="1" x14ac:dyDescent="0.3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 x14ac:dyDescent="0.3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7404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7414</v>
      </c>
      <c r="P756" s="844"/>
    </row>
    <row r="757" spans="1:16" s="17" customFormat="1" ht="33" customHeight="1" x14ac:dyDescent="0.3">
      <c r="A757" s="866"/>
      <c r="B757" s="399">
        <v>46310</v>
      </c>
      <c r="C757" s="3" t="s">
        <v>7416</v>
      </c>
      <c r="D757" s="3" t="s">
        <v>17</v>
      </c>
      <c r="E757" s="454" t="s">
        <v>7417</v>
      </c>
      <c r="F757" s="454" t="s">
        <v>5243</v>
      </c>
      <c r="G757" s="459" t="s">
        <v>7418</v>
      </c>
      <c r="H757" s="875" t="s">
        <v>7419</v>
      </c>
      <c r="I757" s="871" t="s">
        <v>7420</v>
      </c>
      <c r="J757" s="871" t="s">
        <v>7421</v>
      </c>
      <c r="K757" s="125" t="s">
        <v>7422</v>
      </c>
      <c r="L757" s="16" t="s">
        <v>7424</v>
      </c>
      <c r="M757" s="8">
        <v>6</v>
      </c>
      <c r="N757" s="874"/>
      <c r="O757" s="430"/>
      <c r="P757" s="871"/>
    </row>
    <row r="758" spans="1:16" s="17" customFormat="1" ht="33" customHeight="1" x14ac:dyDescent="0.3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7423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 x14ac:dyDescent="0.3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7415</v>
      </c>
      <c r="P759" s="871"/>
    </row>
    <row r="760" spans="1:16" s="17" customFormat="1" ht="33" customHeight="1" x14ac:dyDescent="0.3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9" t="s">
        <v>6970</v>
      </c>
      <c r="I760" s="883" t="s">
        <v>3730</v>
      </c>
      <c r="J760" s="883" t="s">
        <v>7473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7405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2"/>
      <c r="B762" s="399">
        <v>46311</v>
      </c>
      <c r="C762" s="4" t="s">
        <v>7407</v>
      </c>
      <c r="D762" s="4" t="s">
        <v>17</v>
      </c>
      <c r="E762" s="854" t="s">
        <v>100</v>
      </c>
      <c r="F762" s="453" t="s">
        <v>7408</v>
      </c>
      <c r="G762" s="16" t="s">
        <v>37</v>
      </c>
      <c r="H762" s="859" t="s">
        <v>7409</v>
      </c>
      <c r="I762" s="854" t="s">
        <v>7410</v>
      </c>
      <c r="J762" s="854" t="s">
        <v>7411</v>
      </c>
      <c r="K762" s="125" t="s">
        <v>84</v>
      </c>
      <c r="L762" s="16" t="s">
        <v>7412</v>
      </c>
      <c r="M762" s="8">
        <v>2</v>
      </c>
      <c r="N762" s="858"/>
      <c r="O762" s="430" t="s">
        <v>5645</v>
      </c>
      <c r="P762" s="854"/>
    </row>
    <row r="763" spans="1:16" s="17" customFormat="1" ht="33" customHeight="1" x14ac:dyDescent="0.3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7425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 x14ac:dyDescent="0.3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 x14ac:dyDescent="0.3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9" t="s">
        <v>6970</v>
      </c>
      <c r="I765" s="883" t="s">
        <v>3730</v>
      </c>
      <c r="J765" s="883" t="s">
        <v>7473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 x14ac:dyDescent="0.3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7406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 x14ac:dyDescent="0.3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9" t="s">
        <v>6970</v>
      </c>
      <c r="I767" s="883" t="s">
        <v>3730</v>
      </c>
      <c r="J767" s="883" t="s">
        <v>7473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7406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7444</v>
      </c>
      <c r="J770" s="797" t="s">
        <v>7443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 x14ac:dyDescent="0.3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9" t="s">
        <v>6970</v>
      </c>
      <c r="I771" s="883" t="s">
        <v>3730</v>
      </c>
      <c r="J771" s="883" t="s">
        <v>7473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 x14ac:dyDescent="0.3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7452</v>
      </c>
      <c r="I772" s="871" t="s">
        <v>7453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 x14ac:dyDescent="0.3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7471</v>
      </c>
      <c r="H773" s="889" t="s">
        <v>7472</v>
      </c>
      <c r="I773" s="871" t="s">
        <v>7410</v>
      </c>
      <c r="J773" s="871"/>
      <c r="K773" s="125" t="s">
        <v>7374</v>
      </c>
      <c r="L773" s="16" t="s">
        <v>7412</v>
      </c>
      <c r="M773" s="8">
        <v>1</v>
      </c>
      <c r="N773" s="871"/>
      <c r="O773" s="431"/>
      <c r="P773" s="871"/>
    </row>
    <row r="774" spans="1:16" s="17" customFormat="1" ht="33" customHeight="1" x14ac:dyDescent="0.3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7452</v>
      </c>
      <c r="I774" s="871" t="s">
        <v>7453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 x14ac:dyDescent="0.3">
      <c r="A775" s="881"/>
      <c r="B775" s="399">
        <v>46315</v>
      </c>
      <c r="C775" s="4" t="s">
        <v>138</v>
      </c>
      <c r="D775" s="4" t="s">
        <v>7464</v>
      </c>
      <c r="E775" s="883" t="s">
        <v>7465</v>
      </c>
      <c r="F775" s="883" t="s">
        <v>7466</v>
      </c>
      <c r="G775" s="16" t="s">
        <v>7467</v>
      </c>
      <c r="H775" s="889" t="s">
        <v>7468</v>
      </c>
      <c r="I775" s="883"/>
      <c r="J775" s="889" t="s">
        <v>7469</v>
      </c>
      <c r="K775" s="277" t="s">
        <v>181</v>
      </c>
      <c r="L775" s="16" t="s">
        <v>7470</v>
      </c>
      <c r="M775" s="18">
        <v>1</v>
      </c>
      <c r="N775" s="883"/>
      <c r="O775" s="431"/>
      <c r="P775" s="883"/>
    </row>
    <row r="776" spans="1:16" s="17" customFormat="1" ht="33" customHeight="1" x14ac:dyDescent="0.3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7446</v>
      </c>
      <c r="I776" s="871" t="s">
        <v>120</v>
      </c>
      <c r="J776" s="871" t="s">
        <v>7445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 x14ac:dyDescent="0.3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7444</v>
      </c>
      <c r="J777" s="871" t="s">
        <v>7443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 x14ac:dyDescent="0.3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9" t="s">
        <v>6970</v>
      </c>
      <c r="I778" s="883" t="s">
        <v>3730</v>
      </c>
      <c r="J778" s="883" t="s">
        <v>7473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 x14ac:dyDescent="0.3">
      <c r="A779" s="881"/>
      <c r="B779" s="399">
        <v>46316</v>
      </c>
      <c r="C779" s="4" t="s">
        <v>138</v>
      </c>
      <c r="D779" s="4" t="s">
        <v>7464</v>
      </c>
      <c r="E779" s="883" t="s">
        <v>7465</v>
      </c>
      <c r="F779" s="883" t="s">
        <v>7466</v>
      </c>
      <c r="G779" s="16" t="s">
        <v>7467</v>
      </c>
      <c r="H779" s="889" t="s">
        <v>7468</v>
      </c>
      <c r="I779" s="883"/>
      <c r="J779" s="889" t="s">
        <v>7469</v>
      </c>
      <c r="K779" s="277" t="s">
        <v>181</v>
      </c>
      <c r="L779" s="16" t="s">
        <v>7470</v>
      </c>
      <c r="M779" s="18">
        <v>1</v>
      </c>
      <c r="N779" s="883"/>
      <c r="O779" s="431"/>
      <c r="P779" s="883"/>
    </row>
    <row r="780" spans="1:16" s="17" customFormat="1" ht="33" customHeight="1" x14ac:dyDescent="0.3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7444</v>
      </c>
      <c r="J780" s="871" t="s">
        <v>7443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 x14ac:dyDescent="0.3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7452</v>
      </c>
      <c r="I781" s="875" t="s">
        <v>7455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 x14ac:dyDescent="0.3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9" t="s">
        <v>6970</v>
      </c>
      <c r="I782" s="883" t="s">
        <v>3730</v>
      </c>
      <c r="J782" s="883" t="s">
        <v>7473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 x14ac:dyDescent="0.3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7444</v>
      </c>
      <c r="J783" s="871" t="s">
        <v>7443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 x14ac:dyDescent="0.3">
      <c r="A784" s="881"/>
      <c r="B784" s="399">
        <v>46317</v>
      </c>
      <c r="C784" s="4" t="s">
        <v>138</v>
      </c>
      <c r="D784" s="4" t="s">
        <v>7464</v>
      </c>
      <c r="E784" s="883" t="s">
        <v>7465</v>
      </c>
      <c r="F784" s="883" t="s">
        <v>7466</v>
      </c>
      <c r="G784" s="16" t="s">
        <v>7467</v>
      </c>
      <c r="H784" s="889" t="s">
        <v>7468</v>
      </c>
      <c r="I784" s="883"/>
      <c r="J784" s="889" t="s">
        <v>7469</v>
      </c>
      <c r="K784" s="277" t="s">
        <v>181</v>
      </c>
      <c r="L784" s="16" t="s">
        <v>7470</v>
      </c>
      <c r="M784" s="18">
        <v>1</v>
      </c>
      <c r="N784" s="887"/>
      <c r="O784" s="430"/>
      <c r="P784" s="883"/>
    </row>
    <row r="785" spans="1:17" s="17" customFormat="1" ht="33" customHeight="1" x14ac:dyDescent="0.3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7452</v>
      </c>
      <c r="I785" s="871" t="s">
        <v>7453</v>
      </c>
      <c r="J785" s="875"/>
      <c r="K785" s="277" t="s">
        <v>209</v>
      </c>
      <c r="L785" s="16" t="s">
        <v>4550</v>
      </c>
      <c r="M785" s="18" t="s">
        <v>209</v>
      </c>
      <c r="N785" s="874"/>
      <c r="O785" s="430"/>
      <c r="P785" s="871"/>
    </row>
    <row r="786" spans="1:17" s="17" customFormat="1" ht="33" customHeight="1" x14ac:dyDescent="0.3">
      <c r="A786" s="866"/>
      <c r="B786" s="399">
        <v>46317</v>
      </c>
      <c r="C786" s="4" t="s">
        <v>7407</v>
      </c>
      <c r="D786" s="4" t="s">
        <v>30</v>
      </c>
      <c r="E786" s="871" t="s">
        <v>7431</v>
      </c>
      <c r="F786" s="871" t="s">
        <v>7432</v>
      </c>
      <c r="G786" s="16" t="s">
        <v>7433</v>
      </c>
      <c r="H786" s="875" t="s">
        <v>7434</v>
      </c>
      <c r="I786" s="871" t="s">
        <v>7436</v>
      </c>
      <c r="J786" s="871" t="s">
        <v>7435</v>
      </c>
      <c r="K786" s="125" t="s">
        <v>84</v>
      </c>
      <c r="L786" s="16" t="s">
        <v>7424</v>
      </c>
      <c r="M786" s="8">
        <v>2</v>
      </c>
      <c r="N786" s="874"/>
      <c r="O786" s="430"/>
      <c r="P786" s="871"/>
    </row>
    <row r="787" spans="1:17" s="17" customFormat="1" ht="33" customHeight="1" x14ac:dyDescent="0.3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9" t="s">
        <v>6970</v>
      </c>
      <c r="I787" s="883" t="s">
        <v>3730</v>
      </c>
      <c r="J787" s="883" t="s">
        <v>7473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7" s="17" customFormat="1" ht="33" customHeight="1" x14ac:dyDescent="0.3">
      <c r="A788" s="866"/>
      <c r="B788" s="399">
        <v>46318</v>
      </c>
      <c r="C788" s="4" t="s">
        <v>7407</v>
      </c>
      <c r="D788" s="4" t="s">
        <v>30</v>
      </c>
      <c r="E788" s="871" t="s">
        <v>7431</v>
      </c>
      <c r="F788" s="871" t="s">
        <v>7432</v>
      </c>
      <c r="G788" s="16" t="s">
        <v>7433</v>
      </c>
      <c r="H788" s="875" t="s">
        <v>7434</v>
      </c>
      <c r="I788" s="871"/>
      <c r="J788" s="871" t="s">
        <v>7435</v>
      </c>
      <c r="K788" s="125" t="s">
        <v>84</v>
      </c>
      <c r="L788" s="16" t="s">
        <v>6287</v>
      </c>
      <c r="M788" s="8">
        <v>2</v>
      </c>
      <c r="N788" s="874"/>
      <c r="O788" s="430"/>
      <c r="P788" s="871"/>
    </row>
    <row r="789" spans="1:17" s="17" customFormat="1" ht="40.5" x14ac:dyDescent="0.3">
      <c r="A789" s="866"/>
      <c r="B789" s="399">
        <v>46318</v>
      </c>
      <c r="C789" s="4" t="s">
        <v>7437</v>
      </c>
      <c r="D789" s="4" t="s">
        <v>7438</v>
      </c>
      <c r="E789" s="871" t="s">
        <v>7439</v>
      </c>
      <c r="F789" s="871" t="s">
        <v>7440</v>
      </c>
      <c r="G789" s="16" t="s">
        <v>7441</v>
      </c>
      <c r="H789" s="875" t="s">
        <v>7536</v>
      </c>
      <c r="I789" s="871" t="s">
        <v>120</v>
      </c>
      <c r="J789" s="871"/>
      <c r="K789" s="125" t="s">
        <v>7374</v>
      </c>
      <c r="L789" s="16" t="s">
        <v>7412</v>
      </c>
      <c r="M789" s="8">
        <v>1</v>
      </c>
      <c r="N789" s="874"/>
      <c r="O789" s="430"/>
      <c r="P789" s="871"/>
    </row>
    <row r="790" spans="1:17" s="17" customFormat="1" ht="33" customHeight="1" x14ac:dyDescent="0.3">
      <c r="A790" s="793"/>
      <c r="B790" s="399">
        <v>46318</v>
      </c>
      <c r="C790" s="4" t="s">
        <v>6707</v>
      </c>
      <c r="D790" s="4" t="s">
        <v>25</v>
      </c>
      <c r="E790" s="871" t="s">
        <v>6709</v>
      </c>
      <c r="F790" s="871">
        <v>7065</v>
      </c>
      <c r="G790" s="16" t="s">
        <v>145</v>
      </c>
      <c r="H790" s="875" t="s">
        <v>7452</v>
      </c>
      <c r="I790" s="871" t="s">
        <v>7453</v>
      </c>
      <c r="J790" s="875"/>
      <c r="K790" s="277" t="s">
        <v>209</v>
      </c>
      <c r="L790" s="16" t="s">
        <v>4550</v>
      </c>
      <c r="M790" s="18" t="s">
        <v>209</v>
      </c>
      <c r="N790" s="799"/>
      <c r="O790" s="430"/>
      <c r="P790" s="797"/>
    </row>
    <row r="791" spans="1:17" s="17" customFormat="1" ht="33" customHeight="1" x14ac:dyDescent="0.3">
      <c r="A791" s="881"/>
      <c r="B791" s="399">
        <v>46318</v>
      </c>
      <c r="C791" s="4" t="s">
        <v>138</v>
      </c>
      <c r="D791" s="4" t="s">
        <v>177</v>
      </c>
      <c r="E791" s="883" t="s">
        <v>5890</v>
      </c>
      <c r="F791" s="883">
        <v>3307</v>
      </c>
      <c r="G791" s="16" t="s">
        <v>1328</v>
      </c>
      <c r="H791" s="889" t="s">
        <v>6970</v>
      </c>
      <c r="I791" s="883" t="s">
        <v>3730</v>
      </c>
      <c r="J791" s="883" t="s">
        <v>7473</v>
      </c>
      <c r="K791" s="125" t="s">
        <v>181</v>
      </c>
      <c r="L791" s="16" t="s">
        <v>209</v>
      </c>
      <c r="M791" s="8">
        <v>4</v>
      </c>
      <c r="N791" s="887"/>
      <c r="O791" s="430"/>
      <c r="P791" s="883"/>
    </row>
    <row r="792" spans="1:17" s="17" customFormat="1" ht="33" customHeight="1" x14ac:dyDescent="0.3">
      <c r="A792" s="794"/>
      <c r="B792" s="369">
        <v>46319</v>
      </c>
      <c r="C792" s="4"/>
      <c r="D792" s="4"/>
      <c r="E792" s="291"/>
      <c r="F792" s="797"/>
      <c r="G792" s="16"/>
      <c r="H792" s="800"/>
      <c r="I792" s="797"/>
      <c r="J792" s="797"/>
      <c r="K792" s="125"/>
      <c r="L792" s="16"/>
      <c r="M792" s="8"/>
      <c r="N792" s="797"/>
      <c r="O792" s="432"/>
      <c r="P792" s="797"/>
    </row>
    <row r="793" spans="1:17" s="17" customFormat="1" ht="33" customHeight="1" x14ac:dyDescent="0.3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7" s="17" customFormat="1" ht="33" customHeight="1" x14ac:dyDescent="0.3">
      <c r="A794" s="851" t="s">
        <v>7319</v>
      </c>
      <c r="B794" s="399">
        <v>46321</v>
      </c>
      <c r="C794" s="4" t="s">
        <v>21</v>
      </c>
      <c r="D794" s="4" t="s">
        <v>7427</v>
      </c>
      <c r="E794" s="875" t="s">
        <v>3280</v>
      </c>
      <c r="F794" s="871" t="s">
        <v>3635</v>
      </c>
      <c r="G794" s="16" t="s">
        <v>7428</v>
      </c>
      <c r="H794" s="875" t="s">
        <v>7429</v>
      </c>
      <c r="I794" s="854"/>
      <c r="J794" s="854" t="s">
        <v>7430</v>
      </c>
      <c r="K794" s="125" t="s">
        <v>7387</v>
      </c>
      <c r="L794" s="16" t="s">
        <v>7388</v>
      </c>
      <c r="M794" s="8"/>
      <c r="N794" s="854"/>
      <c r="O794" s="431"/>
      <c r="P794" s="854"/>
    </row>
    <row r="795" spans="1:17" s="17" customFormat="1" ht="33" customHeight="1" x14ac:dyDescent="0.3">
      <c r="A795" s="866"/>
      <c r="B795" s="399">
        <v>46321</v>
      </c>
      <c r="C795" s="4" t="s">
        <v>7447</v>
      </c>
      <c r="D795" s="4" t="s">
        <v>7448</v>
      </c>
      <c r="E795" s="875" t="s">
        <v>6551</v>
      </c>
      <c r="F795" s="871">
        <v>8262</v>
      </c>
      <c r="G795" s="16" t="s">
        <v>7449</v>
      </c>
      <c r="H795" s="875" t="s">
        <v>7451</v>
      </c>
      <c r="I795" s="871"/>
      <c r="J795" s="871" t="s">
        <v>7450</v>
      </c>
      <c r="K795" s="125" t="s">
        <v>84</v>
      </c>
      <c r="L795" s="16" t="s">
        <v>7388</v>
      </c>
      <c r="M795" s="8"/>
      <c r="N795" s="871"/>
      <c r="O795" s="431"/>
      <c r="P795" s="871"/>
    </row>
    <row r="796" spans="1:17" s="17" customFormat="1" ht="33" customHeight="1" x14ac:dyDescent="0.3">
      <c r="A796" s="866"/>
      <c r="B796" s="399">
        <v>46322</v>
      </c>
      <c r="C796" s="4" t="s">
        <v>7447</v>
      </c>
      <c r="D796" s="4" t="s">
        <v>7448</v>
      </c>
      <c r="E796" s="875" t="s">
        <v>6551</v>
      </c>
      <c r="F796" s="871">
        <v>8263</v>
      </c>
      <c r="G796" s="16" t="s">
        <v>7449</v>
      </c>
      <c r="H796" s="875" t="s">
        <v>7451</v>
      </c>
      <c r="I796" s="871"/>
      <c r="J796" s="871" t="s">
        <v>7450</v>
      </c>
      <c r="K796" s="125" t="s">
        <v>84</v>
      </c>
      <c r="L796" s="16" t="s">
        <v>7388</v>
      </c>
      <c r="M796" s="8"/>
      <c r="N796" s="871"/>
      <c r="O796" s="431"/>
      <c r="P796" s="871"/>
    </row>
    <row r="797" spans="1:17" s="17" customFormat="1" ht="33" customHeight="1" x14ac:dyDescent="0.3">
      <c r="A797" s="852"/>
      <c r="B797" s="399">
        <v>46322</v>
      </c>
      <c r="C797" s="4" t="s">
        <v>7457</v>
      </c>
      <c r="D797" s="4" t="s">
        <v>7458</v>
      </c>
      <c r="E797" s="875" t="s">
        <v>7279</v>
      </c>
      <c r="F797" s="871" t="s">
        <v>7456</v>
      </c>
      <c r="G797" s="16" t="s">
        <v>7394</v>
      </c>
      <c r="H797" s="875" t="s">
        <v>7459</v>
      </c>
      <c r="I797" s="871" t="s">
        <v>7410</v>
      </c>
      <c r="J797" s="871"/>
      <c r="K797" s="125" t="s">
        <v>7374</v>
      </c>
      <c r="L797" s="16" t="s">
        <v>4379</v>
      </c>
      <c r="M797" s="8"/>
      <c r="N797" s="854"/>
      <c r="O797" s="431"/>
      <c r="P797" s="854"/>
    </row>
    <row r="798" spans="1:17" s="17" customFormat="1" ht="33" customHeight="1" x14ac:dyDescent="0.3">
      <c r="A798" s="852"/>
      <c r="B798" s="399">
        <v>46323</v>
      </c>
      <c r="C798" s="4" t="s">
        <v>7457</v>
      </c>
      <c r="D798" s="4" t="s">
        <v>7460</v>
      </c>
      <c r="E798" s="889" t="s">
        <v>7393</v>
      </c>
      <c r="F798" s="871" t="s">
        <v>3498</v>
      </c>
      <c r="G798" s="16" t="s">
        <v>7394</v>
      </c>
      <c r="H798" s="875" t="s">
        <v>7461</v>
      </c>
      <c r="I798" s="871"/>
      <c r="J798" s="871" t="s">
        <v>7462</v>
      </c>
      <c r="K798" s="125" t="s">
        <v>7463</v>
      </c>
      <c r="L798" s="16" t="s">
        <v>6287</v>
      </c>
      <c r="M798" s="8"/>
      <c r="N798" s="858"/>
      <c r="O798" s="430"/>
      <c r="P798" s="854"/>
    </row>
    <row r="799" spans="1:17" s="17" customFormat="1" ht="33" customHeight="1" x14ac:dyDescent="0.3">
      <c r="A799" s="852"/>
      <c r="B799" s="399">
        <v>46324</v>
      </c>
      <c r="C799" s="4"/>
      <c r="D799" s="4"/>
      <c r="E799" s="854"/>
      <c r="F799" s="854"/>
      <c r="G799" s="16"/>
      <c r="H799" s="859"/>
      <c r="I799" s="854"/>
      <c r="J799" s="854"/>
      <c r="K799" s="125"/>
      <c r="L799" s="16"/>
      <c r="M799" s="8"/>
      <c r="N799" s="858"/>
      <c r="O799" s="430"/>
      <c r="P799" s="854"/>
    </row>
    <row r="800" spans="1:17" s="17" customFormat="1" ht="33" customHeight="1" x14ac:dyDescent="0.3">
      <c r="A800" s="852"/>
      <c r="B800" s="399">
        <v>46325</v>
      </c>
      <c r="C800" s="4"/>
      <c r="D800" s="4"/>
      <c r="E800" s="854"/>
      <c r="F800" s="854"/>
      <c r="G800" s="16"/>
      <c r="H800" s="859"/>
      <c r="I800" s="854"/>
      <c r="J800" s="859"/>
      <c r="K800" s="125"/>
      <c r="L800" s="16"/>
      <c r="M800" s="8"/>
      <c r="N800" s="858"/>
      <c r="O800" s="430"/>
      <c r="P800" s="854"/>
      <c r="Q800" s="17" t="s">
        <v>7454</v>
      </c>
    </row>
    <row r="801" spans="1:16" s="17" customFormat="1" ht="33" customHeight="1" x14ac:dyDescent="0.3">
      <c r="A801" s="867"/>
      <c r="B801" s="369" t="s">
        <v>6575</v>
      </c>
      <c r="C801" s="4" t="s">
        <v>21</v>
      </c>
      <c r="D801" s="4" t="s">
        <v>17</v>
      </c>
      <c r="E801" s="291" t="s">
        <v>7393</v>
      </c>
      <c r="F801" s="871" t="s">
        <v>7399</v>
      </c>
      <c r="G801" s="16" t="s">
        <v>7394</v>
      </c>
      <c r="H801" s="875" t="s">
        <v>7395</v>
      </c>
      <c r="I801" s="871"/>
      <c r="J801" s="871"/>
      <c r="K801" s="125"/>
      <c r="L801" s="16"/>
      <c r="M801" s="8"/>
      <c r="N801" s="755"/>
      <c r="O801" s="428" t="s">
        <v>7400</v>
      </c>
      <c r="P801" s="871"/>
    </row>
    <row r="802" spans="1:16" s="17" customFormat="1" ht="33" customHeight="1" x14ac:dyDescent="0.3">
      <c r="A802" s="322" t="s">
        <v>0</v>
      </c>
      <c r="B802" s="323" t="s">
        <v>1</v>
      </c>
      <c r="C802" s="322" t="s">
        <v>2</v>
      </c>
      <c r="D802" s="322" t="s">
        <v>3</v>
      </c>
      <c r="E802" s="322" t="s">
        <v>4</v>
      </c>
      <c r="F802" s="322" t="s">
        <v>5</v>
      </c>
      <c r="G802" s="322" t="s">
        <v>6</v>
      </c>
      <c r="H802" s="324" t="s">
        <v>7</v>
      </c>
      <c r="I802" s="322" t="s">
        <v>8</v>
      </c>
      <c r="J802" s="322" t="s">
        <v>9</v>
      </c>
      <c r="K802" s="325" t="s">
        <v>10</v>
      </c>
      <c r="L802" s="326" t="s">
        <v>11</v>
      </c>
      <c r="M802" s="322" t="s">
        <v>12</v>
      </c>
      <c r="N802" s="327" t="s">
        <v>13</v>
      </c>
      <c r="O802" s="427" t="s">
        <v>63</v>
      </c>
      <c r="P802" s="322" t="s">
        <v>123</v>
      </c>
    </row>
    <row r="803" spans="1:16" s="17" customFormat="1" ht="33" customHeight="1" x14ac:dyDescent="0.3">
      <c r="A803" s="851" t="s">
        <v>7320</v>
      </c>
      <c r="B803" s="369">
        <v>46328</v>
      </c>
      <c r="C803" s="4"/>
      <c r="D803" s="4"/>
      <c r="E803" s="854"/>
      <c r="F803" s="854"/>
      <c r="G803" s="16"/>
      <c r="H803" s="859"/>
      <c r="I803" s="854"/>
      <c r="J803" s="854"/>
      <c r="K803" s="125"/>
      <c r="L803" s="16"/>
      <c r="M803" s="8"/>
      <c r="N803" s="854"/>
      <c r="O803" s="431"/>
      <c r="P803" s="854"/>
    </row>
    <row r="804" spans="1:16" s="17" customFormat="1" ht="33" customHeight="1" x14ac:dyDescent="0.3">
      <c r="A804" s="852"/>
      <c r="B804" s="369">
        <v>46329</v>
      </c>
      <c r="C804" s="4" t="s">
        <v>21</v>
      </c>
      <c r="D804" s="4" t="s">
        <v>14</v>
      </c>
      <c r="E804" s="883" t="s">
        <v>107</v>
      </c>
      <c r="F804" s="453" t="s">
        <v>6745</v>
      </c>
      <c r="G804" s="16" t="s">
        <v>376</v>
      </c>
      <c r="H804" s="888" t="s">
        <v>7280</v>
      </c>
      <c r="I804" s="883" t="s">
        <v>120</v>
      </c>
      <c r="J804" s="883"/>
      <c r="K804" s="125" t="s">
        <v>15</v>
      </c>
      <c r="L804" s="16" t="s">
        <v>4379</v>
      </c>
      <c r="M804" s="8">
        <v>1</v>
      </c>
      <c r="N804" s="887"/>
      <c r="O804" s="430" t="s">
        <v>7281</v>
      </c>
      <c r="P804" s="854"/>
    </row>
    <row r="805" spans="1:16" s="17" customFormat="1" ht="33" customHeight="1" x14ac:dyDescent="0.3">
      <c r="A805" s="852"/>
      <c r="B805" s="369">
        <v>46330</v>
      </c>
      <c r="C805" s="4"/>
      <c r="D805" s="4"/>
      <c r="E805" s="854"/>
      <c r="F805" s="854"/>
      <c r="G805" s="16"/>
      <c r="H805" s="859"/>
      <c r="I805" s="854"/>
      <c r="J805" s="854"/>
      <c r="K805" s="125"/>
      <c r="L805" s="16"/>
      <c r="M805" s="8"/>
      <c r="N805" s="858"/>
      <c r="O805" s="430"/>
      <c r="P805" s="854"/>
    </row>
    <row r="806" spans="1:16" s="17" customFormat="1" ht="33" customHeight="1" x14ac:dyDescent="0.3">
      <c r="A806" s="852"/>
      <c r="B806" s="369">
        <v>46331</v>
      </c>
      <c r="C806" s="4"/>
      <c r="D806" s="4"/>
      <c r="E806" s="854"/>
      <c r="F806" s="854"/>
      <c r="G806" s="16"/>
      <c r="H806" s="859"/>
      <c r="I806" s="854"/>
      <c r="J806" s="854"/>
      <c r="K806" s="125"/>
      <c r="L806" s="16"/>
      <c r="M806" s="8"/>
      <c r="N806" s="858"/>
      <c r="O806" s="430"/>
      <c r="P806" s="854"/>
    </row>
    <row r="807" spans="1:16" s="17" customFormat="1" ht="33" customHeight="1" x14ac:dyDescent="0.3">
      <c r="A807" s="852"/>
      <c r="B807" s="369">
        <v>46332</v>
      </c>
      <c r="C807" s="4"/>
      <c r="D807" s="4"/>
      <c r="E807" s="854"/>
      <c r="F807" s="854"/>
      <c r="G807" s="16"/>
      <c r="H807" s="859"/>
      <c r="I807" s="854"/>
      <c r="J807" s="859"/>
      <c r="K807" s="125"/>
      <c r="L807" s="16"/>
      <c r="M807" s="8"/>
      <c r="N807" s="858"/>
      <c r="O807" s="430"/>
      <c r="P807" s="854"/>
    </row>
    <row r="808" spans="1:16" s="17" customFormat="1" ht="33" customHeight="1" x14ac:dyDescent="0.3">
      <c r="A808" s="853"/>
      <c r="B808" s="369">
        <v>46333</v>
      </c>
      <c r="C808" s="4"/>
      <c r="D808" s="4"/>
      <c r="E808" s="291"/>
      <c r="F808" s="854"/>
      <c r="G808" s="16"/>
      <c r="H808" s="859"/>
      <c r="I808" s="854"/>
      <c r="J808" s="854"/>
      <c r="K808" s="125"/>
      <c r="L808" s="16"/>
      <c r="M808" s="8"/>
      <c r="N808" s="854"/>
      <c r="O808" s="432"/>
      <c r="P808" s="854"/>
    </row>
    <row r="809" spans="1:16" s="17" customFormat="1" ht="33" customHeight="1" x14ac:dyDescent="0.3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6" s="17" customFormat="1" ht="33" customHeight="1" x14ac:dyDescent="0.3">
      <c r="A810" s="851" t="s">
        <v>7321</v>
      </c>
      <c r="B810" s="369">
        <v>46335</v>
      </c>
      <c r="C810" s="4"/>
      <c r="D810" s="4"/>
      <c r="E810" s="854"/>
      <c r="F810" s="854"/>
      <c r="G810" s="16"/>
      <c r="H810" s="859"/>
      <c r="I810" s="854"/>
      <c r="J810" s="854"/>
      <c r="K810" s="125"/>
      <c r="L810" s="16"/>
      <c r="M810" s="8"/>
      <c r="N810" s="854"/>
      <c r="O810" s="431"/>
      <c r="P810" s="854"/>
    </row>
    <row r="811" spans="1:16" s="17" customFormat="1" ht="33" customHeight="1" x14ac:dyDescent="0.3">
      <c r="A811" s="852"/>
      <c r="B811" s="369">
        <v>46336</v>
      </c>
      <c r="C811" s="4"/>
      <c r="D811" s="4"/>
      <c r="E811" s="854"/>
      <c r="F811" s="854"/>
      <c r="G811" s="16"/>
      <c r="H811" s="859"/>
      <c r="I811" s="854"/>
      <c r="J811" s="854"/>
      <c r="K811" s="125"/>
      <c r="L811" s="16"/>
      <c r="M811" s="8"/>
      <c r="N811" s="854"/>
      <c r="O811" s="431"/>
      <c r="P811" s="854"/>
    </row>
    <row r="812" spans="1:16" s="17" customFormat="1" ht="33" customHeight="1" x14ac:dyDescent="0.3">
      <c r="A812" s="852"/>
      <c r="B812" s="369">
        <v>46337</v>
      </c>
      <c r="C812" s="4"/>
      <c r="D812" s="4"/>
      <c r="E812" s="854"/>
      <c r="F812" s="854"/>
      <c r="G812" s="16"/>
      <c r="H812" s="859"/>
      <c r="I812" s="854"/>
      <c r="J812" s="854"/>
      <c r="K812" s="125"/>
      <c r="L812" s="16"/>
      <c r="M812" s="8"/>
      <c r="N812" s="858"/>
      <c r="O812" s="430"/>
      <c r="P812" s="854"/>
    </row>
    <row r="813" spans="1:16" s="17" customFormat="1" ht="33" customHeight="1" x14ac:dyDescent="0.3">
      <c r="A813" s="852"/>
      <c r="B813" s="369">
        <v>46338</v>
      </c>
      <c r="C813" s="4" t="s">
        <v>7528</v>
      </c>
      <c r="D813" s="4" t="s">
        <v>7529</v>
      </c>
      <c r="E813" s="854" t="s">
        <v>1787</v>
      </c>
      <c r="F813" s="854" t="s">
        <v>7530</v>
      </c>
      <c r="G813" s="16" t="s">
        <v>7531</v>
      </c>
      <c r="H813" s="859" t="s">
        <v>7532</v>
      </c>
      <c r="I813" s="854" t="s">
        <v>7533</v>
      </c>
      <c r="J813" s="854"/>
      <c r="K813" s="125" t="s">
        <v>7534</v>
      </c>
      <c r="L813" s="16" t="s">
        <v>7535</v>
      </c>
      <c r="M813" s="8">
        <v>1</v>
      </c>
      <c r="N813" s="858"/>
      <c r="O813" s="430"/>
      <c r="P813" s="854"/>
    </row>
    <row r="814" spans="1:16" s="17" customFormat="1" ht="33" customHeight="1" x14ac:dyDescent="0.3">
      <c r="A814" s="852"/>
      <c r="B814" s="369">
        <v>46339</v>
      </c>
      <c r="C814" s="4"/>
      <c r="D814" s="4"/>
      <c r="E814" s="854"/>
      <c r="F814" s="854"/>
      <c r="G814" s="16"/>
      <c r="H814" s="859"/>
      <c r="I814" s="854"/>
      <c r="J814" s="859"/>
      <c r="K814" s="125"/>
      <c r="L814" s="16"/>
      <c r="M814" s="8"/>
      <c r="N814" s="858"/>
      <c r="O814" s="430"/>
      <c r="P814" s="854"/>
    </row>
    <row r="815" spans="1:16" s="17" customFormat="1" ht="33" customHeight="1" x14ac:dyDescent="0.3">
      <c r="A815" s="853"/>
      <c r="B815" s="369">
        <v>46340</v>
      </c>
      <c r="C815" s="4"/>
      <c r="D815" s="4"/>
      <c r="E815" s="291"/>
      <c r="F815" s="854"/>
      <c r="G815" s="16"/>
      <c r="H815" s="859"/>
      <c r="I815" s="854"/>
      <c r="J815" s="854"/>
      <c r="K815" s="125"/>
      <c r="L815" s="16"/>
      <c r="M815" s="8"/>
      <c r="N815" s="854"/>
      <c r="O815" s="432"/>
      <c r="P815" s="854"/>
    </row>
    <row r="816" spans="1:16" s="17" customFormat="1" ht="33" customHeight="1" x14ac:dyDescent="0.3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 x14ac:dyDescent="0.3">
      <c r="A817" s="851" t="s">
        <v>7322</v>
      </c>
      <c r="B817" s="369">
        <v>46342</v>
      </c>
      <c r="C817" s="4" t="s">
        <v>138</v>
      </c>
      <c r="D817" s="4" t="s">
        <v>30</v>
      </c>
      <c r="E817" s="871" t="s">
        <v>107</v>
      </c>
      <c r="F817" s="871" t="s">
        <v>3345</v>
      </c>
      <c r="G817" s="16" t="s">
        <v>67</v>
      </c>
      <c r="H817" s="875" t="s">
        <v>7329</v>
      </c>
      <c r="I817" s="871"/>
      <c r="J817" s="871" t="s">
        <v>7317</v>
      </c>
      <c r="K817" s="125" t="s">
        <v>84</v>
      </c>
      <c r="L817" s="16" t="s">
        <v>4550</v>
      </c>
      <c r="M817" s="8"/>
      <c r="N817" s="854"/>
      <c r="O817" s="431"/>
      <c r="P817" s="854"/>
    </row>
    <row r="818" spans="1:16" s="17" customFormat="1" ht="33" customHeight="1" x14ac:dyDescent="0.3">
      <c r="A818" s="852"/>
      <c r="B818" s="369">
        <v>46343</v>
      </c>
      <c r="C818" s="4" t="s">
        <v>138</v>
      </c>
      <c r="D818" s="4" t="s">
        <v>30</v>
      </c>
      <c r="E818" s="871" t="s">
        <v>107</v>
      </c>
      <c r="F818" s="871" t="s">
        <v>3345</v>
      </c>
      <c r="G818" s="16" t="s">
        <v>67</v>
      </c>
      <c r="H818" s="875" t="s">
        <v>7329</v>
      </c>
      <c r="I818" s="871"/>
      <c r="J818" s="871" t="s">
        <v>7317</v>
      </c>
      <c r="K818" s="125" t="s">
        <v>84</v>
      </c>
      <c r="L818" s="16" t="s">
        <v>4550</v>
      </c>
      <c r="M818" s="8"/>
      <c r="N818" s="854"/>
      <c r="O818" s="431"/>
      <c r="P818" s="854"/>
    </row>
    <row r="819" spans="1:16" s="17" customFormat="1" ht="33" customHeight="1" x14ac:dyDescent="0.3">
      <c r="A819" s="852"/>
      <c r="B819" s="369">
        <v>46344</v>
      </c>
      <c r="C819" s="4" t="s">
        <v>138</v>
      </c>
      <c r="D819" s="4" t="s">
        <v>30</v>
      </c>
      <c r="E819" s="871" t="s">
        <v>107</v>
      </c>
      <c r="F819" s="871" t="s">
        <v>3345</v>
      </c>
      <c r="G819" s="16" t="s">
        <v>67</v>
      </c>
      <c r="H819" s="875" t="s">
        <v>7329</v>
      </c>
      <c r="I819" s="871"/>
      <c r="J819" s="871" t="s">
        <v>7317</v>
      </c>
      <c r="K819" s="125" t="s">
        <v>84</v>
      </c>
      <c r="L819" s="16" t="s">
        <v>4550</v>
      </c>
      <c r="M819" s="8"/>
      <c r="N819" s="858"/>
      <c r="O819" s="430"/>
      <c r="P819" s="854"/>
    </row>
    <row r="820" spans="1:16" s="17" customFormat="1" ht="33" customHeight="1" x14ac:dyDescent="0.3">
      <c r="A820" s="852"/>
      <c r="B820" s="369">
        <v>46345</v>
      </c>
      <c r="C820" s="4" t="s">
        <v>138</v>
      </c>
      <c r="D820" s="4" t="s">
        <v>30</v>
      </c>
      <c r="E820" s="871" t="s">
        <v>107</v>
      </c>
      <c r="F820" s="871" t="s">
        <v>3345</v>
      </c>
      <c r="G820" s="16" t="s">
        <v>67</v>
      </c>
      <c r="H820" s="875" t="s">
        <v>7329</v>
      </c>
      <c r="I820" s="871"/>
      <c r="J820" s="871" t="s">
        <v>7317</v>
      </c>
      <c r="K820" s="125" t="s">
        <v>84</v>
      </c>
      <c r="L820" s="16" t="s">
        <v>4550</v>
      </c>
      <c r="M820" s="8"/>
      <c r="N820" s="858"/>
      <c r="O820" s="430"/>
      <c r="P820" s="854"/>
    </row>
    <row r="821" spans="1:16" s="17" customFormat="1" ht="33" customHeight="1" x14ac:dyDescent="0.3">
      <c r="A821" s="852"/>
      <c r="B821" s="369">
        <v>46346</v>
      </c>
      <c r="C821" s="4"/>
      <c r="D821" s="4"/>
      <c r="E821" s="854"/>
      <c r="F821" s="854"/>
      <c r="G821" s="16"/>
      <c r="H821" s="859"/>
      <c r="I821" s="854"/>
      <c r="J821" s="859"/>
      <c r="K821" s="125"/>
      <c r="L821" s="16"/>
      <c r="M821" s="8"/>
      <c r="N821" s="858"/>
      <c r="O821" s="430"/>
      <c r="P821" s="854"/>
    </row>
    <row r="822" spans="1:16" s="17" customFormat="1" ht="33" customHeight="1" x14ac:dyDescent="0.3">
      <c r="A822" s="853"/>
      <c r="B822" s="369">
        <v>46347</v>
      </c>
      <c r="C822" s="4"/>
      <c r="D822" s="4"/>
      <c r="E822" s="291"/>
      <c r="F822" s="854"/>
      <c r="G822" s="16"/>
      <c r="H822" s="859"/>
      <c r="I822" s="854"/>
      <c r="J822" s="854"/>
      <c r="K822" s="125"/>
      <c r="L822" s="16"/>
      <c r="M822" s="8"/>
      <c r="N822" s="854"/>
      <c r="O822" s="432"/>
      <c r="P822" s="854"/>
    </row>
    <row r="823" spans="1:16" s="17" customFormat="1" ht="33" customHeight="1" x14ac:dyDescent="0.3">
      <c r="A823" s="322" t="s">
        <v>0</v>
      </c>
      <c r="B823" s="323" t="s">
        <v>1</v>
      </c>
      <c r="C823" s="322" t="s">
        <v>2</v>
      </c>
      <c r="D823" s="322" t="s">
        <v>3</v>
      </c>
      <c r="E823" s="322" t="s">
        <v>4</v>
      </c>
      <c r="F823" s="322" t="s">
        <v>5</v>
      </c>
      <c r="G823" s="322" t="s">
        <v>6</v>
      </c>
      <c r="H823" s="324" t="s">
        <v>7</v>
      </c>
      <c r="I823" s="322" t="s">
        <v>8</v>
      </c>
      <c r="J823" s="322" t="s">
        <v>9</v>
      </c>
      <c r="K823" s="325" t="s">
        <v>10</v>
      </c>
      <c r="L823" s="326" t="s">
        <v>11</v>
      </c>
      <c r="M823" s="322" t="s">
        <v>12</v>
      </c>
      <c r="N823" s="327" t="s">
        <v>13</v>
      </c>
      <c r="O823" s="427" t="s">
        <v>63</v>
      </c>
      <c r="P823" s="322" t="s">
        <v>123</v>
      </c>
    </row>
    <row r="824" spans="1:16" s="17" customFormat="1" ht="33" customHeight="1" x14ac:dyDescent="0.3">
      <c r="A824" s="851" t="s">
        <v>7323</v>
      </c>
      <c r="B824" s="369">
        <v>46349</v>
      </c>
      <c r="C824" s="4"/>
      <c r="D824" s="4"/>
      <c r="E824" s="854"/>
      <c r="F824" s="854"/>
      <c r="G824" s="16"/>
      <c r="H824" s="859"/>
      <c r="I824" s="854"/>
      <c r="J824" s="854"/>
      <c r="K824" s="125"/>
      <c r="L824" s="16"/>
      <c r="M824" s="8"/>
      <c r="N824" s="854"/>
      <c r="O824" s="431"/>
      <c r="P824" s="854"/>
    </row>
    <row r="825" spans="1:16" s="17" customFormat="1" ht="33" customHeight="1" x14ac:dyDescent="0.3">
      <c r="A825" s="852"/>
      <c r="B825" s="369">
        <v>46350</v>
      </c>
      <c r="C825" s="4"/>
      <c r="D825" s="4"/>
      <c r="E825" s="854"/>
      <c r="F825" s="854"/>
      <c r="G825" s="16"/>
      <c r="H825" s="859"/>
      <c r="I825" s="854"/>
      <c r="J825" s="854"/>
      <c r="K825" s="125"/>
      <c r="L825" s="16"/>
      <c r="M825" s="8"/>
      <c r="N825" s="854"/>
      <c r="O825" s="431"/>
      <c r="P825" s="854"/>
    </row>
    <row r="826" spans="1:16" s="17" customFormat="1" ht="33" customHeight="1" x14ac:dyDescent="0.3">
      <c r="A826" s="852"/>
      <c r="B826" s="369">
        <v>46351</v>
      </c>
      <c r="C826" s="4"/>
      <c r="D826" s="4"/>
      <c r="E826" s="854"/>
      <c r="F826" s="854"/>
      <c r="G826" s="16"/>
      <c r="H826" s="859"/>
      <c r="I826" s="854"/>
      <c r="J826" s="854"/>
      <c r="K826" s="125"/>
      <c r="L826" s="16"/>
      <c r="M826" s="8"/>
      <c r="N826" s="858"/>
      <c r="O826" s="430"/>
      <c r="P826" s="854"/>
    </row>
    <row r="827" spans="1:16" s="17" customFormat="1" ht="33" customHeight="1" x14ac:dyDescent="0.3">
      <c r="A827" s="852"/>
      <c r="B827" s="369">
        <v>46352</v>
      </c>
      <c r="C827" s="4"/>
      <c r="D827" s="4"/>
      <c r="E827" s="854"/>
      <c r="F827" s="854"/>
      <c r="G827" s="16"/>
      <c r="H827" s="859"/>
      <c r="I827" s="854"/>
      <c r="J827" s="854"/>
      <c r="K827" s="125"/>
      <c r="L827" s="16"/>
      <c r="M827" s="8"/>
      <c r="N827" s="858"/>
      <c r="O827" s="430"/>
      <c r="P827" s="854"/>
    </row>
    <row r="828" spans="1:16" s="17" customFormat="1" ht="33" customHeight="1" x14ac:dyDescent="0.3">
      <c r="A828" s="852"/>
      <c r="B828" s="369">
        <v>46353</v>
      </c>
      <c r="C828" s="4"/>
      <c r="D828" s="4"/>
      <c r="E828" s="854"/>
      <c r="F828" s="854"/>
      <c r="G828" s="16"/>
      <c r="H828" s="859"/>
      <c r="I828" s="854"/>
      <c r="J828" s="859"/>
      <c r="K828" s="125"/>
      <c r="L828" s="16"/>
      <c r="M828" s="8"/>
      <c r="N828" s="858"/>
      <c r="O828" s="430"/>
      <c r="P828" s="854"/>
    </row>
    <row r="829" spans="1:16" s="17" customFormat="1" ht="33" customHeight="1" x14ac:dyDescent="0.3">
      <c r="A829" s="853"/>
      <c r="B829" s="369">
        <v>46354</v>
      </c>
      <c r="C829" s="4"/>
      <c r="D829" s="4"/>
      <c r="E829" s="291"/>
      <c r="F829" s="854"/>
      <c r="G829" s="16"/>
      <c r="H829" s="859"/>
      <c r="I829" s="854"/>
      <c r="J829" s="854"/>
      <c r="K829" s="125"/>
      <c r="L829" s="16"/>
      <c r="M829" s="8"/>
      <c r="N829" s="854"/>
      <c r="O829" s="432"/>
      <c r="P829" s="854"/>
    </row>
    <row r="830" spans="1:16" s="17" customFormat="1" ht="33" customHeight="1" x14ac:dyDescent="0.3">
      <c r="A830" s="322" t="s">
        <v>0</v>
      </c>
      <c r="B830" s="323" t="s">
        <v>1</v>
      </c>
      <c r="C830" s="322" t="s">
        <v>2</v>
      </c>
      <c r="D830" s="322" t="s">
        <v>3</v>
      </c>
      <c r="E830" s="322" t="s">
        <v>4</v>
      </c>
      <c r="F830" s="322" t="s">
        <v>5</v>
      </c>
      <c r="G830" s="322" t="s">
        <v>6</v>
      </c>
      <c r="H830" s="324" t="s">
        <v>7</v>
      </c>
      <c r="I830" s="322" t="s">
        <v>8</v>
      </c>
      <c r="J830" s="322" t="s">
        <v>9</v>
      </c>
      <c r="K830" s="325" t="s">
        <v>10</v>
      </c>
      <c r="L830" s="326" t="s">
        <v>11</v>
      </c>
      <c r="M830" s="322" t="s">
        <v>12</v>
      </c>
      <c r="N830" s="327" t="s">
        <v>13</v>
      </c>
      <c r="O830" s="427" t="s">
        <v>63</v>
      </c>
      <c r="P830" s="322" t="s">
        <v>123</v>
      </c>
    </row>
    <row r="831" spans="1:16" s="17" customFormat="1" ht="33" customHeight="1" x14ac:dyDescent="0.3">
      <c r="A831" s="851" t="s">
        <v>7324</v>
      </c>
      <c r="B831" s="369">
        <v>46356</v>
      </c>
      <c r="C831" s="4"/>
      <c r="D831" s="4"/>
      <c r="E831" s="854"/>
      <c r="F831" s="854"/>
      <c r="G831" s="16"/>
      <c r="H831" s="859"/>
      <c r="I831" s="854"/>
      <c r="J831" s="854"/>
      <c r="K831" s="125"/>
      <c r="L831" s="16"/>
      <c r="M831" s="8"/>
      <c r="N831" s="854"/>
      <c r="O831" s="431"/>
      <c r="P831" s="854"/>
    </row>
    <row r="832" spans="1:16" s="17" customFormat="1" ht="33" customHeight="1" x14ac:dyDescent="0.3">
      <c r="A832" s="852"/>
      <c r="B832" s="369">
        <v>46357</v>
      </c>
      <c r="C832" s="4"/>
      <c r="D832" s="4"/>
      <c r="E832" s="854"/>
      <c r="F832" s="854"/>
      <c r="G832" s="16"/>
      <c r="H832" s="859"/>
      <c r="I832" s="854"/>
      <c r="J832" s="854"/>
      <c r="K832" s="125"/>
      <c r="L832" s="16"/>
      <c r="M832" s="8"/>
      <c r="N832" s="854"/>
      <c r="O832" s="431"/>
      <c r="P832" s="854"/>
    </row>
    <row r="833" spans="1:16" s="17" customFormat="1" ht="33" customHeight="1" x14ac:dyDescent="0.3">
      <c r="A833" s="852"/>
      <c r="B833" s="369">
        <v>46358</v>
      </c>
      <c r="C833" s="4"/>
      <c r="D833" s="4"/>
      <c r="E833" s="854"/>
      <c r="F833" s="854"/>
      <c r="G833" s="16"/>
      <c r="H833" s="859"/>
      <c r="I833" s="854"/>
      <c r="J833" s="854"/>
      <c r="K833" s="125"/>
      <c r="L833" s="16"/>
      <c r="M833" s="8"/>
      <c r="N833" s="858"/>
      <c r="O833" s="430"/>
      <c r="P833" s="854"/>
    </row>
    <row r="834" spans="1:16" s="17" customFormat="1" ht="33" customHeight="1" x14ac:dyDescent="0.3">
      <c r="A834" s="852"/>
      <c r="B834" s="369">
        <v>46359</v>
      </c>
      <c r="C834" s="4"/>
      <c r="D834" s="4"/>
      <c r="E834" s="854"/>
      <c r="F834" s="854"/>
      <c r="G834" s="16"/>
      <c r="H834" s="859"/>
      <c r="I834" s="854"/>
      <c r="J834" s="854"/>
      <c r="K834" s="125"/>
      <c r="L834" s="16"/>
      <c r="M834" s="8"/>
      <c r="N834" s="858"/>
      <c r="O834" s="430"/>
      <c r="P834" s="854"/>
    </row>
    <row r="835" spans="1:16" s="17" customFormat="1" ht="33" customHeight="1" x14ac:dyDescent="0.3">
      <c r="A835" s="852"/>
      <c r="B835" s="369">
        <v>46360</v>
      </c>
      <c r="C835" s="4"/>
      <c r="D835" s="4"/>
      <c r="E835" s="854"/>
      <c r="F835" s="854"/>
      <c r="G835" s="16"/>
      <c r="H835" s="859"/>
      <c r="I835" s="854"/>
      <c r="J835" s="859"/>
      <c r="K835" s="125"/>
      <c r="L835" s="16"/>
      <c r="M835" s="8"/>
      <c r="N835" s="858"/>
      <c r="O835" s="430"/>
      <c r="P835" s="854"/>
    </row>
    <row r="836" spans="1:16" s="17" customFormat="1" ht="33" customHeight="1" x14ac:dyDescent="0.3">
      <c r="A836" s="853"/>
      <c r="B836" s="369">
        <v>46361</v>
      </c>
      <c r="C836" s="4"/>
      <c r="D836" s="4"/>
      <c r="E836" s="291"/>
      <c r="F836" s="854"/>
      <c r="G836" s="16"/>
      <c r="H836" s="859"/>
      <c r="I836" s="854"/>
      <c r="J836" s="854"/>
      <c r="K836" s="125"/>
      <c r="L836" s="16"/>
      <c r="M836" s="8"/>
      <c r="N836" s="854"/>
      <c r="O836" s="432"/>
      <c r="P836" s="854"/>
    </row>
    <row r="837" spans="1:16" s="17" customFormat="1" ht="33" customHeight="1" x14ac:dyDescent="0.3">
      <c r="A837" s="322" t="s">
        <v>0</v>
      </c>
      <c r="B837" s="323" t="s">
        <v>1</v>
      </c>
      <c r="C837" s="322" t="s">
        <v>2</v>
      </c>
      <c r="D837" s="322" t="s">
        <v>3</v>
      </c>
      <c r="E837" s="322" t="s">
        <v>4</v>
      </c>
      <c r="F837" s="322" t="s">
        <v>5</v>
      </c>
      <c r="G837" s="322" t="s">
        <v>6</v>
      </c>
      <c r="H837" s="324" t="s">
        <v>7</v>
      </c>
      <c r="I837" s="322" t="s">
        <v>8</v>
      </c>
      <c r="J837" s="322" t="s">
        <v>9</v>
      </c>
      <c r="K837" s="325" t="s">
        <v>10</v>
      </c>
      <c r="L837" s="326" t="s">
        <v>11</v>
      </c>
      <c r="M837" s="322" t="s">
        <v>12</v>
      </c>
      <c r="N837" s="327" t="s">
        <v>13</v>
      </c>
      <c r="O837" s="427" t="s">
        <v>63</v>
      </c>
      <c r="P837" s="322" t="s">
        <v>123</v>
      </c>
    </row>
    <row r="838" spans="1:16" s="17" customFormat="1" ht="33" customHeight="1" x14ac:dyDescent="0.3">
      <c r="A838" s="851" t="s">
        <v>7325</v>
      </c>
      <c r="B838" s="369">
        <v>46363</v>
      </c>
      <c r="C838" s="4"/>
      <c r="D838" s="4"/>
      <c r="E838" s="854"/>
      <c r="F838" s="854"/>
      <c r="G838" s="16"/>
      <c r="H838" s="859"/>
      <c r="I838" s="854"/>
      <c r="J838" s="854"/>
      <c r="K838" s="125"/>
      <c r="L838" s="16"/>
      <c r="M838" s="8"/>
      <c r="N838" s="854"/>
      <c r="O838" s="431"/>
      <c r="P838" s="854"/>
    </row>
    <row r="839" spans="1:16" s="17" customFormat="1" ht="33" customHeight="1" x14ac:dyDescent="0.3">
      <c r="A839" s="852"/>
      <c r="B839" s="369">
        <v>46364</v>
      </c>
      <c r="C839" s="4"/>
      <c r="D839" s="4"/>
      <c r="E839" s="854"/>
      <c r="F839" s="854"/>
      <c r="G839" s="16"/>
      <c r="H839" s="859"/>
      <c r="I839" s="854"/>
      <c r="J839" s="854"/>
      <c r="K839" s="125"/>
      <c r="L839" s="16"/>
      <c r="M839" s="8"/>
      <c r="N839" s="854"/>
      <c r="O839" s="431"/>
      <c r="P839" s="854"/>
    </row>
    <row r="840" spans="1:16" s="17" customFormat="1" ht="33" customHeight="1" x14ac:dyDescent="0.3">
      <c r="A840" s="852"/>
      <c r="B840" s="369">
        <v>46365</v>
      </c>
      <c r="C840" s="4"/>
      <c r="D840" s="4"/>
      <c r="E840" s="854"/>
      <c r="F840" s="854"/>
      <c r="G840" s="16"/>
      <c r="H840" s="859"/>
      <c r="I840" s="854"/>
      <c r="J840" s="854"/>
      <c r="K840" s="125"/>
      <c r="L840" s="16"/>
      <c r="M840" s="8"/>
      <c r="N840" s="858"/>
      <c r="O840" s="430"/>
      <c r="P840" s="854"/>
    </row>
    <row r="841" spans="1:16" s="17" customFormat="1" ht="33" customHeight="1" x14ac:dyDescent="0.3">
      <c r="A841" s="852"/>
      <c r="B841" s="369">
        <v>46366</v>
      </c>
      <c r="C841" s="4"/>
      <c r="D841" s="4"/>
      <c r="E841" s="854"/>
      <c r="F841" s="854"/>
      <c r="G841" s="16"/>
      <c r="H841" s="859"/>
      <c r="I841" s="854"/>
      <c r="J841" s="854"/>
      <c r="K841" s="125"/>
      <c r="L841" s="16"/>
      <c r="M841" s="8"/>
      <c r="N841" s="858"/>
      <c r="O841" s="430"/>
      <c r="P841" s="854"/>
    </row>
    <row r="842" spans="1:16" s="17" customFormat="1" ht="33" customHeight="1" x14ac:dyDescent="0.3">
      <c r="A842" s="852"/>
      <c r="B842" s="369">
        <v>46367</v>
      </c>
      <c r="C842" s="4"/>
      <c r="D842" s="4"/>
      <c r="E842" s="854"/>
      <c r="F842" s="854"/>
      <c r="G842" s="16"/>
      <c r="H842" s="859"/>
      <c r="I842" s="854"/>
      <c r="J842" s="859"/>
      <c r="K842" s="125"/>
      <c r="L842" s="16"/>
      <c r="M842" s="8"/>
      <c r="N842" s="858"/>
      <c r="O842" s="430"/>
      <c r="P842" s="854"/>
    </row>
    <row r="843" spans="1:16" s="17" customFormat="1" ht="33" customHeight="1" x14ac:dyDescent="0.3">
      <c r="A843" s="853"/>
      <c r="B843" s="369">
        <v>46368</v>
      </c>
      <c r="C843" s="4"/>
      <c r="D843" s="4"/>
      <c r="E843" s="291"/>
      <c r="F843" s="854"/>
      <c r="G843" s="16"/>
      <c r="H843" s="859"/>
      <c r="I843" s="854"/>
      <c r="J843" s="854"/>
      <c r="K843" s="125"/>
      <c r="L843" s="16"/>
      <c r="M843" s="8"/>
      <c r="N843" s="854"/>
      <c r="O843" s="432"/>
      <c r="P843" s="854"/>
    </row>
    <row r="844" spans="1:16" s="17" customFormat="1" ht="33" customHeight="1" x14ac:dyDescent="0.3">
      <c r="A844" s="322" t="s">
        <v>0</v>
      </c>
      <c r="B844" s="323" t="s">
        <v>1</v>
      </c>
      <c r="C844" s="322" t="s">
        <v>2</v>
      </c>
      <c r="D844" s="322" t="s">
        <v>3</v>
      </c>
      <c r="E844" s="322" t="s">
        <v>4</v>
      </c>
      <c r="F844" s="322" t="s">
        <v>5</v>
      </c>
      <c r="G844" s="322" t="s">
        <v>6</v>
      </c>
      <c r="H844" s="324" t="s">
        <v>7</v>
      </c>
      <c r="I844" s="322" t="s">
        <v>8</v>
      </c>
      <c r="J844" s="322" t="s">
        <v>9</v>
      </c>
      <c r="K844" s="325" t="s">
        <v>10</v>
      </c>
      <c r="L844" s="326" t="s">
        <v>11</v>
      </c>
      <c r="M844" s="322" t="s">
        <v>12</v>
      </c>
      <c r="N844" s="327" t="s">
        <v>13</v>
      </c>
      <c r="O844" s="427" t="s">
        <v>63</v>
      </c>
      <c r="P844" s="322" t="s">
        <v>123</v>
      </c>
    </row>
    <row r="845" spans="1:16" s="17" customFormat="1" ht="33" customHeight="1" x14ac:dyDescent="0.3">
      <c r="A845" s="851" t="s">
        <v>7326</v>
      </c>
      <c r="B845" s="369">
        <v>46370</v>
      </c>
      <c r="C845" s="4"/>
      <c r="D845" s="4"/>
      <c r="E845" s="854"/>
      <c r="F845" s="854"/>
      <c r="G845" s="16"/>
      <c r="H845" s="859"/>
      <c r="I845" s="854"/>
      <c r="J845" s="854"/>
      <c r="K845" s="125"/>
      <c r="L845" s="16"/>
      <c r="M845" s="8"/>
      <c r="N845" s="854"/>
      <c r="O845" s="431"/>
      <c r="P845" s="854"/>
    </row>
    <row r="846" spans="1:16" s="17" customFormat="1" ht="33" customHeight="1" x14ac:dyDescent="0.3">
      <c r="A846" s="852"/>
      <c r="B846" s="369">
        <v>46371</v>
      </c>
      <c r="C846" s="4"/>
      <c r="D846" s="4"/>
      <c r="E846" s="854"/>
      <c r="F846" s="854"/>
      <c r="G846" s="16"/>
      <c r="H846" s="859"/>
      <c r="I846" s="854"/>
      <c r="J846" s="854"/>
      <c r="K846" s="125"/>
      <c r="L846" s="16"/>
      <c r="M846" s="8"/>
      <c r="N846" s="854"/>
      <c r="O846" s="431"/>
      <c r="P846" s="854"/>
    </row>
    <row r="847" spans="1:16" s="17" customFormat="1" ht="33" customHeight="1" x14ac:dyDescent="0.3">
      <c r="A847" s="852"/>
      <c r="B847" s="369">
        <v>46372</v>
      </c>
      <c r="C847" s="4"/>
      <c r="D847" s="4"/>
      <c r="E847" s="854"/>
      <c r="F847" s="854"/>
      <c r="G847" s="16"/>
      <c r="H847" s="859"/>
      <c r="I847" s="854"/>
      <c r="J847" s="854"/>
      <c r="K847" s="125"/>
      <c r="L847" s="16"/>
      <c r="M847" s="8"/>
      <c r="N847" s="858"/>
      <c r="O847" s="430"/>
      <c r="P847" s="854"/>
    </row>
    <row r="848" spans="1:16" s="17" customFormat="1" ht="33" customHeight="1" x14ac:dyDescent="0.3">
      <c r="A848" s="852"/>
      <c r="B848" s="369">
        <v>46373</v>
      </c>
      <c r="C848" s="4"/>
      <c r="D848" s="4"/>
      <c r="E848" s="854"/>
      <c r="F848" s="854"/>
      <c r="G848" s="16"/>
      <c r="H848" s="859"/>
      <c r="I848" s="854"/>
      <c r="J848" s="854"/>
      <c r="K848" s="125"/>
      <c r="L848" s="16"/>
      <c r="M848" s="8"/>
      <c r="N848" s="858"/>
      <c r="O848" s="430"/>
      <c r="P848" s="854"/>
    </row>
    <row r="849" spans="1:16" s="17" customFormat="1" ht="33" customHeight="1" x14ac:dyDescent="0.3">
      <c r="A849" s="852"/>
      <c r="B849" s="369">
        <v>46374</v>
      </c>
      <c r="C849" s="4"/>
      <c r="D849" s="4"/>
      <c r="E849" s="854"/>
      <c r="F849" s="854"/>
      <c r="G849" s="16"/>
      <c r="H849" s="859"/>
      <c r="I849" s="854"/>
      <c r="J849" s="859"/>
      <c r="K849" s="125"/>
      <c r="L849" s="16"/>
      <c r="M849" s="8"/>
      <c r="N849" s="858"/>
      <c r="O849" s="430"/>
      <c r="P849" s="854"/>
    </row>
    <row r="850" spans="1:16" s="17" customFormat="1" ht="33" customHeight="1" x14ac:dyDescent="0.3">
      <c r="A850" s="853"/>
      <c r="B850" s="369">
        <v>46375</v>
      </c>
      <c r="C850" s="4"/>
      <c r="D850" s="4"/>
      <c r="E850" s="291"/>
      <c r="F850" s="854"/>
      <c r="G850" s="16"/>
      <c r="H850" s="859"/>
      <c r="I850" s="854"/>
      <c r="J850" s="854"/>
      <c r="K850" s="125"/>
      <c r="L850" s="16"/>
      <c r="M850" s="8"/>
      <c r="N850" s="854"/>
      <c r="O850" s="432"/>
      <c r="P850" s="854"/>
    </row>
    <row r="851" spans="1:16" s="17" customFormat="1" ht="33" customHeight="1" x14ac:dyDescent="0.3">
      <c r="A851" s="322" t="s">
        <v>0</v>
      </c>
      <c r="B851" s="323" t="s">
        <v>1</v>
      </c>
      <c r="C851" s="322" t="s">
        <v>2</v>
      </c>
      <c r="D851" s="322" t="s">
        <v>3</v>
      </c>
      <c r="E851" s="322" t="s">
        <v>4</v>
      </c>
      <c r="F851" s="322" t="s">
        <v>5</v>
      </c>
      <c r="G851" s="322" t="s">
        <v>6</v>
      </c>
      <c r="H851" s="324" t="s">
        <v>7</v>
      </c>
      <c r="I851" s="322" t="s">
        <v>8</v>
      </c>
      <c r="J851" s="322" t="s">
        <v>9</v>
      </c>
      <c r="K851" s="325" t="s">
        <v>10</v>
      </c>
      <c r="L851" s="326" t="s">
        <v>11</v>
      </c>
      <c r="M851" s="322" t="s">
        <v>12</v>
      </c>
      <c r="N851" s="327" t="s">
        <v>13</v>
      </c>
      <c r="O851" s="427" t="s">
        <v>63</v>
      </c>
      <c r="P851" s="322" t="s">
        <v>123</v>
      </c>
    </row>
    <row r="852" spans="1:16" s="17" customFormat="1" ht="33" customHeight="1" x14ac:dyDescent="0.3">
      <c r="A852" s="851" t="s">
        <v>7327</v>
      </c>
      <c r="B852" s="369">
        <v>46377</v>
      </c>
      <c r="C852" s="4"/>
      <c r="D852" s="4"/>
      <c r="E852" s="854"/>
      <c r="F852" s="854"/>
      <c r="G852" s="16"/>
      <c r="H852" s="859"/>
      <c r="I852" s="854"/>
      <c r="J852" s="854"/>
      <c r="K852" s="125"/>
      <c r="L852" s="16"/>
      <c r="M852" s="8"/>
      <c r="N852" s="854"/>
      <c r="O852" s="431"/>
      <c r="P852" s="854"/>
    </row>
    <row r="853" spans="1:16" s="17" customFormat="1" ht="33" customHeight="1" x14ac:dyDescent="0.3">
      <c r="A853" s="852"/>
      <c r="B853" s="369">
        <v>46378</v>
      </c>
      <c r="C853" s="4"/>
      <c r="D853" s="4"/>
      <c r="E853" s="854"/>
      <c r="F853" s="854"/>
      <c r="G853" s="16"/>
      <c r="H853" s="859"/>
      <c r="I853" s="854"/>
      <c r="J853" s="854"/>
      <c r="K853" s="125"/>
      <c r="L853" s="16"/>
      <c r="M853" s="8"/>
      <c r="N853" s="854"/>
      <c r="O853" s="431"/>
      <c r="P853" s="854"/>
    </row>
    <row r="854" spans="1:16" s="17" customFormat="1" ht="33" customHeight="1" x14ac:dyDescent="0.3">
      <c r="A854" s="852"/>
      <c r="B854" s="369">
        <v>46379</v>
      </c>
      <c r="C854" s="4"/>
      <c r="D854" s="4"/>
      <c r="E854" s="854"/>
      <c r="F854" s="854"/>
      <c r="G854" s="16"/>
      <c r="H854" s="859"/>
      <c r="I854" s="854"/>
      <c r="J854" s="854"/>
      <c r="K854" s="125"/>
      <c r="L854" s="16"/>
      <c r="M854" s="8"/>
      <c r="N854" s="858"/>
      <c r="O854" s="430"/>
      <c r="P854" s="854"/>
    </row>
    <row r="855" spans="1:16" s="17" customFormat="1" ht="33" customHeight="1" x14ac:dyDescent="0.3">
      <c r="A855" s="852"/>
      <c r="B855" s="369">
        <v>46380</v>
      </c>
      <c r="C855" s="4"/>
      <c r="D855" s="4"/>
      <c r="E855" s="854"/>
      <c r="F855" s="854"/>
      <c r="G855" s="16"/>
      <c r="H855" s="859"/>
      <c r="I855" s="854"/>
      <c r="J855" s="854"/>
      <c r="K855" s="125"/>
      <c r="L855" s="16"/>
      <c r="M855" s="8"/>
      <c r="N855" s="858"/>
      <c r="O855" s="430"/>
      <c r="P855" s="854"/>
    </row>
    <row r="856" spans="1:16" s="17" customFormat="1" ht="33" customHeight="1" x14ac:dyDescent="0.3">
      <c r="A856" s="852"/>
      <c r="B856" s="369">
        <v>46381</v>
      </c>
      <c r="C856" s="4"/>
      <c r="D856" s="4"/>
      <c r="E856" s="854"/>
      <c r="F856" s="854"/>
      <c r="G856" s="16"/>
      <c r="H856" s="859"/>
      <c r="I856" s="854"/>
      <c r="J856" s="859"/>
      <c r="K856" s="125"/>
      <c r="L856" s="16"/>
      <c r="M856" s="8"/>
      <c r="N856" s="858"/>
      <c r="O856" s="430"/>
      <c r="P856" s="854"/>
    </row>
    <row r="857" spans="1:16" s="17" customFormat="1" ht="33" customHeight="1" x14ac:dyDescent="0.3">
      <c r="A857" s="853"/>
      <c r="B857" s="369">
        <v>46382</v>
      </c>
      <c r="C857" s="4"/>
      <c r="D857" s="4"/>
      <c r="E857" s="291"/>
      <c r="F857" s="854"/>
      <c r="G857" s="16"/>
      <c r="H857" s="859"/>
      <c r="I857" s="854"/>
      <c r="J857" s="854"/>
      <c r="K857" s="125"/>
      <c r="L857" s="16"/>
      <c r="M857" s="8"/>
      <c r="N857" s="854"/>
      <c r="O857" s="432"/>
      <c r="P857" s="854"/>
    </row>
    <row r="858" spans="1:16" s="17" customFormat="1" ht="33" customHeight="1" x14ac:dyDescent="0.3">
      <c r="A858" s="322" t="s">
        <v>0</v>
      </c>
      <c r="B858" s="323" t="s">
        <v>1</v>
      </c>
      <c r="C858" s="322" t="s">
        <v>2</v>
      </c>
      <c r="D858" s="322" t="s">
        <v>3</v>
      </c>
      <c r="E858" s="322" t="s">
        <v>4</v>
      </c>
      <c r="F858" s="322" t="s">
        <v>5</v>
      </c>
      <c r="G858" s="322" t="s">
        <v>6</v>
      </c>
      <c r="H858" s="324" t="s">
        <v>7</v>
      </c>
      <c r="I858" s="322" t="s">
        <v>8</v>
      </c>
      <c r="J858" s="322" t="s">
        <v>9</v>
      </c>
      <c r="K858" s="325" t="s">
        <v>10</v>
      </c>
      <c r="L858" s="326" t="s">
        <v>11</v>
      </c>
      <c r="M858" s="322" t="s">
        <v>12</v>
      </c>
      <c r="N858" s="327" t="s">
        <v>13</v>
      </c>
      <c r="O858" s="427" t="s">
        <v>63</v>
      </c>
      <c r="P858" s="322" t="s">
        <v>123</v>
      </c>
    </row>
    <row r="859" spans="1:16" s="17" customFormat="1" ht="33" customHeight="1" x14ac:dyDescent="0.3">
      <c r="A859" s="851" t="s">
        <v>7328</v>
      </c>
      <c r="B859" s="369">
        <v>46384</v>
      </c>
      <c r="C859" s="4"/>
      <c r="D859" s="4"/>
      <c r="E859" s="854"/>
      <c r="F859" s="854"/>
      <c r="G859" s="16"/>
      <c r="H859" s="859"/>
      <c r="I859" s="854"/>
      <c r="J859" s="854"/>
      <c r="K859" s="125"/>
      <c r="L859" s="16"/>
      <c r="M859" s="8"/>
      <c r="N859" s="854"/>
      <c r="O859" s="431"/>
      <c r="P859" s="854"/>
    </row>
    <row r="860" spans="1:16" s="17" customFormat="1" ht="33" customHeight="1" x14ac:dyDescent="0.3">
      <c r="A860" s="852"/>
      <c r="B860" s="369">
        <v>46385</v>
      </c>
      <c r="C860" s="4"/>
      <c r="D860" s="4"/>
      <c r="E860" s="854"/>
      <c r="F860" s="854"/>
      <c r="G860" s="16"/>
      <c r="H860" s="859"/>
      <c r="I860" s="854"/>
      <c r="J860" s="854"/>
      <c r="K860" s="125"/>
      <c r="L860" s="16"/>
      <c r="M860" s="8"/>
      <c r="N860" s="854"/>
      <c r="O860" s="431"/>
      <c r="P860" s="854"/>
    </row>
    <row r="861" spans="1:16" s="17" customFormat="1" ht="33" customHeight="1" x14ac:dyDescent="0.3">
      <c r="A861" s="852"/>
      <c r="B861" s="369">
        <v>46386</v>
      </c>
      <c r="C861" s="4"/>
      <c r="D861" s="4"/>
      <c r="E861" s="854"/>
      <c r="F861" s="854"/>
      <c r="G861" s="16"/>
      <c r="H861" s="859"/>
      <c r="I861" s="854"/>
      <c r="J861" s="854"/>
      <c r="K861" s="125"/>
      <c r="L861" s="16"/>
      <c r="M861" s="8"/>
      <c r="N861" s="858"/>
      <c r="O861" s="430"/>
      <c r="P861" s="854"/>
    </row>
    <row r="862" spans="1:16" s="17" customFormat="1" ht="33" customHeight="1" x14ac:dyDescent="0.3">
      <c r="A862" s="852"/>
      <c r="B862" s="369">
        <v>46387</v>
      </c>
      <c r="C862" s="4"/>
      <c r="D862" s="4"/>
      <c r="E862" s="854"/>
      <c r="F862" s="854"/>
      <c r="G862" s="16"/>
      <c r="H862" s="859"/>
      <c r="I862" s="854"/>
      <c r="J862" s="854"/>
      <c r="K862" s="125"/>
      <c r="L862" s="16"/>
      <c r="M862" s="8"/>
      <c r="N862" s="858"/>
      <c r="O862" s="430"/>
      <c r="P862" s="854"/>
    </row>
    <row r="863" spans="1:16" s="17" customFormat="1" ht="33" customHeight="1" x14ac:dyDescent="0.3">
      <c r="A863" s="852"/>
      <c r="B863" s="369">
        <v>46388</v>
      </c>
      <c r="C863" s="4"/>
      <c r="D863" s="4"/>
      <c r="E863" s="854"/>
      <c r="F863" s="854"/>
      <c r="G863" s="16"/>
      <c r="H863" s="859"/>
      <c r="I863" s="854"/>
      <c r="J863" s="859"/>
      <c r="K863" s="125"/>
      <c r="L863" s="16"/>
      <c r="M863" s="8"/>
      <c r="N863" s="858"/>
      <c r="O863" s="430"/>
      <c r="P863" s="854"/>
    </row>
    <row r="864" spans="1:16" s="17" customFormat="1" ht="33" customHeight="1" x14ac:dyDescent="0.3">
      <c r="A864" s="853"/>
      <c r="B864" s="369">
        <v>46389</v>
      </c>
      <c r="C864" s="4"/>
      <c r="D864" s="4"/>
      <c r="E864" s="291"/>
      <c r="F864" s="854"/>
      <c r="G864" s="16"/>
      <c r="H864" s="859"/>
      <c r="I864" s="854"/>
      <c r="J864" s="854"/>
      <c r="K864" s="125"/>
      <c r="L864" s="16"/>
      <c r="M864" s="8"/>
      <c r="N864" s="854"/>
      <c r="O864" s="432"/>
      <c r="P864" s="854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06"/>
  <sheetViews>
    <sheetView zoomScaleNormal="100" zoomScaleSheetLayoutView="115" workbookViewId="0">
      <pane ySplit="2" topLeftCell="A1687" activePane="bottomLeft" state="frozen"/>
      <selection pane="bottomLeft" activeCell="I1701" sqref="I1701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11" t="s">
        <v>161</v>
      </c>
      <c r="B1" s="1011" t="s">
        <v>162</v>
      </c>
      <c r="C1" s="1009" t="s">
        <v>1</v>
      </c>
      <c r="D1" s="1009" t="s">
        <v>2</v>
      </c>
      <c r="E1" s="1009" t="s">
        <v>3</v>
      </c>
      <c r="F1" s="27" t="s">
        <v>54</v>
      </c>
      <c r="G1" s="1009" t="s">
        <v>5</v>
      </c>
      <c r="H1" s="1009" t="s">
        <v>6</v>
      </c>
      <c r="I1" s="1009" t="s">
        <v>7</v>
      </c>
      <c r="J1" s="1009" t="s">
        <v>55</v>
      </c>
      <c r="K1" s="1013" t="s">
        <v>483</v>
      </c>
      <c r="L1" s="1015" t="s">
        <v>56</v>
      </c>
      <c r="M1" s="1007" t="s">
        <v>57</v>
      </c>
      <c r="N1" s="1009" t="s">
        <v>58</v>
      </c>
    </row>
    <row r="2" spans="1:14" x14ac:dyDescent="0.3">
      <c r="A2" s="1012"/>
      <c r="B2" s="1012"/>
      <c r="C2" s="1010"/>
      <c r="D2" s="1010"/>
      <c r="E2" s="1010"/>
      <c r="F2" s="28" t="s">
        <v>59</v>
      </c>
      <c r="G2" s="1010"/>
      <c r="H2" s="1010"/>
      <c r="I2" s="1010"/>
      <c r="J2" s="1010"/>
      <c r="K2" s="1014"/>
      <c r="L2" s="1016"/>
      <c r="M2" s="1008"/>
      <c r="N2" s="1010"/>
    </row>
    <row r="3" spans="1:14" ht="27" x14ac:dyDescent="0.3">
      <c r="A3" s="55">
        <v>1</v>
      </c>
      <c r="B3" s="97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8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9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9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86"/>
      <c r="C9" s="101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86"/>
      <c r="C10" s="101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8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86"/>
      <c r="C12" s="101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86"/>
      <c r="C13" s="101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86"/>
      <c r="C14" s="101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86"/>
      <c r="C15" s="101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86"/>
      <c r="C16" s="101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9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9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91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92"/>
    </row>
    <row r="24" spans="1:17" ht="27" x14ac:dyDescent="0.3">
      <c r="A24" s="55">
        <v>4</v>
      </c>
      <c r="B24" s="970" t="s">
        <v>21</v>
      </c>
      <c r="C24" s="96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76" t="s">
        <v>85</v>
      </c>
      <c r="K24" s="993" t="s">
        <v>41</v>
      </c>
      <c r="L24" s="6" t="s">
        <v>15</v>
      </c>
      <c r="M24" s="998">
        <v>180000</v>
      </c>
      <c r="N24" s="45" t="s">
        <v>194</v>
      </c>
    </row>
    <row r="25" spans="1:17" ht="27" x14ac:dyDescent="0.3">
      <c r="A25" s="55">
        <v>4</v>
      </c>
      <c r="B25" s="986"/>
      <c r="C25" s="96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77"/>
      <c r="K25" s="994"/>
      <c r="L25" s="6" t="s">
        <v>15</v>
      </c>
      <c r="M25" s="999"/>
      <c r="N25" s="45" t="s">
        <v>194</v>
      </c>
    </row>
    <row r="26" spans="1:17" x14ac:dyDescent="0.3">
      <c r="A26" s="55">
        <v>4</v>
      </c>
      <c r="B26" s="986"/>
      <c r="C26" s="96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7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1"/>
      <c r="C27" s="96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7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8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86"/>
      <c r="C32" s="96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86"/>
      <c r="C33" s="96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0" t="s">
        <v>20</v>
      </c>
      <c r="C35" s="96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1"/>
      <c r="C36" s="96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0" t="s">
        <v>20</v>
      </c>
      <c r="C37" s="96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1"/>
      <c r="C38" s="96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5"/>
      <c r="C40" s="96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5"/>
      <c r="C41" s="96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9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96"/>
      <c r="C45" s="99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96"/>
      <c r="C46" s="100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9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8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9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9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9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0" t="s">
        <v>64</v>
      </c>
      <c r="C67" s="96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93" t="s">
        <v>435</v>
      </c>
      <c r="L67" s="6" t="s">
        <v>436</v>
      </c>
      <c r="M67" s="998">
        <v>750000</v>
      </c>
      <c r="N67" s="45" t="s">
        <v>446</v>
      </c>
    </row>
    <row r="68" spans="1:15" ht="27" x14ac:dyDescent="0.3">
      <c r="A68" s="55">
        <v>19</v>
      </c>
      <c r="B68" s="986"/>
      <c r="C68" s="99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94"/>
      <c r="L68" s="6" t="s">
        <v>411</v>
      </c>
      <c r="M68" s="999"/>
      <c r="N68" s="45" t="s">
        <v>445</v>
      </c>
    </row>
    <row r="69" spans="1:15" x14ac:dyDescent="0.3">
      <c r="A69" s="55">
        <v>19</v>
      </c>
      <c r="B69" s="986"/>
      <c r="C69" s="96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8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8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8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8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8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86"/>
      <c r="C83" s="96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86"/>
      <c r="C84" s="96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86"/>
      <c r="C85" s="96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86"/>
      <c r="C86" s="96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8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8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86"/>
      <c r="C93" s="96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86"/>
      <c r="C94" s="99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86"/>
      <c r="C95" s="96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8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0" t="s">
        <v>21</v>
      </c>
      <c r="C99" s="96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86"/>
      <c r="C100" s="96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8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8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8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8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7" t="s">
        <v>658</v>
      </c>
      <c r="C110" s="98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8"/>
      <c r="C111" s="102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8"/>
      <c r="C112" s="102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20"/>
      <c r="C113" s="102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2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8"/>
      <c r="C115" s="98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9"/>
      <c r="C116" s="102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0" t="s">
        <v>20</v>
      </c>
      <c r="C117" s="103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76" t="s">
        <v>168</v>
      </c>
      <c r="K117" s="993" t="s">
        <v>645</v>
      </c>
      <c r="L117" s="57" t="s">
        <v>209</v>
      </c>
      <c r="M117" s="1022">
        <f>250000*5</f>
        <v>1250000</v>
      </c>
      <c r="N117" s="970" t="s">
        <v>121</v>
      </c>
    </row>
    <row r="118" spans="1:14" x14ac:dyDescent="0.3">
      <c r="A118" s="101">
        <v>28</v>
      </c>
      <c r="B118" s="986"/>
      <c r="C118" s="99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2"/>
      <c r="K118" s="1031"/>
      <c r="L118" s="57" t="s">
        <v>209</v>
      </c>
      <c r="M118" s="1023"/>
      <c r="N118" s="986"/>
    </row>
    <row r="119" spans="1:14" x14ac:dyDescent="0.3">
      <c r="A119" s="101">
        <v>28</v>
      </c>
      <c r="B119" s="986"/>
      <c r="C119" s="99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77"/>
      <c r="K119" s="994"/>
      <c r="L119" s="57" t="s">
        <v>209</v>
      </c>
      <c r="M119" s="1024"/>
      <c r="N119" s="971"/>
    </row>
    <row r="120" spans="1:14" x14ac:dyDescent="0.3">
      <c r="A120" s="101">
        <v>28</v>
      </c>
      <c r="B120" s="971"/>
      <c r="C120" s="96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7" t="s">
        <v>307</v>
      </c>
      <c r="C122" s="98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8"/>
      <c r="C123" s="9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7" t="s">
        <v>664</v>
      </c>
      <c r="K123" s="995" t="s">
        <v>707</v>
      </c>
      <c r="L123" s="110" t="s">
        <v>324</v>
      </c>
      <c r="M123" s="1025" t="s">
        <v>708</v>
      </c>
      <c r="N123" s="110"/>
    </row>
    <row r="124" spans="1:14" x14ac:dyDescent="0.3">
      <c r="A124" s="55">
        <v>29</v>
      </c>
      <c r="B124" s="988"/>
      <c r="C124" s="9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8"/>
      <c r="K124" s="996"/>
      <c r="L124" s="110" t="s">
        <v>324</v>
      </c>
      <c r="M124" s="1026"/>
      <c r="N124" s="110"/>
    </row>
    <row r="125" spans="1:14" x14ac:dyDescent="0.3">
      <c r="A125" s="55">
        <v>29</v>
      </c>
      <c r="B125" s="988"/>
      <c r="C125" s="9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9"/>
      <c r="K125" s="997"/>
      <c r="L125" s="110" t="s">
        <v>324</v>
      </c>
      <c r="M125" s="1027"/>
      <c r="N125" s="110"/>
    </row>
    <row r="126" spans="1:14" x14ac:dyDescent="0.3">
      <c r="A126" s="55">
        <v>29</v>
      </c>
      <c r="B126" s="989"/>
      <c r="C126" s="98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8"/>
      <c r="C130" s="98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8"/>
      <c r="C131" s="98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8"/>
      <c r="C132" s="98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8"/>
      <c r="C133" s="98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0" t="s">
        <v>618</v>
      </c>
      <c r="C135" s="96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86"/>
      <c r="C136" s="99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86"/>
      <c r="C137" s="99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1"/>
      <c r="C138" s="96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86"/>
      <c r="C140" s="96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86"/>
      <c r="C141" s="96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0" t="s">
        <v>735</v>
      </c>
    </row>
    <row r="142" spans="1:14" x14ac:dyDescent="0.3">
      <c r="A142" s="55">
        <v>30</v>
      </c>
      <c r="B142" s="97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1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0" t="s">
        <v>20</v>
      </c>
      <c r="C146" s="968" t="s">
        <v>869</v>
      </c>
      <c r="D146" s="993" t="s">
        <v>19</v>
      </c>
      <c r="E146" s="102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1"/>
      <c r="C147" s="969"/>
      <c r="D147" s="994"/>
      <c r="E147" s="102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0" t="s">
        <v>123</v>
      </c>
      <c r="C148" s="968" t="s">
        <v>782</v>
      </c>
      <c r="D148" s="993" t="s">
        <v>19</v>
      </c>
      <c r="E148" s="102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1"/>
      <c r="C149" s="969"/>
      <c r="D149" s="994"/>
      <c r="E149" s="102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8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0" t="s">
        <v>247</v>
      </c>
    </row>
    <row r="154" spans="1:14" ht="27" x14ac:dyDescent="0.3">
      <c r="A154" s="55">
        <v>34</v>
      </c>
      <c r="B154" s="986"/>
      <c r="C154" s="96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86"/>
    </row>
    <row r="155" spans="1:14" ht="27" x14ac:dyDescent="0.3">
      <c r="A155" s="55">
        <v>34</v>
      </c>
      <c r="B155" s="986"/>
      <c r="C155" s="96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1"/>
    </row>
    <row r="156" spans="1:14" ht="27" x14ac:dyDescent="0.3">
      <c r="A156" s="55">
        <v>34</v>
      </c>
      <c r="B156" s="986"/>
      <c r="C156" s="96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0" t="s">
        <v>825</v>
      </c>
    </row>
    <row r="157" spans="1:14" ht="27" x14ac:dyDescent="0.3">
      <c r="A157" s="55">
        <v>34</v>
      </c>
      <c r="B157" s="986"/>
      <c r="C157" s="96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86"/>
    </row>
    <row r="158" spans="1:14" ht="27" x14ac:dyDescent="0.3">
      <c r="A158" s="55">
        <v>34</v>
      </c>
      <c r="B158" s="986"/>
      <c r="C158" s="96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86"/>
    </row>
    <row r="159" spans="1:14" ht="27" x14ac:dyDescent="0.3">
      <c r="A159" s="55">
        <v>34</v>
      </c>
      <c r="B159" s="986"/>
      <c r="C159" s="96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86"/>
    </row>
    <row r="160" spans="1:14" ht="27" x14ac:dyDescent="0.3">
      <c r="A160" s="55">
        <v>34</v>
      </c>
      <c r="B160" s="98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86"/>
    </row>
    <row r="161" spans="1:15" ht="27" x14ac:dyDescent="0.3">
      <c r="A161" s="55">
        <v>34</v>
      </c>
      <c r="B161" s="98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1"/>
    </row>
    <row r="162" spans="1:15" ht="27" x14ac:dyDescent="0.3">
      <c r="A162" s="55">
        <v>34</v>
      </c>
      <c r="B162" s="97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8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8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6" t="s">
        <v>849</v>
      </c>
      <c r="C167" s="93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7"/>
      <c r="C168" s="93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7"/>
      <c r="C169" s="93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8"/>
      <c r="C170" s="93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7"/>
      <c r="C178" s="93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8"/>
      <c r="C179" s="93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7"/>
      <c r="C181" s="96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76" t="s">
        <v>838</v>
      </c>
      <c r="K181" s="993" t="s">
        <v>985</v>
      </c>
      <c r="L181" s="6" t="s">
        <v>910</v>
      </c>
      <c r="M181" s="1022">
        <f>180000+200000+200000</f>
        <v>580000</v>
      </c>
      <c r="N181" s="45" t="s">
        <v>806</v>
      </c>
    </row>
    <row r="182" spans="1:14" x14ac:dyDescent="0.3">
      <c r="A182" s="55">
        <v>36</v>
      </c>
      <c r="B182" s="947"/>
      <c r="C182" s="99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77"/>
      <c r="K182" s="994"/>
      <c r="L182" s="6" t="s">
        <v>911</v>
      </c>
      <c r="M182" s="1024"/>
      <c r="N182" s="45" t="s">
        <v>806</v>
      </c>
    </row>
    <row r="183" spans="1:14" x14ac:dyDescent="0.3">
      <c r="A183" s="55">
        <v>36</v>
      </c>
      <c r="B183" s="947"/>
      <c r="C183" s="96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7"/>
      <c r="C187" s="93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8"/>
      <c r="C188" s="93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6" t="s">
        <v>939</v>
      </c>
      <c r="C192" s="93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7"/>
      <c r="C193" s="93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7"/>
      <c r="C196" s="96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7"/>
      <c r="C197" s="96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7"/>
      <c r="C198" s="96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8"/>
      <c r="C199" s="96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6" t="s">
        <v>20</v>
      </c>
      <c r="C200" s="93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7"/>
      <c r="C201" s="93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7"/>
      <c r="C202" s="93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8"/>
      <c r="C203" s="93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6" t="s">
        <v>20</v>
      </c>
      <c r="C207" s="93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7"/>
      <c r="C208" s="93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6" t="s">
        <v>20</v>
      </c>
      <c r="C218" s="93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7"/>
      <c r="C219" s="93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0" t="s">
        <v>247</v>
      </c>
    </row>
    <row r="226" spans="1:14" x14ac:dyDescent="0.3">
      <c r="A226" s="55">
        <v>44</v>
      </c>
      <c r="B226" s="9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86"/>
    </row>
    <row r="227" spans="1:14" x14ac:dyDescent="0.3">
      <c r="A227" s="55">
        <v>44</v>
      </c>
      <c r="B227" s="9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1"/>
    </row>
    <row r="228" spans="1:14" x14ac:dyDescent="0.3">
      <c r="A228" s="55">
        <v>44</v>
      </c>
      <c r="B228" s="9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7"/>
      <c r="C249" s="93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0" t="s">
        <v>247</v>
      </c>
    </row>
    <row r="250" spans="1:14" x14ac:dyDescent="0.3">
      <c r="A250" s="55">
        <v>48</v>
      </c>
      <c r="B250" s="948"/>
      <c r="C250" s="93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1"/>
    </row>
    <row r="251" spans="1:14" x14ac:dyDescent="0.3">
      <c r="A251" s="55">
        <v>48</v>
      </c>
      <c r="B251" s="9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7"/>
      <c r="C256" s="93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0" t="s">
        <v>247</v>
      </c>
    </row>
    <row r="257" spans="1:14" x14ac:dyDescent="0.3">
      <c r="A257" s="55">
        <v>49</v>
      </c>
      <c r="B257" s="948"/>
      <c r="C257" s="93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1"/>
    </row>
    <row r="258" spans="1:14" ht="40.5" x14ac:dyDescent="0.3">
      <c r="A258" s="55">
        <v>49</v>
      </c>
      <c r="B258" s="9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57" t="s">
        <v>1103</v>
      </c>
    </row>
    <row r="262" spans="1:14" ht="25.5" x14ac:dyDescent="0.3">
      <c r="A262" s="132">
        <v>49</v>
      </c>
      <c r="B262" s="9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8"/>
    </row>
    <row r="263" spans="1:14" ht="16.5" customHeight="1" x14ac:dyDescent="0.3">
      <c r="A263" s="55">
        <v>50</v>
      </c>
      <c r="B263" s="946" t="s">
        <v>20</v>
      </c>
      <c r="C263" s="93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7"/>
      <c r="C264" s="93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7"/>
      <c r="C265" s="93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7"/>
      <c r="C266" s="93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8"/>
      <c r="C267" s="93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9" t="s">
        <v>658</v>
      </c>
      <c r="C268" s="9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60"/>
      <c r="C269" s="9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61"/>
      <c r="C270" s="9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6" t="s">
        <v>20</v>
      </c>
      <c r="C271" s="93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7"/>
      <c r="C272" s="93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7"/>
      <c r="C273" s="93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7"/>
      <c r="C275" s="93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7"/>
      <c r="C276" s="93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80" t="s">
        <v>1196</v>
      </c>
      <c r="B278" s="981"/>
      <c r="C278" s="981"/>
      <c r="D278" s="981"/>
      <c r="E278" s="981"/>
      <c r="F278" s="981"/>
      <c r="G278" s="981"/>
      <c r="H278" s="981"/>
      <c r="I278" s="981"/>
      <c r="J278" s="981"/>
      <c r="K278" s="981"/>
      <c r="L278" s="981"/>
      <c r="M278" s="981"/>
      <c r="N278" s="982"/>
    </row>
    <row r="279" spans="1:15" ht="16.5" customHeight="1" x14ac:dyDescent="0.3">
      <c r="A279" s="55">
        <v>1</v>
      </c>
      <c r="B279" s="946" t="s">
        <v>20</v>
      </c>
      <c r="C279" s="93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8"/>
      <c r="C280" s="93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6" t="s">
        <v>64</v>
      </c>
      <c r="C281" s="93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7"/>
      <c r="C282" s="93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7"/>
      <c r="C283" s="93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76" t="s">
        <v>1174</v>
      </c>
      <c r="K283" s="978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7"/>
      <c r="C284" s="93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77"/>
      <c r="K284" s="979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83" t="s">
        <v>123</v>
      </c>
      <c r="C287" s="9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84"/>
      <c r="C288" s="9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9" t="s">
        <v>64</v>
      </c>
      <c r="C289" s="9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60"/>
      <c r="C290" s="97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60"/>
      <c r="C291" s="97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57" t="s">
        <v>638</v>
      </c>
      <c r="K291" s="972" t="s">
        <v>671</v>
      </c>
      <c r="L291" s="148" t="s">
        <v>309</v>
      </c>
      <c r="M291" s="966" t="s">
        <v>672</v>
      </c>
      <c r="N291" s="148" t="s">
        <v>723</v>
      </c>
    </row>
    <row r="292" spans="1:15" x14ac:dyDescent="0.3">
      <c r="A292" s="55">
        <v>2</v>
      </c>
      <c r="B292" s="960"/>
      <c r="C292" s="97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8"/>
      <c r="K292" s="973"/>
      <c r="L292" s="148" t="s">
        <v>309</v>
      </c>
      <c r="M292" s="967"/>
      <c r="N292" s="148" t="s">
        <v>723</v>
      </c>
    </row>
    <row r="293" spans="1:15" x14ac:dyDescent="0.3">
      <c r="A293" s="55">
        <v>2</v>
      </c>
      <c r="B293" s="960"/>
      <c r="C293" s="97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60"/>
      <c r="C294" s="9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6" t="s">
        <v>20</v>
      </c>
      <c r="C296" s="93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7"/>
      <c r="C297" s="93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8"/>
      <c r="C298" s="93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6" t="s">
        <v>20</v>
      </c>
      <c r="C302" s="93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7"/>
      <c r="C303" s="93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7"/>
      <c r="C304" s="93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7"/>
      <c r="C305" s="93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8"/>
      <c r="C306" s="93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6" t="s">
        <v>20</v>
      </c>
      <c r="C308" s="93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8"/>
      <c r="C309" s="93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9" t="s">
        <v>307</v>
      </c>
      <c r="C313" s="9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61"/>
      <c r="C314" s="9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6" t="s">
        <v>20</v>
      </c>
      <c r="C316" s="93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7"/>
      <c r="C317" s="93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8"/>
      <c r="C318" s="93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6" t="s">
        <v>20</v>
      </c>
      <c r="C322" s="93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8"/>
      <c r="C323" s="93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6" t="s">
        <v>20</v>
      </c>
      <c r="C329" s="93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7"/>
      <c r="C330" s="93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8"/>
      <c r="C331" s="93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6" t="s">
        <v>20</v>
      </c>
      <c r="C334" s="93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7"/>
      <c r="C335" s="93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7"/>
      <c r="C336" s="93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8"/>
      <c r="C337" s="93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6" t="s">
        <v>20</v>
      </c>
      <c r="C342" s="93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7"/>
      <c r="C343" s="93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7"/>
      <c r="C349" s="96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8"/>
      <c r="C350" s="96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9" t="s">
        <v>307</v>
      </c>
      <c r="C375" s="128" t="s">
        <v>1531</v>
      </c>
      <c r="D375" s="957" t="s">
        <v>306</v>
      </c>
      <c r="E375" s="957" t="s">
        <v>322</v>
      </c>
      <c r="F375" s="957" t="s">
        <v>307</v>
      </c>
      <c r="G375" s="962">
        <v>4266</v>
      </c>
      <c r="H375" s="957" t="s">
        <v>640</v>
      </c>
      <c r="I375" s="962" t="s">
        <v>1533</v>
      </c>
      <c r="J375" s="957" t="s">
        <v>1534</v>
      </c>
      <c r="K375" s="964" t="s">
        <v>692</v>
      </c>
      <c r="L375" s="957" t="s">
        <v>324</v>
      </c>
      <c r="M375" s="966" t="s">
        <v>1535</v>
      </c>
      <c r="N375" s="957" t="s">
        <v>425</v>
      </c>
    </row>
    <row r="376" spans="1:19" x14ac:dyDescent="0.3">
      <c r="A376" s="199" t="s">
        <v>1539</v>
      </c>
      <c r="B376" s="960"/>
      <c r="C376" s="129" t="s">
        <v>1532</v>
      </c>
      <c r="D376" s="958"/>
      <c r="E376" s="958"/>
      <c r="F376" s="958"/>
      <c r="G376" s="963"/>
      <c r="H376" s="958"/>
      <c r="I376" s="963"/>
      <c r="J376" s="958"/>
      <c r="K376" s="965"/>
      <c r="L376" s="958"/>
      <c r="M376" s="967"/>
      <c r="N376" s="958"/>
    </row>
    <row r="377" spans="1:19" x14ac:dyDescent="0.3">
      <c r="A377" s="199" t="s">
        <v>1539</v>
      </c>
      <c r="B377" s="960"/>
      <c r="C377" s="128" t="s">
        <v>1536</v>
      </c>
      <c r="D377" s="957" t="s">
        <v>306</v>
      </c>
      <c r="E377" s="957" t="s">
        <v>322</v>
      </c>
      <c r="F377" s="957" t="s">
        <v>307</v>
      </c>
      <c r="G377" s="962">
        <v>3306</v>
      </c>
      <c r="H377" s="957" t="s">
        <v>1153</v>
      </c>
      <c r="I377" s="962" t="s">
        <v>1538</v>
      </c>
      <c r="J377" s="957" t="s">
        <v>1534</v>
      </c>
      <c r="K377" s="964" t="s">
        <v>692</v>
      </c>
      <c r="L377" s="957" t="s">
        <v>324</v>
      </c>
      <c r="M377" s="966" t="s">
        <v>1535</v>
      </c>
      <c r="N377" s="957" t="s">
        <v>425</v>
      </c>
    </row>
    <row r="378" spans="1:19" x14ac:dyDescent="0.3">
      <c r="A378" s="199" t="s">
        <v>1539</v>
      </c>
      <c r="B378" s="961"/>
      <c r="C378" s="129" t="s">
        <v>1537</v>
      </c>
      <c r="D378" s="958"/>
      <c r="E378" s="958"/>
      <c r="F378" s="958"/>
      <c r="G378" s="963"/>
      <c r="H378" s="958"/>
      <c r="I378" s="963"/>
      <c r="J378" s="958"/>
      <c r="K378" s="965"/>
      <c r="L378" s="958"/>
      <c r="M378" s="967"/>
      <c r="N378" s="958"/>
    </row>
    <row r="379" spans="1:19" ht="27" customHeight="1" x14ac:dyDescent="0.3">
      <c r="A379" s="123">
        <v>15</v>
      </c>
      <c r="B379" s="9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32" t="s">
        <v>1782</v>
      </c>
      <c r="C403" s="226" t="s">
        <v>1748</v>
      </c>
      <c r="D403" s="951" t="s">
        <v>306</v>
      </c>
      <c r="E403" s="951" t="s">
        <v>322</v>
      </c>
      <c r="F403" s="951" t="s">
        <v>307</v>
      </c>
      <c r="G403" s="953">
        <v>3306</v>
      </c>
      <c r="H403" s="951" t="s">
        <v>1153</v>
      </c>
      <c r="I403" s="953" t="s">
        <v>1749</v>
      </c>
      <c r="J403" s="951" t="s">
        <v>664</v>
      </c>
      <c r="K403" s="955" t="s">
        <v>1288</v>
      </c>
      <c r="L403" s="951" t="s">
        <v>324</v>
      </c>
      <c r="M403" s="949" t="s">
        <v>1750</v>
      </c>
      <c r="N403" s="951" t="s">
        <v>665</v>
      </c>
    </row>
    <row r="404" spans="1:14" x14ac:dyDescent="0.3">
      <c r="A404" s="123">
        <v>18</v>
      </c>
      <c r="B404" s="933"/>
      <c r="C404" s="226" t="s">
        <v>1751</v>
      </c>
      <c r="D404" s="952"/>
      <c r="E404" s="952"/>
      <c r="F404" s="952"/>
      <c r="G404" s="954"/>
      <c r="H404" s="952"/>
      <c r="I404" s="954"/>
      <c r="J404" s="952"/>
      <c r="K404" s="956"/>
      <c r="L404" s="952"/>
      <c r="M404" s="950"/>
      <c r="N404" s="952"/>
    </row>
    <row r="405" spans="1:14" ht="22.5" x14ac:dyDescent="0.3">
      <c r="A405" s="123">
        <v>18</v>
      </c>
      <c r="B405" s="9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33"/>
      <c r="C406" s="226" t="s">
        <v>1755</v>
      </c>
      <c r="D406" s="951" t="s">
        <v>306</v>
      </c>
      <c r="E406" s="951" t="s">
        <v>322</v>
      </c>
      <c r="F406" s="951" t="s">
        <v>307</v>
      </c>
      <c r="G406" s="953" t="s">
        <v>1756</v>
      </c>
      <c r="H406" s="951" t="s">
        <v>347</v>
      </c>
      <c r="I406" s="953" t="s">
        <v>1154</v>
      </c>
      <c r="J406" s="951" t="s">
        <v>664</v>
      </c>
      <c r="K406" s="951" t="s">
        <v>1757</v>
      </c>
      <c r="L406" s="951" t="s">
        <v>324</v>
      </c>
      <c r="M406" s="949" t="s">
        <v>1758</v>
      </c>
      <c r="N406" s="951" t="s">
        <v>665</v>
      </c>
    </row>
    <row r="407" spans="1:14" x14ac:dyDescent="0.3">
      <c r="A407" s="123">
        <v>18</v>
      </c>
      <c r="B407" s="933"/>
      <c r="C407" s="226" t="s">
        <v>1759</v>
      </c>
      <c r="D407" s="952"/>
      <c r="E407" s="952"/>
      <c r="F407" s="952"/>
      <c r="G407" s="954"/>
      <c r="H407" s="952"/>
      <c r="I407" s="954"/>
      <c r="J407" s="952"/>
      <c r="K407" s="952"/>
      <c r="L407" s="952"/>
      <c r="M407" s="950"/>
      <c r="N407" s="952"/>
    </row>
    <row r="408" spans="1:14" ht="16.5" customHeight="1" x14ac:dyDescent="0.3">
      <c r="A408" s="123">
        <v>18</v>
      </c>
      <c r="B408" s="933"/>
      <c r="C408" s="228" t="s">
        <v>1760</v>
      </c>
      <c r="D408" s="951" t="s">
        <v>306</v>
      </c>
      <c r="E408" s="951" t="s">
        <v>322</v>
      </c>
      <c r="F408" s="951" t="s">
        <v>307</v>
      </c>
      <c r="G408" s="953" t="s">
        <v>1761</v>
      </c>
      <c r="H408" s="951" t="s">
        <v>329</v>
      </c>
      <c r="I408" s="953" t="s">
        <v>1762</v>
      </c>
      <c r="J408" s="951" t="s">
        <v>664</v>
      </c>
      <c r="K408" s="951" t="s">
        <v>1763</v>
      </c>
      <c r="L408" s="951" t="s">
        <v>324</v>
      </c>
      <c r="M408" s="949" t="s">
        <v>1764</v>
      </c>
      <c r="N408" s="951" t="s">
        <v>1765</v>
      </c>
    </row>
    <row r="409" spans="1:14" x14ac:dyDescent="0.3">
      <c r="A409" s="123">
        <v>18</v>
      </c>
      <c r="B409" s="934"/>
      <c r="C409" s="226" t="s">
        <v>1766</v>
      </c>
      <c r="D409" s="952"/>
      <c r="E409" s="952"/>
      <c r="F409" s="952"/>
      <c r="G409" s="954"/>
      <c r="H409" s="952"/>
      <c r="I409" s="954"/>
      <c r="J409" s="952"/>
      <c r="K409" s="952"/>
      <c r="L409" s="952"/>
      <c r="M409" s="950"/>
      <c r="N409" s="952"/>
    </row>
    <row r="410" spans="1:14" ht="16.5" customHeight="1" x14ac:dyDescent="0.3">
      <c r="A410" s="123">
        <v>18</v>
      </c>
      <c r="B410" s="932" t="s">
        <v>253</v>
      </c>
      <c r="C410" s="1033" t="s">
        <v>1767</v>
      </c>
      <c r="D410" s="951" t="s">
        <v>311</v>
      </c>
      <c r="E410" s="951" t="s">
        <v>320</v>
      </c>
      <c r="F410" s="951" t="s">
        <v>709</v>
      </c>
      <c r="G410" s="951" t="s">
        <v>1768</v>
      </c>
      <c r="H410" s="1033" t="s">
        <v>1769</v>
      </c>
      <c r="I410" s="227" t="s">
        <v>1770</v>
      </c>
      <c r="J410" s="951"/>
      <c r="K410" s="1035" t="s">
        <v>1771</v>
      </c>
      <c r="L410" s="951" t="s">
        <v>309</v>
      </c>
      <c r="M410" s="949" t="s">
        <v>1764</v>
      </c>
      <c r="N410" s="951" t="s">
        <v>1772</v>
      </c>
    </row>
    <row r="411" spans="1:14" x14ac:dyDescent="0.3">
      <c r="A411" s="123">
        <v>18</v>
      </c>
      <c r="B411" s="933"/>
      <c r="C411" s="1034"/>
      <c r="D411" s="952"/>
      <c r="E411" s="952"/>
      <c r="F411" s="952"/>
      <c r="G411" s="952"/>
      <c r="H411" s="1034"/>
      <c r="I411" s="227" t="s">
        <v>1773</v>
      </c>
      <c r="J411" s="952"/>
      <c r="K411" s="1036"/>
      <c r="L411" s="952"/>
      <c r="M411" s="950"/>
      <c r="N411" s="952"/>
    </row>
    <row r="412" spans="1:14" ht="22.5" x14ac:dyDescent="0.3">
      <c r="A412" s="123">
        <v>18</v>
      </c>
      <c r="B412" s="9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33"/>
      <c r="C413" s="1033" t="s">
        <v>1776</v>
      </c>
      <c r="D413" s="1033" t="s">
        <v>700</v>
      </c>
      <c r="E413" s="951" t="s">
        <v>675</v>
      </c>
      <c r="F413" s="1033" t="s">
        <v>1777</v>
      </c>
      <c r="G413" s="1033" t="s">
        <v>1778</v>
      </c>
      <c r="H413" s="1033" t="s">
        <v>662</v>
      </c>
      <c r="I413" s="227" t="s">
        <v>1779</v>
      </c>
      <c r="J413" s="951" t="s">
        <v>638</v>
      </c>
      <c r="K413" s="951" t="s">
        <v>731</v>
      </c>
      <c r="L413" s="951" t="s">
        <v>309</v>
      </c>
      <c r="M413" s="949" t="s">
        <v>1780</v>
      </c>
      <c r="N413" s="951" t="s">
        <v>1781</v>
      </c>
    </row>
    <row r="414" spans="1:14" x14ac:dyDescent="0.3">
      <c r="A414" s="123">
        <v>18</v>
      </c>
      <c r="B414" s="934"/>
      <c r="C414" s="1034"/>
      <c r="D414" s="1034"/>
      <c r="E414" s="952"/>
      <c r="F414" s="1034"/>
      <c r="G414" s="1034"/>
      <c r="H414" s="1034"/>
      <c r="I414" s="26"/>
      <c r="J414" s="952"/>
      <c r="K414" s="952"/>
      <c r="L414" s="952"/>
      <c r="M414" s="950"/>
      <c r="N414" s="952"/>
    </row>
    <row r="415" spans="1:14" ht="16.5" customHeight="1" x14ac:dyDescent="0.3">
      <c r="A415" s="123">
        <v>19</v>
      </c>
      <c r="B415" s="932" t="s">
        <v>20</v>
      </c>
      <c r="C415" s="148" t="s">
        <v>1794</v>
      </c>
      <c r="D415" s="957" t="s">
        <v>306</v>
      </c>
      <c r="E415" s="957" t="s">
        <v>322</v>
      </c>
      <c r="F415" s="957" t="s">
        <v>307</v>
      </c>
      <c r="G415" s="962" t="s">
        <v>1796</v>
      </c>
      <c r="H415" s="957" t="s">
        <v>1797</v>
      </c>
      <c r="I415" s="962" t="s">
        <v>1792</v>
      </c>
      <c r="J415" s="957" t="s">
        <v>664</v>
      </c>
      <c r="K415" s="148" t="s">
        <v>1520</v>
      </c>
      <c r="L415" s="957" t="s">
        <v>324</v>
      </c>
      <c r="M415" s="966" t="s">
        <v>1799</v>
      </c>
      <c r="N415" s="957" t="s">
        <v>665</v>
      </c>
    </row>
    <row r="416" spans="1:14" x14ac:dyDescent="0.3">
      <c r="A416" s="123">
        <v>19</v>
      </c>
      <c r="B416" s="933"/>
      <c r="C416" s="148" t="s">
        <v>1795</v>
      </c>
      <c r="D416" s="958"/>
      <c r="E416" s="958"/>
      <c r="F416" s="958"/>
      <c r="G416" s="963"/>
      <c r="H416" s="958"/>
      <c r="I416" s="963"/>
      <c r="J416" s="958"/>
      <c r="K416" s="148" t="s">
        <v>1798</v>
      </c>
      <c r="L416" s="958"/>
      <c r="M416" s="967"/>
      <c r="N416" s="958"/>
    </row>
    <row r="417" spans="1:14" x14ac:dyDescent="0.3">
      <c r="A417" s="123">
        <v>19</v>
      </c>
      <c r="B417" s="933"/>
      <c r="C417" s="148" t="s">
        <v>1800</v>
      </c>
      <c r="D417" s="957" t="s">
        <v>306</v>
      </c>
      <c r="E417" s="957" t="s">
        <v>322</v>
      </c>
      <c r="F417" s="957" t="s">
        <v>307</v>
      </c>
      <c r="G417" s="962" t="s">
        <v>1801</v>
      </c>
      <c r="H417" s="957" t="s">
        <v>1802</v>
      </c>
      <c r="I417" s="962" t="s">
        <v>1803</v>
      </c>
      <c r="J417" s="957" t="s">
        <v>664</v>
      </c>
      <c r="K417" s="972" t="s">
        <v>1155</v>
      </c>
      <c r="L417" s="957" t="s">
        <v>324</v>
      </c>
      <c r="M417" s="966" t="s">
        <v>1804</v>
      </c>
      <c r="N417" s="957" t="s">
        <v>665</v>
      </c>
    </row>
    <row r="418" spans="1:14" x14ac:dyDescent="0.3">
      <c r="A418" s="123">
        <v>19</v>
      </c>
      <c r="B418" s="934"/>
      <c r="C418" s="148" t="s">
        <v>1795</v>
      </c>
      <c r="D418" s="958"/>
      <c r="E418" s="958"/>
      <c r="F418" s="958"/>
      <c r="G418" s="963"/>
      <c r="H418" s="958"/>
      <c r="I418" s="963"/>
      <c r="J418" s="958"/>
      <c r="K418" s="973"/>
      <c r="L418" s="958"/>
      <c r="M418" s="967"/>
      <c r="N418" s="958"/>
    </row>
    <row r="419" spans="1:14" ht="16.5" customHeight="1" x14ac:dyDescent="0.3">
      <c r="A419" s="123">
        <v>19</v>
      </c>
      <c r="B419" s="932" t="s">
        <v>21</v>
      </c>
      <c r="C419" s="987" t="s">
        <v>1805</v>
      </c>
      <c r="D419" s="987" t="s">
        <v>700</v>
      </c>
      <c r="E419" s="957" t="s">
        <v>675</v>
      </c>
      <c r="F419" s="987" t="s">
        <v>1806</v>
      </c>
      <c r="G419" s="987" t="s">
        <v>1807</v>
      </c>
      <c r="H419" s="987" t="s">
        <v>662</v>
      </c>
      <c r="I419" s="962" t="s">
        <v>1808</v>
      </c>
      <c r="J419" s="957"/>
      <c r="K419" s="1037" t="s">
        <v>1809</v>
      </c>
      <c r="L419" s="957" t="s">
        <v>309</v>
      </c>
      <c r="M419" s="966" t="s">
        <v>1810</v>
      </c>
      <c r="N419" s="149" t="s">
        <v>1811</v>
      </c>
    </row>
    <row r="420" spans="1:14" x14ac:dyDescent="0.3">
      <c r="A420" s="123">
        <v>19</v>
      </c>
      <c r="B420" s="933"/>
      <c r="C420" s="989"/>
      <c r="D420" s="989"/>
      <c r="E420" s="958"/>
      <c r="F420" s="989"/>
      <c r="G420" s="989"/>
      <c r="H420" s="989"/>
      <c r="I420" s="963"/>
      <c r="J420" s="958"/>
      <c r="K420" s="1038"/>
      <c r="L420" s="958"/>
      <c r="M420" s="967"/>
      <c r="N420" s="149" t="s">
        <v>1812</v>
      </c>
    </row>
    <row r="421" spans="1:14" x14ac:dyDescent="0.3">
      <c r="A421" s="123">
        <v>19</v>
      </c>
      <c r="B421" s="933"/>
      <c r="C421" s="1039" t="s">
        <v>1813</v>
      </c>
      <c r="D421" s="987" t="s">
        <v>700</v>
      </c>
      <c r="E421" s="957" t="s">
        <v>320</v>
      </c>
      <c r="F421" s="957" t="s">
        <v>337</v>
      </c>
      <c r="G421" s="987" t="s">
        <v>353</v>
      </c>
      <c r="H421" s="987" t="s">
        <v>1814</v>
      </c>
      <c r="I421" s="962" t="s">
        <v>1815</v>
      </c>
      <c r="J421" s="957" t="s">
        <v>638</v>
      </c>
      <c r="K421" s="1041" t="s">
        <v>692</v>
      </c>
      <c r="L421" s="957" t="s">
        <v>309</v>
      </c>
      <c r="M421" s="966" t="s">
        <v>1816</v>
      </c>
      <c r="N421" s="148" t="s">
        <v>1817</v>
      </c>
    </row>
    <row r="422" spans="1:14" x14ac:dyDescent="0.3">
      <c r="A422" s="123">
        <v>19</v>
      </c>
      <c r="B422" s="933"/>
      <c r="C422" s="1040"/>
      <c r="D422" s="989"/>
      <c r="E422" s="958"/>
      <c r="F422" s="958"/>
      <c r="G422" s="989"/>
      <c r="H422" s="989"/>
      <c r="I422" s="963"/>
      <c r="J422" s="958"/>
      <c r="K422" s="1042"/>
      <c r="L422" s="958"/>
      <c r="M422" s="967"/>
      <c r="N422" s="148" t="s">
        <v>1818</v>
      </c>
    </row>
    <row r="423" spans="1:14" x14ac:dyDescent="0.3">
      <c r="A423" s="123">
        <v>19</v>
      </c>
      <c r="B423" s="9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33"/>
      <c r="C424" s="987" t="s">
        <v>1820</v>
      </c>
      <c r="D424" s="987" t="s">
        <v>700</v>
      </c>
      <c r="E424" s="957" t="s">
        <v>320</v>
      </c>
      <c r="F424" s="957" t="s">
        <v>709</v>
      </c>
      <c r="G424" s="957" t="s">
        <v>1768</v>
      </c>
      <c r="H424" s="987" t="s">
        <v>1821</v>
      </c>
      <c r="I424" s="149" t="s">
        <v>1822</v>
      </c>
      <c r="J424" s="957" t="s">
        <v>638</v>
      </c>
      <c r="K424" s="957" t="s">
        <v>692</v>
      </c>
      <c r="L424" s="957" t="s">
        <v>309</v>
      </c>
      <c r="M424" s="966" t="s">
        <v>1535</v>
      </c>
      <c r="N424" s="962" t="s">
        <v>1824</v>
      </c>
    </row>
    <row r="425" spans="1:14" x14ac:dyDescent="0.3">
      <c r="A425" s="123">
        <v>19</v>
      </c>
      <c r="B425" s="933"/>
      <c r="C425" s="989"/>
      <c r="D425" s="989"/>
      <c r="E425" s="958"/>
      <c r="F425" s="958"/>
      <c r="G425" s="958"/>
      <c r="H425" s="989"/>
      <c r="I425" s="149" t="s">
        <v>1823</v>
      </c>
      <c r="J425" s="958"/>
      <c r="K425" s="958"/>
      <c r="L425" s="958"/>
      <c r="M425" s="967"/>
      <c r="N425" s="963"/>
    </row>
    <row r="426" spans="1:14" x14ac:dyDescent="0.3">
      <c r="A426" s="123">
        <v>19</v>
      </c>
      <c r="B426" s="9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32" t="s">
        <v>2078</v>
      </c>
      <c r="C452" s="243" t="s">
        <v>1906</v>
      </c>
      <c r="D452" s="938" t="s">
        <v>306</v>
      </c>
      <c r="E452" s="938" t="s">
        <v>322</v>
      </c>
      <c r="F452" s="938" t="s">
        <v>307</v>
      </c>
      <c r="G452" s="938">
        <v>3306</v>
      </c>
      <c r="H452" s="938" t="s">
        <v>1153</v>
      </c>
      <c r="I452" s="938" t="s">
        <v>1907</v>
      </c>
      <c r="J452" s="938" t="s">
        <v>1111</v>
      </c>
      <c r="K452" s="938" t="s">
        <v>692</v>
      </c>
      <c r="L452" s="938" t="s">
        <v>324</v>
      </c>
      <c r="M452" s="944" t="s">
        <v>1908</v>
      </c>
      <c r="N452" s="938" t="s">
        <v>665</v>
      </c>
    </row>
    <row r="453" spans="1:14" x14ac:dyDescent="0.3">
      <c r="A453" s="123">
        <v>23</v>
      </c>
      <c r="B453" s="933"/>
      <c r="C453" s="243" t="s">
        <v>1909</v>
      </c>
      <c r="D453" s="939"/>
      <c r="E453" s="939"/>
      <c r="F453" s="939"/>
      <c r="G453" s="939"/>
      <c r="H453" s="939"/>
      <c r="I453" s="939"/>
      <c r="J453" s="939"/>
      <c r="K453" s="939"/>
      <c r="L453" s="939"/>
      <c r="M453" s="945"/>
      <c r="N453" s="939"/>
    </row>
    <row r="454" spans="1:14" x14ac:dyDescent="0.3">
      <c r="A454" s="123">
        <v>23</v>
      </c>
      <c r="B454" s="933"/>
      <c r="C454" s="243" t="s">
        <v>1910</v>
      </c>
      <c r="D454" s="938" t="s">
        <v>306</v>
      </c>
      <c r="E454" s="938" t="s">
        <v>322</v>
      </c>
      <c r="F454" s="938" t="s">
        <v>307</v>
      </c>
      <c r="G454" s="942" t="s">
        <v>1418</v>
      </c>
      <c r="H454" s="938" t="s">
        <v>1911</v>
      </c>
      <c r="I454" s="942" t="s">
        <v>1154</v>
      </c>
      <c r="J454" s="938" t="s">
        <v>664</v>
      </c>
      <c r="K454" s="1043" t="s">
        <v>1763</v>
      </c>
      <c r="L454" s="938" t="s">
        <v>324</v>
      </c>
      <c r="M454" s="944" t="s">
        <v>1535</v>
      </c>
      <c r="N454" s="938" t="s">
        <v>665</v>
      </c>
    </row>
    <row r="455" spans="1:14" x14ac:dyDescent="0.3">
      <c r="A455" s="123">
        <v>23</v>
      </c>
      <c r="B455" s="933"/>
      <c r="C455" s="243" t="s">
        <v>1909</v>
      </c>
      <c r="D455" s="939"/>
      <c r="E455" s="939"/>
      <c r="F455" s="939"/>
      <c r="G455" s="943"/>
      <c r="H455" s="939"/>
      <c r="I455" s="943"/>
      <c r="J455" s="939"/>
      <c r="K455" s="1044"/>
      <c r="L455" s="939"/>
      <c r="M455" s="945"/>
      <c r="N455" s="939"/>
    </row>
    <row r="456" spans="1:14" x14ac:dyDescent="0.3">
      <c r="A456" s="123">
        <v>23</v>
      </c>
      <c r="B456" s="9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33"/>
      <c r="C457" s="243" t="s">
        <v>1917</v>
      </c>
      <c r="D457" s="938" t="s">
        <v>306</v>
      </c>
      <c r="E457" s="938" t="s">
        <v>322</v>
      </c>
      <c r="F457" s="938" t="s">
        <v>307</v>
      </c>
      <c r="G457" s="942">
        <v>4267</v>
      </c>
      <c r="H457" s="938" t="s">
        <v>640</v>
      </c>
      <c r="I457" s="942" t="s">
        <v>1154</v>
      </c>
      <c r="J457" s="938" t="s">
        <v>664</v>
      </c>
      <c r="K457" s="1043" t="s">
        <v>1763</v>
      </c>
      <c r="L457" s="938" t="s">
        <v>324</v>
      </c>
      <c r="M457" s="944" t="s">
        <v>1535</v>
      </c>
      <c r="N457" s="938" t="s">
        <v>665</v>
      </c>
    </row>
    <row r="458" spans="1:14" x14ac:dyDescent="0.3">
      <c r="A458" s="123">
        <v>23</v>
      </c>
      <c r="B458" s="933"/>
      <c r="C458" s="243" t="s">
        <v>1918</v>
      </c>
      <c r="D458" s="939"/>
      <c r="E458" s="939"/>
      <c r="F458" s="939"/>
      <c r="G458" s="943"/>
      <c r="H458" s="939"/>
      <c r="I458" s="943"/>
      <c r="J458" s="939"/>
      <c r="K458" s="1044"/>
      <c r="L458" s="939"/>
      <c r="M458" s="945"/>
      <c r="N458" s="939"/>
    </row>
    <row r="459" spans="1:14" x14ac:dyDescent="0.3">
      <c r="A459" s="123">
        <v>23</v>
      </c>
      <c r="B459" s="933"/>
      <c r="C459" s="243" t="s">
        <v>1917</v>
      </c>
      <c r="D459" s="938" t="s">
        <v>306</v>
      </c>
      <c r="E459" s="938" t="s">
        <v>322</v>
      </c>
      <c r="F459" s="938" t="s">
        <v>307</v>
      </c>
      <c r="G459" s="942" t="s">
        <v>1919</v>
      </c>
      <c r="H459" s="938" t="s">
        <v>662</v>
      </c>
      <c r="I459" s="942" t="s">
        <v>1920</v>
      </c>
      <c r="J459" s="938" t="s">
        <v>349</v>
      </c>
      <c r="K459" s="1045" t="s">
        <v>1916</v>
      </c>
      <c r="L459" s="938" t="s">
        <v>324</v>
      </c>
      <c r="M459" s="944" t="s">
        <v>1535</v>
      </c>
      <c r="N459" s="938" t="s">
        <v>425</v>
      </c>
    </row>
    <row r="460" spans="1:14" x14ac:dyDescent="0.3">
      <c r="A460" s="123">
        <v>23</v>
      </c>
      <c r="B460" s="934"/>
      <c r="C460" s="244" t="s">
        <v>1918</v>
      </c>
      <c r="D460" s="939"/>
      <c r="E460" s="939"/>
      <c r="F460" s="939"/>
      <c r="G460" s="943"/>
      <c r="H460" s="939"/>
      <c r="I460" s="943"/>
      <c r="J460" s="939"/>
      <c r="K460" s="1046"/>
      <c r="L460" s="939"/>
      <c r="M460" s="945"/>
      <c r="N460" s="939"/>
    </row>
    <row r="461" spans="1:14" x14ac:dyDescent="0.3">
      <c r="A461" s="123">
        <v>23</v>
      </c>
      <c r="B461" s="9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33"/>
      <c r="C462" s="938" t="s">
        <v>1921</v>
      </c>
      <c r="D462" s="938" t="s">
        <v>311</v>
      </c>
      <c r="E462" s="938" t="s">
        <v>675</v>
      </c>
      <c r="F462" s="938" t="s">
        <v>1926</v>
      </c>
      <c r="G462" s="938" t="s">
        <v>1927</v>
      </c>
      <c r="H462" s="940" t="s">
        <v>347</v>
      </c>
      <c r="I462" s="242" t="s">
        <v>1928</v>
      </c>
      <c r="J462" s="938"/>
      <c r="K462" s="942" t="s">
        <v>1924</v>
      </c>
      <c r="L462" s="938" t="s">
        <v>309</v>
      </c>
      <c r="M462" s="944" t="s">
        <v>1828</v>
      </c>
      <c r="N462" s="942" t="s">
        <v>1925</v>
      </c>
    </row>
    <row r="463" spans="1:14" x14ac:dyDescent="0.3">
      <c r="A463" s="123">
        <v>23</v>
      </c>
      <c r="B463" s="933"/>
      <c r="C463" s="939"/>
      <c r="D463" s="939"/>
      <c r="E463" s="939"/>
      <c r="F463" s="939"/>
      <c r="G463" s="939"/>
      <c r="H463" s="941"/>
      <c r="I463" s="242" t="s">
        <v>1929</v>
      </c>
      <c r="J463" s="939"/>
      <c r="K463" s="943"/>
      <c r="L463" s="939"/>
      <c r="M463" s="945"/>
      <c r="N463" s="943"/>
    </row>
    <row r="464" spans="1:14" ht="24" x14ac:dyDescent="0.3">
      <c r="A464" s="123">
        <v>23</v>
      </c>
      <c r="B464" s="9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3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3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3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3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3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3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3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3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3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3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3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3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3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5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4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33"/>
      <c r="C687" s="148" t="s">
        <v>2726</v>
      </c>
      <c r="D687" s="957" t="s">
        <v>306</v>
      </c>
      <c r="E687" s="957" t="s">
        <v>322</v>
      </c>
      <c r="F687" s="957" t="s">
        <v>307</v>
      </c>
      <c r="G687" s="962" t="s">
        <v>2719</v>
      </c>
      <c r="H687" s="957" t="s">
        <v>1047</v>
      </c>
      <c r="I687" s="962" t="s">
        <v>704</v>
      </c>
      <c r="J687" s="957" t="s">
        <v>664</v>
      </c>
      <c r="K687" s="1051" t="s">
        <v>1763</v>
      </c>
      <c r="L687" s="957"/>
      <c r="M687" s="966" t="s">
        <v>458</v>
      </c>
      <c r="N687" s="957" t="s">
        <v>665</v>
      </c>
    </row>
    <row r="688" spans="1:14" x14ac:dyDescent="0.3">
      <c r="A688" s="123">
        <v>8</v>
      </c>
      <c r="B688" s="933"/>
      <c r="C688" s="148" t="s">
        <v>2727</v>
      </c>
      <c r="D688" s="958"/>
      <c r="E688" s="958"/>
      <c r="F688" s="958"/>
      <c r="G688" s="963"/>
      <c r="H688" s="958"/>
      <c r="I688" s="963"/>
      <c r="J688" s="958"/>
      <c r="K688" s="1052"/>
      <c r="L688" s="958"/>
      <c r="M688" s="967"/>
      <c r="N688" s="958"/>
    </row>
    <row r="689" spans="1:14" x14ac:dyDescent="0.3">
      <c r="A689" s="123">
        <v>8</v>
      </c>
      <c r="B689" s="9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33"/>
      <c r="C690" s="148" t="s">
        <v>2730</v>
      </c>
      <c r="D690" s="957" t="s">
        <v>306</v>
      </c>
      <c r="E690" s="957" t="s">
        <v>322</v>
      </c>
      <c r="F690" s="957" t="s">
        <v>307</v>
      </c>
      <c r="G690" s="962" t="s">
        <v>2731</v>
      </c>
      <c r="H690" s="957" t="s">
        <v>640</v>
      </c>
      <c r="I690" s="962" t="s">
        <v>668</v>
      </c>
      <c r="J690" s="957" t="s">
        <v>349</v>
      </c>
      <c r="K690" s="1053" t="s">
        <v>2732</v>
      </c>
      <c r="L690" s="957"/>
      <c r="M690" s="966" t="s">
        <v>2769</v>
      </c>
      <c r="N690" s="957" t="s">
        <v>425</v>
      </c>
    </row>
    <row r="691" spans="1:14" x14ac:dyDescent="0.3">
      <c r="A691" s="123">
        <v>8</v>
      </c>
      <c r="B691" s="934"/>
      <c r="C691" s="148" t="s">
        <v>2723</v>
      </c>
      <c r="D691" s="958"/>
      <c r="E691" s="958"/>
      <c r="F691" s="958"/>
      <c r="G691" s="963"/>
      <c r="H691" s="958"/>
      <c r="I691" s="963"/>
      <c r="J691" s="958"/>
      <c r="K691" s="1054"/>
      <c r="L691" s="958"/>
      <c r="M691" s="967"/>
      <c r="N691" s="958"/>
    </row>
    <row r="692" spans="1:14" x14ac:dyDescent="0.3">
      <c r="A692" s="123">
        <v>8</v>
      </c>
      <c r="B692" s="9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33"/>
      <c r="C693" s="957" t="s">
        <v>2768</v>
      </c>
      <c r="D693" s="957" t="s">
        <v>311</v>
      </c>
      <c r="E693" s="957" t="s">
        <v>675</v>
      </c>
      <c r="F693" s="149" t="s">
        <v>1806</v>
      </c>
      <c r="G693" s="962" t="s">
        <v>689</v>
      </c>
      <c r="H693" s="962" t="s">
        <v>662</v>
      </c>
      <c r="I693" s="962" t="s">
        <v>2739</v>
      </c>
      <c r="J693" s="962"/>
      <c r="K693" s="962" t="s">
        <v>698</v>
      </c>
      <c r="L693" s="957" t="s">
        <v>309</v>
      </c>
      <c r="M693" s="966" t="s">
        <v>672</v>
      </c>
      <c r="N693" s="957" t="s">
        <v>2740</v>
      </c>
    </row>
    <row r="694" spans="1:14" x14ac:dyDescent="0.3">
      <c r="A694" s="123">
        <v>8</v>
      </c>
      <c r="B694" s="934"/>
      <c r="C694" s="958"/>
      <c r="D694" s="958"/>
      <c r="E694" s="958"/>
      <c r="F694" s="149" t="s">
        <v>2738</v>
      </c>
      <c r="G694" s="963"/>
      <c r="H694" s="963"/>
      <c r="I694" s="963"/>
      <c r="J694" s="963"/>
      <c r="K694" s="963"/>
      <c r="L694" s="958"/>
      <c r="M694" s="967"/>
      <c r="N694" s="985"/>
    </row>
    <row r="695" spans="1:14" x14ac:dyDescent="0.3">
      <c r="A695" s="123">
        <v>9</v>
      </c>
      <c r="B695" s="9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33"/>
      <c r="C697" s="243" t="s">
        <v>2745</v>
      </c>
      <c r="D697" s="938" t="s">
        <v>306</v>
      </c>
      <c r="E697" s="938" t="s">
        <v>322</v>
      </c>
      <c r="F697" s="938" t="s">
        <v>307</v>
      </c>
      <c r="G697" s="942" t="s">
        <v>2746</v>
      </c>
      <c r="H697" s="938" t="s">
        <v>405</v>
      </c>
      <c r="I697" s="942" t="s">
        <v>2747</v>
      </c>
      <c r="J697" s="938" t="s">
        <v>664</v>
      </c>
      <c r="K697" s="1055" t="s">
        <v>1757</v>
      </c>
      <c r="L697" s="938"/>
      <c r="M697" s="944">
        <v>750000</v>
      </c>
      <c r="N697" s="938" t="s">
        <v>665</v>
      </c>
    </row>
    <row r="698" spans="1:14" x14ac:dyDescent="0.3">
      <c r="A698" s="123">
        <v>9</v>
      </c>
      <c r="B698" s="933"/>
      <c r="C698" s="243" t="s">
        <v>2748</v>
      </c>
      <c r="D698" s="939"/>
      <c r="E698" s="939"/>
      <c r="F698" s="939"/>
      <c r="G698" s="943"/>
      <c r="H698" s="939"/>
      <c r="I698" s="943"/>
      <c r="J698" s="939"/>
      <c r="K698" s="1056"/>
      <c r="L698" s="939"/>
      <c r="M698" s="945"/>
      <c r="N698" s="939"/>
    </row>
    <row r="699" spans="1:14" x14ac:dyDescent="0.3">
      <c r="A699" s="123">
        <v>9</v>
      </c>
      <c r="B699" s="933"/>
      <c r="C699" s="243" t="s">
        <v>2745</v>
      </c>
      <c r="D699" s="938" t="s">
        <v>306</v>
      </c>
      <c r="E699" s="938" t="s">
        <v>322</v>
      </c>
      <c r="F699" s="938" t="s">
        <v>307</v>
      </c>
      <c r="G699" s="942" t="s">
        <v>2749</v>
      </c>
      <c r="H699" s="938" t="s">
        <v>662</v>
      </c>
      <c r="I699" s="942" t="s">
        <v>668</v>
      </c>
      <c r="J699" s="938" t="s">
        <v>349</v>
      </c>
      <c r="K699" s="1057" t="s">
        <v>2732</v>
      </c>
      <c r="L699" s="938"/>
      <c r="M699" s="944">
        <v>1000000</v>
      </c>
      <c r="N699" s="938" t="s">
        <v>425</v>
      </c>
    </row>
    <row r="700" spans="1:14" x14ac:dyDescent="0.3">
      <c r="A700" s="123">
        <v>9</v>
      </c>
      <c r="B700" s="933"/>
      <c r="C700" s="243" t="s">
        <v>2750</v>
      </c>
      <c r="D700" s="939"/>
      <c r="E700" s="939"/>
      <c r="F700" s="939"/>
      <c r="G700" s="943"/>
      <c r="H700" s="939"/>
      <c r="I700" s="943"/>
      <c r="J700" s="939"/>
      <c r="K700" s="1058"/>
      <c r="L700" s="939"/>
      <c r="M700" s="945"/>
      <c r="N700" s="939"/>
    </row>
    <row r="701" spans="1:14" x14ac:dyDescent="0.3">
      <c r="A701" s="123">
        <v>9</v>
      </c>
      <c r="B701" s="9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9" t="s">
        <v>2821</v>
      </c>
    </row>
    <row r="734" spans="1:14" ht="27" x14ac:dyDescent="0.3">
      <c r="A734" s="123">
        <v>15</v>
      </c>
      <c r="B734" s="9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60"/>
    </row>
    <row r="735" spans="1:14" x14ac:dyDescent="0.3">
      <c r="A735" s="123">
        <v>15</v>
      </c>
      <c r="B735" s="9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3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3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3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32" t="s">
        <v>3097</v>
      </c>
      <c r="C835" s="148" t="s">
        <v>3079</v>
      </c>
      <c r="D835" s="957" t="s">
        <v>306</v>
      </c>
      <c r="E835" s="957" t="s">
        <v>322</v>
      </c>
      <c r="F835" s="957" t="s">
        <v>307</v>
      </c>
      <c r="G835" s="962" t="s">
        <v>3051</v>
      </c>
      <c r="H835" s="957" t="s">
        <v>1993</v>
      </c>
      <c r="I835" s="962" t="s">
        <v>3052</v>
      </c>
      <c r="J835" s="957" t="s">
        <v>664</v>
      </c>
      <c r="K835" s="148" t="s">
        <v>3081</v>
      </c>
      <c r="L835" s="957"/>
      <c r="M835" s="1062" t="s">
        <v>3082</v>
      </c>
      <c r="N835" s="148" t="s">
        <v>3083</v>
      </c>
    </row>
    <row r="836" spans="1:14" x14ac:dyDescent="0.3">
      <c r="A836" s="123">
        <v>29</v>
      </c>
      <c r="B836" s="933"/>
      <c r="C836" s="148" t="s">
        <v>3080</v>
      </c>
      <c r="D836" s="985"/>
      <c r="E836" s="985"/>
      <c r="F836" s="985"/>
      <c r="G836" s="1061"/>
      <c r="H836" s="985"/>
      <c r="I836" s="1061"/>
      <c r="J836" s="985"/>
      <c r="K836" s="148" t="s">
        <v>707</v>
      </c>
      <c r="L836" s="985"/>
      <c r="M836" s="1063"/>
      <c r="N836" s="148"/>
    </row>
    <row r="837" spans="1:14" x14ac:dyDescent="0.3">
      <c r="A837" s="123">
        <v>29</v>
      </c>
      <c r="B837" s="933"/>
      <c r="C837" s="148"/>
      <c r="D837" s="958"/>
      <c r="E837" s="958"/>
      <c r="F837" s="958"/>
      <c r="G837" s="963"/>
      <c r="H837" s="958"/>
      <c r="I837" s="963"/>
      <c r="J837" s="958"/>
      <c r="K837" s="148"/>
      <c r="L837" s="958"/>
      <c r="M837" s="1064"/>
      <c r="N837" s="148" t="s">
        <v>3084</v>
      </c>
    </row>
    <row r="838" spans="1:14" x14ac:dyDescent="0.3">
      <c r="A838" s="123">
        <v>29</v>
      </c>
      <c r="B838" s="9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32" t="s">
        <v>21</v>
      </c>
      <c r="C840" s="111" t="s">
        <v>3087</v>
      </c>
      <c r="D840" s="957" t="s">
        <v>311</v>
      </c>
      <c r="E840" s="957" t="s">
        <v>320</v>
      </c>
      <c r="F840" s="962" t="s">
        <v>2601</v>
      </c>
      <c r="G840" s="962" t="s">
        <v>3059</v>
      </c>
      <c r="H840" s="962" t="s">
        <v>3060</v>
      </c>
      <c r="I840" s="962" t="s">
        <v>3061</v>
      </c>
      <c r="J840" s="962" t="s">
        <v>702</v>
      </c>
      <c r="K840" s="962" t="s">
        <v>3062</v>
      </c>
      <c r="L840" s="957" t="s">
        <v>309</v>
      </c>
      <c r="M840" s="1062" t="s">
        <v>1816</v>
      </c>
      <c r="N840" s="957" t="s">
        <v>3088</v>
      </c>
    </row>
    <row r="841" spans="1:14" x14ac:dyDescent="0.3">
      <c r="A841" s="123">
        <v>29</v>
      </c>
      <c r="B841" s="933"/>
      <c r="C841" s="111" t="s">
        <v>3065</v>
      </c>
      <c r="D841" s="958"/>
      <c r="E841" s="958"/>
      <c r="F841" s="963"/>
      <c r="G841" s="963"/>
      <c r="H841" s="963"/>
      <c r="I841" s="963"/>
      <c r="J841" s="963"/>
      <c r="K841" s="963"/>
      <c r="L841" s="958"/>
      <c r="M841" s="1064"/>
      <c r="N841" s="958"/>
    </row>
    <row r="842" spans="1:14" x14ac:dyDescent="0.3">
      <c r="A842" s="123">
        <v>29</v>
      </c>
      <c r="B842" s="9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33"/>
      <c r="C844" s="111" t="s">
        <v>3079</v>
      </c>
      <c r="D844" s="957" t="s">
        <v>311</v>
      </c>
      <c r="E844" s="957" t="s">
        <v>320</v>
      </c>
      <c r="F844" s="962" t="s">
        <v>3068</v>
      </c>
      <c r="G844" s="962" t="s">
        <v>1919</v>
      </c>
      <c r="H844" s="962" t="s">
        <v>3069</v>
      </c>
      <c r="I844" s="149" t="s">
        <v>3090</v>
      </c>
      <c r="J844" s="962"/>
      <c r="K844" s="962" t="s">
        <v>3070</v>
      </c>
      <c r="L844" s="957" t="s">
        <v>309</v>
      </c>
      <c r="M844" s="1065" t="s">
        <v>3092</v>
      </c>
      <c r="N844" s="957" t="s">
        <v>1206</v>
      </c>
    </row>
    <row r="845" spans="1:14" x14ac:dyDescent="0.3">
      <c r="A845" s="123">
        <v>29</v>
      </c>
      <c r="B845" s="933"/>
      <c r="C845" s="111" t="s">
        <v>3089</v>
      </c>
      <c r="D845" s="958"/>
      <c r="E845" s="958"/>
      <c r="F845" s="963"/>
      <c r="G845" s="963"/>
      <c r="H845" s="963"/>
      <c r="I845" s="149" t="s">
        <v>3091</v>
      </c>
      <c r="J845" s="963"/>
      <c r="K845" s="963"/>
      <c r="L845" s="958"/>
      <c r="M845" s="1066"/>
      <c r="N845" s="958"/>
    </row>
    <row r="846" spans="1:14" x14ac:dyDescent="0.3">
      <c r="A846" s="123">
        <v>29</v>
      </c>
      <c r="B846" s="933"/>
      <c r="C846" s="111" t="s">
        <v>3079</v>
      </c>
      <c r="D846" s="957" t="s">
        <v>311</v>
      </c>
      <c r="E846" s="957" t="s">
        <v>320</v>
      </c>
      <c r="F846" s="962" t="s">
        <v>2601</v>
      </c>
      <c r="G846" s="962" t="s">
        <v>3059</v>
      </c>
      <c r="H846" s="962" t="s">
        <v>3060</v>
      </c>
      <c r="I846" s="962" t="s">
        <v>3071</v>
      </c>
      <c r="J846" s="962" t="s">
        <v>702</v>
      </c>
      <c r="K846" s="962" t="s">
        <v>1054</v>
      </c>
      <c r="L846" s="957" t="s">
        <v>309</v>
      </c>
      <c r="M846" s="1062" t="s">
        <v>3094</v>
      </c>
      <c r="N846" s="957" t="s">
        <v>3095</v>
      </c>
    </row>
    <row r="847" spans="1:14" x14ac:dyDescent="0.3">
      <c r="A847" s="123">
        <v>29</v>
      </c>
      <c r="B847" s="933"/>
      <c r="C847" s="111"/>
      <c r="D847" s="985"/>
      <c r="E847" s="985"/>
      <c r="F847" s="1061"/>
      <c r="G847" s="1061"/>
      <c r="H847" s="1061"/>
      <c r="I847" s="1061"/>
      <c r="J847" s="1061"/>
      <c r="K847" s="1061"/>
      <c r="L847" s="985"/>
      <c r="M847" s="1063"/>
      <c r="N847" s="985"/>
    </row>
    <row r="848" spans="1:14" x14ac:dyDescent="0.3">
      <c r="A848" s="123">
        <v>29</v>
      </c>
      <c r="B848" s="933"/>
      <c r="C848" s="111" t="s">
        <v>3093</v>
      </c>
      <c r="D848" s="958"/>
      <c r="E848" s="958"/>
      <c r="F848" s="963"/>
      <c r="G848" s="963"/>
      <c r="H848" s="963"/>
      <c r="I848" s="963"/>
      <c r="J848" s="963"/>
      <c r="K848" s="963"/>
      <c r="L848" s="958"/>
      <c r="M848" s="1064"/>
      <c r="N848" s="958"/>
    </row>
    <row r="849" spans="1:14" x14ac:dyDescent="0.3">
      <c r="A849" s="123">
        <v>29</v>
      </c>
      <c r="B849" s="933"/>
      <c r="C849" s="111" t="s">
        <v>3096</v>
      </c>
      <c r="D849" s="957" t="s">
        <v>311</v>
      </c>
      <c r="E849" s="957" t="s">
        <v>320</v>
      </c>
      <c r="F849" s="962" t="s">
        <v>337</v>
      </c>
      <c r="G849" s="962" t="s">
        <v>3072</v>
      </c>
      <c r="H849" s="962" t="s">
        <v>354</v>
      </c>
      <c r="I849" s="962" t="s">
        <v>310</v>
      </c>
      <c r="J849" s="962" t="s">
        <v>638</v>
      </c>
      <c r="K849" s="962" t="s">
        <v>3073</v>
      </c>
      <c r="L849" s="957" t="s">
        <v>309</v>
      </c>
      <c r="M849" s="1062" t="s">
        <v>1816</v>
      </c>
      <c r="N849" s="957" t="s">
        <v>3095</v>
      </c>
    </row>
    <row r="850" spans="1:14" x14ac:dyDescent="0.3">
      <c r="A850" s="123">
        <v>29</v>
      </c>
      <c r="B850" s="934"/>
      <c r="C850" s="111" t="s">
        <v>3089</v>
      </c>
      <c r="D850" s="958"/>
      <c r="E850" s="958"/>
      <c r="F850" s="963"/>
      <c r="G850" s="963"/>
      <c r="H850" s="963"/>
      <c r="I850" s="963"/>
      <c r="J850" s="963"/>
      <c r="K850" s="963"/>
      <c r="L850" s="958"/>
      <c r="M850" s="1064"/>
      <c r="N850" s="958"/>
    </row>
    <row r="851" spans="1:14" x14ac:dyDescent="0.3">
      <c r="A851" s="123">
        <v>30</v>
      </c>
      <c r="B851" s="106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7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70"/>
      <c r="C853" s="148" t="s">
        <v>3106</v>
      </c>
      <c r="D853" s="957" t="s">
        <v>306</v>
      </c>
      <c r="E853" s="957" t="s">
        <v>322</v>
      </c>
      <c r="F853" s="957" t="s">
        <v>307</v>
      </c>
      <c r="G853" s="962" t="s">
        <v>3051</v>
      </c>
      <c r="H853" s="957" t="s">
        <v>1993</v>
      </c>
      <c r="I853" s="962" t="s">
        <v>3108</v>
      </c>
      <c r="J853" s="957" t="s">
        <v>664</v>
      </c>
      <c r="K853" s="148" t="s">
        <v>3109</v>
      </c>
      <c r="L853" s="957"/>
      <c r="M853" s="966" t="s">
        <v>3110</v>
      </c>
      <c r="N853" s="957" t="s">
        <v>665</v>
      </c>
    </row>
    <row r="854" spans="1:14" x14ac:dyDescent="0.3">
      <c r="A854" s="123">
        <v>30</v>
      </c>
      <c r="B854" s="1070"/>
      <c r="C854" s="148" t="s">
        <v>3107</v>
      </c>
      <c r="D854" s="958"/>
      <c r="E854" s="958"/>
      <c r="F854" s="958"/>
      <c r="G854" s="963"/>
      <c r="H854" s="958"/>
      <c r="I854" s="963"/>
      <c r="J854" s="958"/>
      <c r="K854" s="148" t="s">
        <v>655</v>
      </c>
      <c r="L854" s="958"/>
      <c r="M854" s="967"/>
      <c r="N854" s="958"/>
    </row>
    <row r="855" spans="1:14" x14ac:dyDescent="0.3">
      <c r="A855" s="123">
        <v>30</v>
      </c>
      <c r="B855" s="107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32" t="s">
        <v>3116</v>
      </c>
      <c r="C856" s="1067" t="s">
        <v>3117</v>
      </c>
      <c r="D856" s="957" t="s">
        <v>311</v>
      </c>
      <c r="E856" s="957" t="s">
        <v>320</v>
      </c>
      <c r="F856" s="962" t="s">
        <v>2601</v>
      </c>
      <c r="G856" s="962" t="s">
        <v>2749</v>
      </c>
      <c r="H856" s="962" t="s">
        <v>347</v>
      </c>
      <c r="I856" s="962" t="s">
        <v>3118</v>
      </c>
      <c r="J856" s="962" t="s">
        <v>638</v>
      </c>
      <c r="K856" s="962" t="s">
        <v>698</v>
      </c>
      <c r="L856" s="957" t="s">
        <v>309</v>
      </c>
      <c r="M856" s="966" t="s">
        <v>1810</v>
      </c>
      <c r="N856" s="148" t="s">
        <v>3119</v>
      </c>
    </row>
    <row r="857" spans="1:14" x14ac:dyDescent="0.3">
      <c r="A857" s="123">
        <v>30</v>
      </c>
      <c r="B857" s="933"/>
      <c r="C857" s="1068"/>
      <c r="D857" s="958"/>
      <c r="E857" s="958"/>
      <c r="F857" s="963"/>
      <c r="G857" s="963"/>
      <c r="H857" s="963"/>
      <c r="I857" s="963"/>
      <c r="J857" s="963"/>
      <c r="K857" s="963"/>
      <c r="L857" s="958"/>
      <c r="M857" s="967"/>
      <c r="N857" s="148" t="s">
        <v>3120</v>
      </c>
    </row>
    <row r="858" spans="1:14" ht="16.5" customHeight="1" x14ac:dyDescent="0.3">
      <c r="A858" s="123">
        <v>30</v>
      </c>
      <c r="B858" s="933"/>
      <c r="C858" s="1067" t="s">
        <v>3117</v>
      </c>
      <c r="D858" s="957" t="s">
        <v>311</v>
      </c>
      <c r="E858" s="957" t="s">
        <v>320</v>
      </c>
      <c r="F858" s="962" t="s">
        <v>709</v>
      </c>
      <c r="G858" s="149" t="s">
        <v>3121</v>
      </c>
      <c r="H858" s="962" t="s">
        <v>640</v>
      </c>
      <c r="I858" s="962" t="s">
        <v>3122</v>
      </c>
      <c r="J858" s="962"/>
      <c r="K858" s="962" t="s">
        <v>692</v>
      </c>
      <c r="L858" s="957" t="s">
        <v>309</v>
      </c>
      <c r="M858" s="966" t="s">
        <v>1535</v>
      </c>
      <c r="N858" s="957" t="s">
        <v>1772</v>
      </c>
    </row>
    <row r="859" spans="1:14" x14ac:dyDescent="0.3">
      <c r="A859" s="123">
        <v>30</v>
      </c>
      <c r="B859" s="933"/>
      <c r="C859" s="1068"/>
      <c r="D859" s="958"/>
      <c r="E859" s="958"/>
      <c r="F859" s="963"/>
      <c r="G859" s="149">
        <v>2651</v>
      </c>
      <c r="H859" s="963"/>
      <c r="I859" s="963"/>
      <c r="J859" s="963"/>
      <c r="K859" s="963"/>
      <c r="L859" s="958"/>
      <c r="M859" s="967"/>
      <c r="N859" s="958"/>
    </row>
    <row r="860" spans="1:14" x14ac:dyDescent="0.3">
      <c r="A860" s="123">
        <v>30</v>
      </c>
      <c r="B860" s="933"/>
      <c r="C860" s="1067" t="s">
        <v>3123</v>
      </c>
      <c r="D860" s="957" t="s">
        <v>311</v>
      </c>
      <c r="E860" s="957" t="s">
        <v>320</v>
      </c>
      <c r="F860" s="962" t="s">
        <v>720</v>
      </c>
      <c r="G860" s="962" t="s">
        <v>1756</v>
      </c>
      <c r="H860" s="962" t="s">
        <v>347</v>
      </c>
      <c r="I860" s="149" t="s">
        <v>3124</v>
      </c>
      <c r="J860" s="962"/>
      <c r="K860" s="962" t="s">
        <v>3126</v>
      </c>
      <c r="L860" s="957" t="s">
        <v>309</v>
      </c>
      <c r="M860" s="966" t="s">
        <v>1933</v>
      </c>
      <c r="N860" s="957" t="s">
        <v>1206</v>
      </c>
    </row>
    <row r="861" spans="1:14" x14ac:dyDescent="0.3">
      <c r="A861" s="123">
        <v>30</v>
      </c>
      <c r="B861" s="933"/>
      <c r="C861" s="1068"/>
      <c r="D861" s="958"/>
      <c r="E861" s="958"/>
      <c r="F861" s="963"/>
      <c r="G861" s="963"/>
      <c r="H861" s="963"/>
      <c r="I861" s="149" t="s">
        <v>3125</v>
      </c>
      <c r="J861" s="963"/>
      <c r="K861" s="963"/>
      <c r="L861" s="958"/>
      <c r="M861" s="967"/>
      <c r="N861" s="958"/>
    </row>
    <row r="862" spans="1:14" x14ac:dyDescent="0.3">
      <c r="A862" s="123">
        <v>30</v>
      </c>
      <c r="B862" s="933"/>
      <c r="C862" s="111" t="s">
        <v>3127</v>
      </c>
      <c r="D862" s="957" t="s">
        <v>311</v>
      </c>
      <c r="E862" s="957" t="s">
        <v>320</v>
      </c>
      <c r="F862" s="962" t="s">
        <v>690</v>
      </c>
      <c r="G862" s="962" t="s">
        <v>3066</v>
      </c>
      <c r="H862" s="962" t="s">
        <v>354</v>
      </c>
      <c r="I862" s="962" t="s">
        <v>3129</v>
      </c>
      <c r="J862" s="962" t="s">
        <v>638</v>
      </c>
      <c r="K862" s="962" t="s">
        <v>655</v>
      </c>
      <c r="L862" s="957" t="s">
        <v>309</v>
      </c>
      <c r="M862" s="966" t="s">
        <v>1535</v>
      </c>
      <c r="N862" s="957" t="s">
        <v>1206</v>
      </c>
    </row>
    <row r="863" spans="1:14" x14ac:dyDescent="0.3">
      <c r="A863" s="123">
        <v>30</v>
      </c>
      <c r="B863" s="933"/>
      <c r="C863" s="111" t="s">
        <v>3128</v>
      </c>
      <c r="D863" s="958"/>
      <c r="E863" s="958"/>
      <c r="F863" s="963"/>
      <c r="G863" s="963"/>
      <c r="H863" s="963"/>
      <c r="I863" s="963"/>
      <c r="J863" s="963"/>
      <c r="K863" s="963"/>
      <c r="L863" s="958"/>
      <c r="M863" s="967"/>
      <c r="N863" s="958"/>
    </row>
    <row r="864" spans="1:14" x14ac:dyDescent="0.3">
      <c r="A864" s="123">
        <v>30</v>
      </c>
      <c r="B864" s="933"/>
      <c r="C864" s="111" t="s">
        <v>3130</v>
      </c>
      <c r="D864" s="957" t="s">
        <v>311</v>
      </c>
      <c r="E864" s="957" t="s">
        <v>320</v>
      </c>
      <c r="F864" s="962" t="s">
        <v>337</v>
      </c>
      <c r="G864" s="962" t="s">
        <v>3072</v>
      </c>
      <c r="H864" s="962" t="s">
        <v>354</v>
      </c>
      <c r="I864" s="962" t="s">
        <v>3131</v>
      </c>
      <c r="J864" s="962" t="s">
        <v>638</v>
      </c>
      <c r="K864" s="962" t="s">
        <v>713</v>
      </c>
      <c r="L864" s="957" t="s">
        <v>309</v>
      </c>
      <c r="M864" s="966" t="s">
        <v>1810</v>
      </c>
      <c r="N864" s="957" t="s">
        <v>1206</v>
      </c>
    </row>
    <row r="865" spans="1:14" x14ac:dyDescent="0.3">
      <c r="A865" s="123">
        <v>30</v>
      </c>
      <c r="B865" s="933"/>
      <c r="C865" s="111" t="s">
        <v>3107</v>
      </c>
      <c r="D865" s="958"/>
      <c r="E865" s="958"/>
      <c r="F865" s="963"/>
      <c r="G865" s="963"/>
      <c r="H865" s="963"/>
      <c r="I865" s="963"/>
      <c r="J865" s="963"/>
      <c r="K865" s="963"/>
      <c r="L865" s="958"/>
      <c r="M865" s="967"/>
      <c r="N865" s="958"/>
    </row>
    <row r="866" spans="1:14" ht="25.5" x14ac:dyDescent="0.3">
      <c r="A866" s="123">
        <v>30</v>
      </c>
      <c r="B866" s="9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33"/>
      <c r="C867" s="1067" t="s">
        <v>3111</v>
      </c>
      <c r="D867" s="957" t="s">
        <v>311</v>
      </c>
      <c r="E867" s="957" t="s">
        <v>675</v>
      </c>
      <c r="F867" s="962" t="s">
        <v>660</v>
      </c>
      <c r="G867" s="962" t="s">
        <v>661</v>
      </c>
      <c r="H867" s="962" t="s">
        <v>662</v>
      </c>
      <c r="I867" s="149" t="s">
        <v>3134</v>
      </c>
      <c r="J867" s="962" t="s">
        <v>638</v>
      </c>
      <c r="K867" s="962" t="s">
        <v>731</v>
      </c>
      <c r="L867" s="957" t="s">
        <v>309</v>
      </c>
      <c r="M867" s="966" t="s">
        <v>1828</v>
      </c>
      <c r="N867" s="957" t="s">
        <v>3136</v>
      </c>
    </row>
    <row r="868" spans="1:14" x14ac:dyDescent="0.3">
      <c r="A868" s="123">
        <v>30</v>
      </c>
      <c r="B868" s="934"/>
      <c r="C868" s="1068"/>
      <c r="D868" s="958"/>
      <c r="E868" s="958"/>
      <c r="F868" s="963"/>
      <c r="G868" s="963"/>
      <c r="H868" s="963"/>
      <c r="I868" s="149" t="s">
        <v>3135</v>
      </c>
      <c r="J868" s="963"/>
      <c r="K868" s="963"/>
      <c r="L868" s="958"/>
      <c r="M868" s="967"/>
      <c r="N868" s="958"/>
    </row>
    <row r="869" spans="1:14" x14ac:dyDescent="0.3">
      <c r="A869" s="123">
        <v>31</v>
      </c>
      <c r="B869" s="9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33"/>
      <c r="C870" s="148" t="s">
        <v>3140</v>
      </c>
      <c r="D870" s="957" t="s">
        <v>306</v>
      </c>
      <c r="E870" s="957" t="s">
        <v>322</v>
      </c>
      <c r="F870" s="957" t="s">
        <v>307</v>
      </c>
      <c r="G870" s="962">
        <v>1566</v>
      </c>
      <c r="H870" s="957" t="s">
        <v>1911</v>
      </c>
      <c r="I870" s="962" t="s">
        <v>3142</v>
      </c>
      <c r="J870" s="957" t="s">
        <v>664</v>
      </c>
      <c r="K870" s="957" t="s">
        <v>3143</v>
      </c>
      <c r="L870" s="957"/>
      <c r="M870" s="966" t="s">
        <v>3144</v>
      </c>
      <c r="N870" s="957" t="s">
        <v>665</v>
      </c>
    </row>
    <row r="871" spans="1:14" x14ac:dyDescent="0.3">
      <c r="A871" s="123">
        <v>31</v>
      </c>
      <c r="B871" s="933"/>
      <c r="C871" s="148" t="s">
        <v>3141</v>
      </c>
      <c r="D871" s="958"/>
      <c r="E871" s="958"/>
      <c r="F871" s="958"/>
      <c r="G871" s="963"/>
      <c r="H871" s="958"/>
      <c r="I871" s="963"/>
      <c r="J871" s="958"/>
      <c r="K871" s="958"/>
      <c r="L871" s="958"/>
      <c r="M871" s="967"/>
      <c r="N871" s="958"/>
    </row>
    <row r="872" spans="1:14" x14ac:dyDescent="0.3">
      <c r="A872" s="123">
        <v>31</v>
      </c>
      <c r="B872" s="9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33"/>
      <c r="C873" s="388" t="s">
        <v>3140</v>
      </c>
      <c r="D873" s="957" t="s">
        <v>306</v>
      </c>
      <c r="E873" s="957" t="s">
        <v>322</v>
      </c>
      <c r="F873" s="957" t="s">
        <v>307</v>
      </c>
      <c r="G873" s="962" t="s">
        <v>3147</v>
      </c>
      <c r="H873" s="957" t="s">
        <v>3148</v>
      </c>
      <c r="I873" s="962" t="s">
        <v>332</v>
      </c>
      <c r="J873" s="957" t="s">
        <v>1534</v>
      </c>
      <c r="K873" s="957" t="s">
        <v>1157</v>
      </c>
      <c r="L873" s="957"/>
      <c r="M873" s="966" t="s">
        <v>3149</v>
      </c>
      <c r="N873" s="957" t="s">
        <v>425</v>
      </c>
    </row>
    <row r="874" spans="1:14" x14ac:dyDescent="0.3">
      <c r="A874" s="123">
        <v>31</v>
      </c>
      <c r="B874" s="934"/>
      <c r="C874" s="388" t="s">
        <v>3146</v>
      </c>
      <c r="D874" s="958"/>
      <c r="E874" s="958"/>
      <c r="F874" s="958"/>
      <c r="G874" s="963"/>
      <c r="H874" s="958"/>
      <c r="I874" s="963"/>
      <c r="J874" s="958"/>
      <c r="K874" s="958"/>
      <c r="L874" s="958"/>
      <c r="M874" s="967"/>
      <c r="N874" s="958"/>
    </row>
    <row r="875" spans="1:14" x14ac:dyDescent="0.3">
      <c r="A875" s="123">
        <v>31</v>
      </c>
      <c r="B875" s="9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33"/>
      <c r="C876" s="957" t="s">
        <v>3128</v>
      </c>
      <c r="D876" s="957" t="s">
        <v>311</v>
      </c>
      <c r="E876" s="957" t="s">
        <v>675</v>
      </c>
      <c r="F876" s="962" t="s">
        <v>660</v>
      </c>
      <c r="G876" s="962" t="s">
        <v>661</v>
      </c>
      <c r="H876" s="962" t="s">
        <v>662</v>
      </c>
      <c r="I876" s="149" t="s">
        <v>3134</v>
      </c>
      <c r="J876" s="962"/>
      <c r="K876" s="962" t="s">
        <v>698</v>
      </c>
      <c r="L876" s="957" t="s">
        <v>309</v>
      </c>
      <c r="M876" s="966" t="s">
        <v>3139</v>
      </c>
      <c r="N876" s="957" t="s">
        <v>3152</v>
      </c>
    </row>
    <row r="877" spans="1:14" x14ac:dyDescent="0.3">
      <c r="A877" s="123">
        <v>31</v>
      </c>
      <c r="B877" s="933"/>
      <c r="C877" s="958"/>
      <c r="D877" s="958"/>
      <c r="E877" s="958"/>
      <c r="F877" s="963"/>
      <c r="G877" s="963"/>
      <c r="H877" s="963"/>
      <c r="I877" s="149" t="s">
        <v>3135</v>
      </c>
      <c r="J877" s="963"/>
      <c r="K877" s="963"/>
      <c r="L877" s="958"/>
      <c r="M877" s="967"/>
      <c r="N877" s="958"/>
    </row>
    <row r="878" spans="1:14" ht="16.5" customHeight="1" x14ac:dyDescent="0.3">
      <c r="A878" s="123">
        <v>31</v>
      </c>
      <c r="B878" s="933"/>
      <c r="C878" s="148" t="s">
        <v>3153</v>
      </c>
      <c r="D878" s="957" t="s">
        <v>311</v>
      </c>
      <c r="E878" s="957" t="s">
        <v>320</v>
      </c>
      <c r="F878" s="962" t="s">
        <v>3068</v>
      </c>
      <c r="G878" s="962" t="s">
        <v>1919</v>
      </c>
      <c r="H878" s="962" t="s">
        <v>3069</v>
      </c>
      <c r="I878" s="962" t="s">
        <v>3154</v>
      </c>
      <c r="J878" s="962"/>
      <c r="K878" s="962" t="s">
        <v>3155</v>
      </c>
      <c r="L878" s="957" t="s">
        <v>309</v>
      </c>
      <c r="M878" s="966" t="s">
        <v>3156</v>
      </c>
      <c r="N878" s="957" t="s">
        <v>3151</v>
      </c>
    </row>
    <row r="879" spans="1:14" x14ac:dyDescent="0.3">
      <c r="A879" s="123">
        <v>31</v>
      </c>
      <c r="B879" s="933"/>
      <c r="C879" s="148" t="s">
        <v>3111</v>
      </c>
      <c r="D879" s="958"/>
      <c r="E879" s="958"/>
      <c r="F879" s="963"/>
      <c r="G879" s="963"/>
      <c r="H879" s="963"/>
      <c r="I879" s="963"/>
      <c r="J879" s="963"/>
      <c r="K879" s="963"/>
      <c r="L879" s="958"/>
      <c r="M879" s="967"/>
      <c r="N879" s="958"/>
    </row>
    <row r="880" spans="1:14" x14ac:dyDescent="0.3">
      <c r="A880" s="123">
        <v>31</v>
      </c>
      <c r="B880" s="9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33"/>
      <c r="C883" s="111" t="s">
        <v>3166</v>
      </c>
      <c r="D883" s="957" t="s">
        <v>311</v>
      </c>
      <c r="E883" s="957" t="s">
        <v>320</v>
      </c>
      <c r="F883" s="962" t="s">
        <v>337</v>
      </c>
      <c r="G883" s="962" t="s">
        <v>3168</v>
      </c>
      <c r="H883" s="962" t="s">
        <v>3169</v>
      </c>
      <c r="I883" s="962" t="s">
        <v>3170</v>
      </c>
      <c r="J883" s="962" t="s">
        <v>3171</v>
      </c>
      <c r="K883" s="962" t="s">
        <v>3172</v>
      </c>
      <c r="L883" s="957" t="s">
        <v>309</v>
      </c>
      <c r="M883" s="966" t="s">
        <v>3173</v>
      </c>
      <c r="N883" s="957" t="s">
        <v>3136</v>
      </c>
    </row>
    <row r="884" spans="1:14" x14ac:dyDescent="0.3">
      <c r="A884" s="123">
        <v>31</v>
      </c>
      <c r="B884" s="934"/>
      <c r="C884" s="111" t="s">
        <v>3167</v>
      </c>
      <c r="D884" s="958"/>
      <c r="E884" s="958"/>
      <c r="F884" s="963"/>
      <c r="G884" s="963"/>
      <c r="H884" s="963"/>
      <c r="I884" s="963"/>
      <c r="J884" s="963"/>
      <c r="K884" s="963"/>
      <c r="L884" s="958"/>
      <c r="M884" s="967"/>
      <c r="N884" s="958"/>
    </row>
    <row r="885" spans="1:14" ht="27" x14ac:dyDescent="0.3">
      <c r="A885" s="123">
        <v>32</v>
      </c>
      <c r="B885" s="10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7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7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7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7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7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7"/>
      <c r="C1208" s="909" t="s">
        <v>5007</v>
      </c>
      <c r="D1208" s="911" t="s">
        <v>311</v>
      </c>
      <c r="E1208" s="911" t="s">
        <v>675</v>
      </c>
      <c r="F1208" s="909" t="s">
        <v>337</v>
      </c>
      <c r="G1208" s="909" t="s">
        <v>353</v>
      </c>
      <c r="H1208" s="909" t="s">
        <v>5008</v>
      </c>
      <c r="I1208" s="476" t="s">
        <v>5009</v>
      </c>
      <c r="J1208" s="909" t="s">
        <v>638</v>
      </c>
      <c r="K1208" s="909" t="s">
        <v>713</v>
      </c>
      <c r="L1208" s="911" t="s">
        <v>309</v>
      </c>
      <c r="M1208" s="915">
        <v>250000</v>
      </c>
      <c r="N1208" s="911" t="s">
        <v>4990</v>
      </c>
    </row>
    <row r="1209" spans="1:14" x14ac:dyDescent="0.3">
      <c r="A1209" s="123">
        <v>2</v>
      </c>
      <c r="B1209" s="907"/>
      <c r="C1209" s="909"/>
      <c r="D1209" s="911"/>
      <c r="E1209" s="911"/>
      <c r="F1209" s="909"/>
      <c r="G1209" s="909"/>
      <c r="H1209" s="909"/>
      <c r="I1209" s="476" t="s">
        <v>5010</v>
      </c>
      <c r="J1209" s="909"/>
      <c r="K1209" s="909"/>
      <c r="L1209" s="911"/>
      <c r="M1209" s="915"/>
      <c r="N1209" s="911"/>
    </row>
    <row r="1210" spans="1:14" x14ac:dyDescent="0.3">
      <c r="A1210" s="123">
        <v>2</v>
      </c>
      <c r="B1210" s="90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7"/>
      <c r="C1222" s="909" t="s">
        <v>5033</v>
      </c>
      <c r="D1222" s="911" t="s">
        <v>311</v>
      </c>
      <c r="E1222" s="911" t="s">
        <v>675</v>
      </c>
      <c r="F1222" s="149" t="s">
        <v>5034</v>
      </c>
      <c r="G1222" s="149" t="s">
        <v>5036</v>
      </c>
      <c r="H1222" s="909" t="s">
        <v>347</v>
      </c>
      <c r="I1222" s="149" t="s">
        <v>5038</v>
      </c>
      <c r="J1222" s="909"/>
      <c r="K1222" s="909" t="s">
        <v>705</v>
      </c>
      <c r="L1222" s="911" t="s">
        <v>309</v>
      </c>
      <c r="M1222" s="915">
        <v>500000</v>
      </c>
      <c r="N1222" s="911" t="s">
        <v>5032</v>
      </c>
    </row>
    <row r="1223" spans="1:14" x14ac:dyDescent="0.3">
      <c r="A1223" s="123">
        <v>3</v>
      </c>
      <c r="B1223" s="907"/>
      <c r="C1223" s="909"/>
      <c r="D1223" s="911"/>
      <c r="E1223" s="911"/>
      <c r="F1223" s="149" t="s">
        <v>5035</v>
      </c>
      <c r="G1223" s="149" t="s">
        <v>5037</v>
      </c>
      <c r="H1223" s="909"/>
      <c r="I1223" s="149" t="s">
        <v>5039</v>
      </c>
      <c r="J1223" s="909"/>
      <c r="K1223" s="909"/>
      <c r="L1223" s="911"/>
      <c r="M1223" s="915"/>
      <c r="N1223" s="911"/>
    </row>
    <row r="1224" spans="1:14" x14ac:dyDescent="0.3">
      <c r="A1224" s="123">
        <v>3</v>
      </c>
      <c r="B1224" s="90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7"/>
      <c r="C1250" s="909" t="s">
        <v>5098</v>
      </c>
      <c r="D1250" s="911" t="s">
        <v>311</v>
      </c>
      <c r="E1250" s="911" t="s">
        <v>675</v>
      </c>
      <c r="F1250" s="911" t="s">
        <v>4986</v>
      </c>
      <c r="G1250" s="911">
        <v>1017</v>
      </c>
      <c r="H1250" s="911" t="s">
        <v>347</v>
      </c>
      <c r="I1250" s="149" t="s">
        <v>5099</v>
      </c>
      <c r="J1250" s="909"/>
      <c r="K1250" s="909" t="s">
        <v>692</v>
      </c>
      <c r="L1250" s="911" t="s">
        <v>309</v>
      </c>
      <c r="M1250" s="915">
        <v>500000</v>
      </c>
      <c r="N1250" s="911" t="s">
        <v>5032</v>
      </c>
    </row>
    <row r="1251" spans="1:14" x14ac:dyDescent="0.3">
      <c r="A1251" s="123">
        <v>5</v>
      </c>
      <c r="B1251" s="907"/>
      <c r="C1251" s="909"/>
      <c r="D1251" s="911"/>
      <c r="E1251" s="911"/>
      <c r="F1251" s="911"/>
      <c r="G1251" s="911"/>
      <c r="H1251" s="911"/>
      <c r="I1251" s="149" t="s">
        <v>5100</v>
      </c>
      <c r="J1251" s="909"/>
      <c r="K1251" s="909"/>
      <c r="L1251" s="911"/>
      <c r="M1251" s="915"/>
      <c r="N1251" s="911"/>
    </row>
    <row r="1252" spans="1:14" x14ac:dyDescent="0.3">
      <c r="A1252" s="123">
        <v>5</v>
      </c>
      <c r="B1252" s="90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7"/>
      <c r="C1254" s="909" t="s">
        <v>5103</v>
      </c>
      <c r="D1254" s="911" t="s">
        <v>311</v>
      </c>
      <c r="E1254" s="911" t="s">
        <v>675</v>
      </c>
      <c r="F1254" s="909" t="s">
        <v>5070</v>
      </c>
      <c r="G1254" s="909">
        <v>3006</v>
      </c>
      <c r="H1254" s="909" t="s">
        <v>347</v>
      </c>
      <c r="I1254" s="476" t="s">
        <v>5104</v>
      </c>
      <c r="J1254" s="909"/>
      <c r="K1254" s="909" t="s">
        <v>705</v>
      </c>
      <c r="L1254" s="911" t="s">
        <v>309</v>
      </c>
      <c r="M1254" s="915">
        <v>500000</v>
      </c>
      <c r="N1254" s="911" t="s">
        <v>5032</v>
      </c>
    </row>
    <row r="1255" spans="1:14" x14ac:dyDescent="0.3">
      <c r="A1255" s="123">
        <v>5</v>
      </c>
      <c r="B1255" s="907"/>
      <c r="C1255" s="909"/>
      <c r="D1255" s="911"/>
      <c r="E1255" s="911"/>
      <c r="F1255" s="909"/>
      <c r="G1255" s="909"/>
      <c r="H1255" s="909"/>
      <c r="I1255" s="476" t="s">
        <v>5105</v>
      </c>
      <c r="J1255" s="909"/>
      <c r="K1255" s="909"/>
      <c r="L1255" s="911"/>
      <c r="M1255" s="915"/>
      <c r="N1255" s="911"/>
    </row>
    <row r="1256" spans="1:14" x14ac:dyDescent="0.3">
      <c r="A1256" s="123">
        <v>5</v>
      </c>
      <c r="B1256" s="907"/>
      <c r="C1256" s="909" t="s">
        <v>5103</v>
      </c>
      <c r="D1256" s="911" t="s">
        <v>311</v>
      </c>
      <c r="E1256" s="911" t="s">
        <v>675</v>
      </c>
      <c r="F1256" s="909" t="s">
        <v>5070</v>
      </c>
      <c r="G1256" s="909">
        <v>3006</v>
      </c>
      <c r="H1256" s="909" t="s">
        <v>347</v>
      </c>
      <c r="I1256" s="476" t="s">
        <v>5104</v>
      </c>
      <c r="J1256" s="909"/>
      <c r="K1256" s="909" t="s">
        <v>4936</v>
      </c>
      <c r="L1256" s="911" t="s">
        <v>309</v>
      </c>
      <c r="M1256" s="915">
        <v>600000</v>
      </c>
      <c r="N1256" s="911" t="s">
        <v>5032</v>
      </c>
    </row>
    <row r="1257" spans="1:14" x14ac:dyDescent="0.3">
      <c r="A1257" s="123">
        <v>5</v>
      </c>
      <c r="B1257" s="907"/>
      <c r="C1257" s="909"/>
      <c r="D1257" s="911"/>
      <c r="E1257" s="911"/>
      <c r="F1257" s="909"/>
      <c r="G1257" s="909"/>
      <c r="H1257" s="909"/>
      <c r="I1257" s="476" t="s">
        <v>5105</v>
      </c>
      <c r="J1257" s="909"/>
      <c r="K1257" s="909"/>
      <c r="L1257" s="911"/>
      <c r="M1257" s="915"/>
      <c r="N1257" s="911"/>
    </row>
    <row r="1258" spans="1:14" x14ac:dyDescent="0.3">
      <c r="A1258" s="123">
        <v>5</v>
      </c>
      <c r="B1258" s="90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7"/>
      <c r="C1268" s="909" t="s">
        <v>5122</v>
      </c>
      <c r="D1268" s="911" t="s">
        <v>311</v>
      </c>
      <c r="E1268" s="911" t="s">
        <v>675</v>
      </c>
      <c r="F1268" s="149" t="s">
        <v>5123</v>
      </c>
      <c r="G1268" s="475" t="s">
        <v>5125</v>
      </c>
      <c r="H1268" s="389" t="s">
        <v>347</v>
      </c>
      <c r="I1268" s="909" t="s">
        <v>5128</v>
      </c>
      <c r="J1268" s="909" t="s">
        <v>638</v>
      </c>
      <c r="K1268" s="909" t="s">
        <v>692</v>
      </c>
      <c r="L1268" s="911" t="s">
        <v>309</v>
      </c>
      <c r="M1268" s="915">
        <v>500000</v>
      </c>
      <c r="N1268" s="911" t="s">
        <v>1772</v>
      </c>
    </row>
    <row r="1269" spans="1:14" x14ac:dyDescent="0.3">
      <c r="A1269" s="123">
        <v>6</v>
      </c>
      <c r="B1269" s="907"/>
      <c r="C1269" s="909"/>
      <c r="D1269" s="911"/>
      <c r="E1269" s="911"/>
      <c r="F1269" s="149" t="s">
        <v>5124</v>
      </c>
      <c r="G1269" s="475" t="s">
        <v>5126</v>
      </c>
      <c r="H1269" s="389" t="s">
        <v>5127</v>
      </c>
      <c r="I1269" s="909"/>
      <c r="J1269" s="909"/>
      <c r="K1269" s="909"/>
      <c r="L1269" s="911"/>
      <c r="M1269" s="915"/>
      <c r="N1269" s="911"/>
    </row>
    <row r="1270" spans="1:14" ht="24" x14ac:dyDescent="0.3">
      <c r="A1270" s="123">
        <v>6</v>
      </c>
      <c r="B1270" s="90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7"/>
      <c r="C1289" s="908" t="s">
        <v>5158</v>
      </c>
      <c r="D1289" s="910" t="s">
        <v>311</v>
      </c>
      <c r="E1289" s="910" t="s">
        <v>675</v>
      </c>
      <c r="F1289" s="506" t="s">
        <v>5123</v>
      </c>
      <c r="G1289" s="507" t="s">
        <v>5125</v>
      </c>
      <c r="H1289" s="507" t="s">
        <v>347</v>
      </c>
      <c r="I1289" s="908" t="s">
        <v>5128</v>
      </c>
      <c r="J1289" s="908"/>
      <c r="K1289" s="908" t="s">
        <v>692</v>
      </c>
      <c r="L1289" s="910" t="s">
        <v>309</v>
      </c>
      <c r="M1289" s="914">
        <v>500000</v>
      </c>
      <c r="N1289" s="911" t="s">
        <v>5032</v>
      </c>
    </row>
    <row r="1290" spans="1:14" ht="19.5" x14ac:dyDescent="0.3">
      <c r="A1290" s="123">
        <v>8</v>
      </c>
      <c r="B1290" s="907"/>
      <c r="C1290" s="909"/>
      <c r="D1290" s="911"/>
      <c r="E1290" s="911"/>
      <c r="F1290" s="149" t="s">
        <v>5124</v>
      </c>
      <c r="G1290" s="475" t="s">
        <v>5126</v>
      </c>
      <c r="H1290" s="477" t="s">
        <v>5127</v>
      </c>
      <c r="I1290" s="909"/>
      <c r="J1290" s="909"/>
      <c r="K1290" s="909"/>
      <c r="L1290" s="911"/>
      <c r="M1290" s="915"/>
      <c r="N1290" s="911"/>
    </row>
    <row r="1291" spans="1:14" x14ac:dyDescent="0.3">
      <c r="A1291" s="123">
        <v>8</v>
      </c>
      <c r="B1291" s="907"/>
      <c r="C1291" s="908" t="s">
        <v>5159</v>
      </c>
      <c r="D1291" s="910" t="s">
        <v>311</v>
      </c>
      <c r="E1291" s="910" t="s">
        <v>320</v>
      </c>
      <c r="F1291" s="930" t="s">
        <v>709</v>
      </c>
      <c r="G1291" s="908" t="s">
        <v>3098</v>
      </c>
      <c r="H1291" s="908" t="s">
        <v>3099</v>
      </c>
      <c r="I1291" s="506" t="s">
        <v>5312</v>
      </c>
      <c r="J1291" s="908" t="s">
        <v>638</v>
      </c>
      <c r="K1291" s="908" t="s">
        <v>713</v>
      </c>
      <c r="L1291" s="910" t="s">
        <v>309</v>
      </c>
      <c r="M1291" s="914">
        <v>250000</v>
      </c>
      <c r="N1291" s="911" t="s">
        <v>5032</v>
      </c>
    </row>
    <row r="1292" spans="1:14" x14ac:dyDescent="0.3">
      <c r="A1292" s="123">
        <v>8</v>
      </c>
      <c r="B1292" s="907"/>
      <c r="C1292" s="909"/>
      <c r="D1292" s="911"/>
      <c r="E1292" s="911"/>
      <c r="F1292" s="931"/>
      <c r="G1292" s="909"/>
      <c r="H1292" s="909"/>
      <c r="I1292" s="149" t="s">
        <v>5160</v>
      </c>
      <c r="J1292" s="909"/>
      <c r="K1292" s="909"/>
      <c r="L1292" s="911"/>
      <c r="M1292" s="915"/>
      <c r="N1292" s="911"/>
    </row>
    <row r="1293" spans="1:14" x14ac:dyDescent="0.3">
      <c r="A1293" s="123">
        <v>8</v>
      </c>
      <c r="B1293" s="907"/>
      <c r="C1293" s="908" t="s">
        <v>5161</v>
      </c>
      <c r="D1293" s="910" t="s">
        <v>311</v>
      </c>
      <c r="E1293" s="910" t="s">
        <v>320</v>
      </c>
      <c r="F1293" s="908" t="s">
        <v>337</v>
      </c>
      <c r="G1293" s="908" t="s">
        <v>3168</v>
      </c>
      <c r="H1293" s="908" t="s">
        <v>3057</v>
      </c>
      <c r="I1293" s="506" t="s">
        <v>5313</v>
      </c>
      <c r="J1293" s="908" t="s">
        <v>638</v>
      </c>
      <c r="K1293" s="908" t="s">
        <v>692</v>
      </c>
      <c r="L1293" s="910" t="s">
        <v>309</v>
      </c>
      <c r="M1293" s="914">
        <v>500000</v>
      </c>
      <c r="N1293" s="911" t="s">
        <v>1206</v>
      </c>
    </row>
    <row r="1294" spans="1:14" x14ac:dyDescent="0.3">
      <c r="A1294" s="123">
        <v>8</v>
      </c>
      <c r="B1294" s="907"/>
      <c r="C1294" s="909"/>
      <c r="D1294" s="911"/>
      <c r="E1294" s="911"/>
      <c r="F1294" s="909"/>
      <c r="G1294" s="909"/>
      <c r="H1294" s="909"/>
      <c r="I1294" s="149" t="s">
        <v>5162</v>
      </c>
      <c r="J1294" s="909"/>
      <c r="K1294" s="909"/>
      <c r="L1294" s="911"/>
      <c r="M1294" s="915"/>
      <c r="N1294" s="911"/>
    </row>
    <row r="1295" spans="1:14" x14ac:dyDescent="0.3">
      <c r="A1295" s="123">
        <v>9</v>
      </c>
      <c r="B1295" s="90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7"/>
      <c r="C1304" s="908" t="s">
        <v>5175</v>
      </c>
      <c r="D1304" s="910" t="s">
        <v>311</v>
      </c>
      <c r="E1304" s="910" t="s">
        <v>320</v>
      </c>
      <c r="F1304" s="908" t="s">
        <v>337</v>
      </c>
      <c r="G1304" s="908" t="s">
        <v>3168</v>
      </c>
      <c r="H1304" s="908" t="s">
        <v>3057</v>
      </c>
      <c r="I1304" s="510" t="s">
        <v>5176</v>
      </c>
      <c r="J1304" s="908" t="s">
        <v>638</v>
      </c>
      <c r="K1304" s="908" t="s">
        <v>713</v>
      </c>
      <c r="L1304" s="910" t="s">
        <v>309</v>
      </c>
      <c r="M1304" s="914">
        <v>250000</v>
      </c>
      <c r="N1304" s="911" t="s">
        <v>5032</v>
      </c>
    </row>
    <row r="1305" spans="1:14" x14ac:dyDescent="0.3">
      <c r="A1305" s="123">
        <v>9</v>
      </c>
      <c r="B1305" s="907"/>
      <c r="C1305" s="909"/>
      <c r="D1305" s="911"/>
      <c r="E1305" s="911"/>
      <c r="F1305" s="909"/>
      <c r="G1305" s="909"/>
      <c r="H1305" s="909"/>
      <c r="I1305" s="476" t="s">
        <v>5177</v>
      </c>
      <c r="J1305" s="909"/>
      <c r="K1305" s="909"/>
      <c r="L1305" s="911"/>
      <c r="M1305" s="915"/>
      <c r="N1305" s="911"/>
    </row>
    <row r="1306" spans="1:14" x14ac:dyDescent="0.3">
      <c r="A1306" s="123">
        <v>9</v>
      </c>
      <c r="B1306" s="907"/>
      <c r="C1306" s="908" t="s">
        <v>5175</v>
      </c>
      <c r="D1306" s="910" t="s">
        <v>311</v>
      </c>
      <c r="E1306" s="910" t="s">
        <v>320</v>
      </c>
      <c r="F1306" s="908" t="s">
        <v>5178</v>
      </c>
      <c r="G1306" s="506" t="s">
        <v>689</v>
      </c>
      <c r="H1306" s="908" t="s">
        <v>5180</v>
      </c>
      <c r="I1306" s="506" t="s">
        <v>5315</v>
      </c>
      <c r="J1306" s="908"/>
      <c r="K1306" s="908" t="s">
        <v>713</v>
      </c>
      <c r="L1306" s="910" t="s">
        <v>309</v>
      </c>
      <c r="M1306" s="914">
        <v>250000</v>
      </c>
      <c r="N1306" s="911" t="s">
        <v>5032</v>
      </c>
    </row>
    <row r="1307" spans="1:14" x14ac:dyDescent="0.3">
      <c r="A1307" s="123">
        <v>9</v>
      </c>
      <c r="B1307" s="907"/>
      <c r="C1307" s="909"/>
      <c r="D1307" s="911"/>
      <c r="E1307" s="911"/>
      <c r="F1307" s="909"/>
      <c r="G1307" s="149" t="s">
        <v>5179</v>
      </c>
      <c r="H1307" s="909"/>
      <c r="I1307" s="149" t="s">
        <v>5181</v>
      </c>
      <c r="J1307" s="909"/>
      <c r="K1307" s="909"/>
      <c r="L1307" s="911"/>
      <c r="M1307" s="915"/>
      <c r="N1307" s="911"/>
    </row>
    <row r="1308" spans="1:14" x14ac:dyDescent="0.3">
      <c r="A1308" s="123">
        <v>9</v>
      </c>
      <c r="B1308" s="90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7"/>
      <c r="C1309" s="908" t="s">
        <v>5183</v>
      </c>
      <c r="D1309" s="910" t="s">
        <v>311</v>
      </c>
      <c r="E1309" s="910" t="s">
        <v>320</v>
      </c>
      <c r="F1309" s="908" t="s">
        <v>337</v>
      </c>
      <c r="G1309" s="506" t="s">
        <v>3401</v>
      </c>
      <c r="H1309" s="908" t="s">
        <v>5029</v>
      </c>
      <c r="I1309" s="908" t="s">
        <v>5316</v>
      </c>
      <c r="J1309" s="908"/>
      <c r="K1309" s="908" t="s">
        <v>692</v>
      </c>
      <c r="L1309" s="910" t="s">
        <v>309</v>
      </c>
      <c r="M1309" s="914">
        <v>500000</v>
      </c>
      <c r="N1309" s="911" t="s">
        <v>5032</v>
      </c>
    </row>
    <row r="1310" spans="1:14" x14ac:dyDescent="0.3">
      <c r="A1310" s="123">
        <v>9</v>
      </c>
      <c r="B1310" s="907"/>
      <c r="C1310" s="909"/>
      <c r="D1310" s="911"/>
      <c r="E1310" s="911"/>
      <c r="F1310" s="909"/>
      <c r="G1310" s="149" t="s">
        <v>5184</v>
      </c>
      <c r="H1310" s="909"/>
      <c r="I1310" s="909"/>
      <c r="J1310" s="909"/>
      <c r="K1310" s="909"/>
      <c r="L1310" s="911"/>
      <c r="M1310" s="915"/>
      <c r="N1310" s="911"/>
    </row>
    <row r="1311" spans="1:14" ht="24" x14ac:dyDescent="0.3">
      <c r="A1311" s="123">
        <v>9</v>
      </c>
      <c r="B1311" s="90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7"/>
      <c r="C1312" s="908" t="s">
        <v>5187</v>
      </c>
      <c r="D1312" s="910" t="s">
        <v>311</v>
      </c>
      <c r="E1312" s="910" t="s">
        <v>675</v>
      </c>
      <c r="F1312" s="908" t="s">
        <v>5188</v>
      </c>
      <c r="G1312" s="507" t="s">
        <v>1919</v>
      </c>
      <c r="H1312" s="908" t="s">
        <v>347</v>
      </c>
      <c r="I1312" s="908" t="s">
        <v>5319</v>
      </c>
      <c r="J1312" s="908"/>
      <c r="K1312" s="908" t="s">
        <v>692</v>
      </c>
      <c r="L1312" s="910" t="s">
        <v>309</v>
      </c>
      <c r="M1312" s="928">
        <v>500000</v>
      </c>
      <c r="N1312" s="911" t="s">
        <v>1925</v>
      </c>
    </row>
    <row r="1313" spans="1:14" x14ac:dyDescent="0.3">
      <c r="A1313" s="123">
        <v>9</v>
      </c>
      <c r="B1313" s="907"/>
      <c r="C1313" s="909"/>
      <c r="D1313" s="911"/>
      <c r="E1313" s="911"/>
      <c r="F1313" s="909"/>
      <c r="G1313" s="475" t="s">
        <v>5189</v>
      </c>
      <c r="H1313" s="909"/>
      <c r="I1313" s="909"/>
      <c r="J1313" s="909"/>
      <c r="K1313" s="909"/>
      <c r="L1313" s="911"/>
      <c r="M1313" s="929"/>
      <c r="N1313" s="911"/>
    </row>
    <row r="1314" spans="1:14" x14ac:dyDescent="0.3">
      <c r="A1314" s="123">
        <v>10</v>
      </c>
      <c r="B1314" s="90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7"/>
      <c r="C1321" s="909" t="s">
        <v>5201</v>
      </c>
      <c r="D1321" s="911" t="s">
        <v>311</v>
      </c>
      <c r="E1321" s="911" t="s">
        <v>320</v>
      </c>
      <c r="F1321" s="909" t="s">
        <v>337</v>
      </c>
      <c r="G1321" s="909" t="s">
        <v>3168</v>
      </c>
      <c r="H1321" s="909" t="s">
        <v>3057</v>
      </c>
      <c r="I1321" s="476" t="s">
        <v>5176</v>
      </c>
      <c r="J1321" s="909" t="s">
        <v>638</v>
      </c>
      <c r="K1321" s="909" t="s">
        <v>705</v>
      </c>
      <c r="L1321" s="911" t="s">
        <v>309</v>
      </c>
      <c r="M1321" s="915">
        <v>500000</v>
      </c>
      <c r="N1321" s="911" t="s">
        <v>1206</v>
      </c>
    </row>
    <row r="1322" spans="1:14" x14ac:dyDescent="0.3">
      <c r="A1322" s="123">
        <v>10</v>
      </c>
      <c r="B1322" s="907"/>
      <c r="C1322" s="909"/>
      <c r="D1322" s="911"/>
      <c r="E1322" s="911"/>
      <c r="F1322" s="909"/>
      <c r="G1322" s="909"/>
      <c r="H1322" s="909"/>
      <c r="I1322" s="476" t="s">
        <v>5177</v>
      </c>
      <c r="J1322" s="909"/>
      <c r="K1322" s="909"/>
      <c r="L1322" s="911"/>
      <c r="M1322" s="915"/>
      <c r="N1322" s="911"/>
    </row>
    <row r="1323" spans="1:14" x14ac:dyDescent="0.3">
      <c r="A1323" s="123">
        <v>10</v>
      </c>
      <c r="B1323" s="90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7"/>
      <c r="C1326" s="909" t="s">
        <v>5202</v>
      </c>
      <c r="D1326" s="911" t="s">
        <v>311</v>
      </c>
      <c r="E1326" s="911" t="s">
        <v>320</v>
      </c>
      <c r="F1326" s="909" t="s">
        <v>337</v>
      </c>
      <c r="G1326" s="909" t="s">
        <v>3168</v>
      </c>
      <c r="H1326" s="909" t="s">
        <v>3057</v>
      </c>
      <c r="I1326" s="476" t="s">
        <v>5176</v>
      </c>
      <c r="J1326" s="909"/>
      <c r="K1326" s="909" t="s">
        <v>705</v>
      </c>
      <c r="L1326" s="911" t="s">
        <v>309</v>
      </c>
      <c r="M1326" s="915">
        <v>500000</v>
      </c>
      <c r="N1326" s="911" t="s">
        <v>1206</v>
      </c>
    </row>
    <row r="1327" spans="1:14" x14ac:dyDescent="0.3">
      <c r="A1327" s="123">
        <v>10</v>
      </c>
      <c r="B1327" s="907"/>
      <c r="C1327" s="909"/>
      <c r="D1327" s="911"/>
      <c r="E1327" s="911"/>
      <c r="F1327" s="909"/>
      <c r="G1327" s="909"/>
      <c r="H1327" s="909"/>
      <c r="I1327" s="476" t="s">
        <v>5177</v>
      </c>
      <c r="J1327" s="909"/>
      <c r="K1327" s="909"/>
      <c r="L1327" s="911"/>
      <c r="M1327" s="915"/>
      <c r="N1327" s="911"/>
    </row>
    <row r="1328" spans="1:14" ht="25.5" x14ac:dyDescent="0.3">
      <c r="A1328" s="123">
        <v>10</v>
      </c>
      <c r="B1328" s="90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7"/>
      <c r="C1329" s="908" t="s">
        <v>5209</v>
      </c>
      <c r="D1329" s="910" t="s">
        <v>311</v>
      </c>
      <c r="E1329" s="910" t="s">
        <v>675</v>
      </c>
      <c r="F1329" s="506" t="s">
        <v>5210</v>
      </c>
      <c r="G1329" s="908" t="s">
        <v>5212</v>
      </c>
      <c r="H1329" s="908" t="s">
        <v>662</v>
      </c>
      <c r="I1329" s="908" t="s">
        <v>5321</v>
      </c>
      <c r="J1329" s="908" t="s">
        <v>638</v>
      </c>
      <c r="K1329" s="908" t="s">
        <v>713</v>
      </c>
      <c r="L1329" s="910" t="s">
        <v>309</v>
      </c>
      <c r="M1329" s="914">
        <v>250000</v>
      </c>
      <c r="N1329" s="911" t="s">
        <v>5032</v>
      </c>
    </row>
    <row r="1330" spans="1:14" x14ac:dyDescent="0.3">
      <c r="A1330" s="123">
        <v>10</v>
      </c>
      <c r="B1330" s="907"/>
      <c r="C1330" s="909"/>
      <c r="D1330" s="911"/>
      <c r="E1330" s="911"/>
      <c r="F1330" s="149" t="s">
        <v>5211</v>
      </c>
      <c r="G1330" s="909"/>
      <c r="H1330" s="909"/>
      <c r="I1330" s="909"/>
      <c r="J1330" s="909"/>
      <c r="K1330" s="909"/>
      <c r="L1330" s="911"/>
      <c r="M1330" s="915"/>
      <c r="N1330" s="911"/>
    </row>
    <row r="1331" spans="1:14" x14ac:dyDescent="0.3">
      <c r="A1331" s="123">
        <v>10</v>
      </c>
      <c r="B1331" s="907"/>
      <c r="C1331" s="908" t="s">
        <v>5213</v>
      </c>
      <c r="D1331" s="910" t="s">
        <v>311</v>
      </c>
      <c r="E1331" s="910" t="s">
        <v>675</v>
      </c>
      <c r="F1331" s="908" t="s">
        <v>5214</v>
      </c>
      <c r="G1331" s="507" t="s">
        <v>5126</v>
      </c>
      <c r="H1331" s="912" t="s">
        <v>347</v>
      </c>
      <c r="I1331" s="506" t="s">
        <v>5322</v>
      </c>
      <c r="J1331" s="908"/>
      <c r="K1331" s="908" t="s">
        <v>692</v>
      </c>
      <c r="L1331" s="910" t="s">
        <v>309</v>
      </c>
      <c r="M1331" s="914">
        <v>500000</v>
      </c>
      <c r="N1331" s="911" t="s">
        <v>5032</v>
      </c>
    </row>
    <row r="1332" spans="1:14" x14ac:dyDescent="0.3">
      <c r="A1332" s="123">
        <v>10</v>
      </c>
      <c r="B1332" s="907"/>
      <c r="C1332" s="909"/>
      <c r="D1332" s="911"/>
      <c r="E1332" s="911"/>
      <c r="F1332" s="909"/>
      <c r="G1332" s="475" t="s">
        <v>5215</v>
      </c>
      <c r="H1332" s="913"/>
      <c r="I1332" s="149" t="s">
        <v>5217</v>
      </c>
      <c r="J1332" s="909"/>
      <c r="K1332" s="909"/>
      <c r="L1332" s="911"/>
      <c r="M1332" s="915"/>
      <c r="N1332" s="911"/>
    </row>
    <row r="1333" spans="1:14" x14ac:dyDescent="0.3">
      <c r="A1333" s="123">
        <v>11</v>
      </c>
      <c r="B1333" s="90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7" t="s">
        <v>5163</v>
      </c>
      <c r="C1339" s="912" t="s">
        <v>5218</v>
      </c>
      <c r="D1339" s="920" t="s">
        <v>311</v>
      </c>
      <c r="E1339" s="920" t="s">
        <v>675</v>
      </c>
      <c r="F1339" s="912" t="s">
        <v>5214</v>
      </c>
      <c r="G1339" s="510" t="s">
        <v>5126</v>
      </c>
      <c r="H1339" s="912" t="s">
        <v>347</v>
      </c>
      <c r="I1339" s="510" t="s">
        <v>5216</v>
      </c>
      <c r="J1339" s="912"/>
      <c r="K1339" s="912" t="s">
        <v>692</v>
      </c>
      <c r="L1339" s="920" t="s">
        <v>309</v>
      </c>
      <c r="M1339" s="926">
        <v>500000</v>
      </c>
      <c r="N1339" s="913" t="s">
        <v>5225</v>
      </c>
    </row>
    <row r="1340" spans="1:14" x14ac:dyDescent="0.3">
      <c r="A1340" s="123">
        <v>11</v>
      </c>
      <c r="B1340" s="907"/>
      <c r="C1340" s="913"/>
      <c r="D1340" s="918"/>
      <c r="E1340" s="918"/>
      <c r="F1340" s="913"/>
      <c r="G1340" s="476" t="s">
        <v>5215</v>
      </c>
      <c r="H1340" s="913"/>
      <c r="I1340" s="476" t="s">
        <v>5217</v>
      </c>
      <c r="J1340" s="913"/>
      <c r="K1340" s="913"/>
      <c r="L1340" s="918"/>
      <c r="M1340" s="927"/>
      <c r="N1340" s="913"/>
    </row>
    <row r="1341" spans="1:14" x14ac:dyDescent="0.3">
      <c r="A1341" s="123">
        <v>11</v>
      </c>
      <c r="B1341" s="90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0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1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18" t="s">
        <v>5443</v>
      </c>
    </row>
    <row r="1370" spans="1:14" x14ac:dyDescent="0.3">
      <c r="A1370" s="123">
        <v>14</v>
      </c>
      <c r="B1370" s="91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18"/>
    </row>
    <row r="1371" spans="1:14" x14ac:dyDescent="0.3">
      <c r="A1371" s="123">
        <v>14</v>
      </c>
      <c r="B1371" s="91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1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1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1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1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1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1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1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1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1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1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1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0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0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0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0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0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0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0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0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0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07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0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07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0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0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07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1087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1087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1087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1087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1087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1087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1087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1087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33"/>
      <c r="C1439" s="921" t="s">
        <v>5860</v>
      </c>
      <c r="D1439" s="922" t="s">
        <v>311</v>
      </c>
      <c r="E1439" s="922" t="s">
        <v>320</v>
      </c>
      <c r="F1439" s="923" t="s">
        <v>5188</v>
      </c>
      <c r="G1439" s="658" t="s">
        <v>1919</v>
      </c>
      <c r="H1439" s="923" t="s">
        <v>347</v>
      </c>
      <c r="I1439" s="923" t="s">
        <v>5870</v>
      </c>
      <c r="J1439" s="923"/>
      <c r="K1439" s="923" t="s">
        <v>692</v>
      </c>
      <c r="L1439" s="922" t="s">
        <v>309</v>
      </c>
      <c r="M1439" s="925">
        <v>500000</v>
      </c>
      <c r="N1439" s="1075"/>
    </row>
    <row r="1440" spans="1:14" x14ac:dyDescent="0.3">
      <c r="A1440" s="689">
        <v>20</v>
      </c>
      <c r="B1440" s="933"/>
      <c r="C1440" s="921"/>
      <c r="D1440" s="922"/>
      <c r="E1440" s="922"/>
      <c r="F1440" s="923"/>
      <c r="G1440" s="658" t="s">
        <v>5189</v>
      </c>
      <c r="H1440" s="923"/>
      <c r="I1440" s="923"/>
      <c r="J1440" s="923"/>
      <c r="K1440" s="923"/>
      <c r="L1440" s="922"/>
      <c r="M1440" s="925"/>
      <c r="N1440" s="1075"/>
    </row>
    <row r="1441" spans="1:14" ht="24" x14ac:dyDescent="0.3">
      <c r="A1441" s="689">
        <v>20</v>
      </c>
      <c r="B1441" s="9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906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906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906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906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906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906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906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906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906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906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906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107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078" t="s">
        <v>5942</v>
      </c>
    </row>
    <row r="1454" spans="1:14" x14ac:dyDescent="0.3">
      <c r="A1454" s="691">
        <v>22</v>
      </c>
      <c r="B1454" s="107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079"/>
    </row>
    <row r="1455" spans="1:14" x14ac:dyDescent="0.3">
      <c r="A1455" s="691">
        <v>22</v>
      </c>
      <c r="B1455" s="107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107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107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107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107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81" t="s">
        <v>3274</v>
      </c>
      <c r="K1459" s="1081" t="s">
        <v>3454</v>
      </c>
      <c r="L1459" s="646" t="s">
        <v>3265</v>
      </c>
      <c r="M1459" s="1083">
        <v>250000</v>
      </c>
      <c r="N1459" s="688" t="s">
        <v>5964</v>
      </c>
    </row>
    <row r="1460" spans="1:14" x14ac:dyDescent="0.3">
      <c r="A1460" s="691">
        <v>22</v>
      </c>
      <c r="B1460" s="107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82"/>
      <c r="K1460" s="1082"/>
      <c r="L1460" s="646" t="s">
        <v>3265</v>
      </c>
      <c r="M1460" s="1084"/>
      <c r="N1460" s="688" t="s">
        <v>5965</v>
      </c>
    </row>
    <row r="1461" spans="1:14" x14ac:dyDescent="0.3">
      <c r="A1461" s="691">
        <v>22</v>
      </c>
      <c r="B1461" s="107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107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107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107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85" t="s">
        <v>5920</v>
      </c>
      <c r="L1464" s="646" t="s">
        <v>15</v>
      </c>
      <c r="M1464" s="1083">
        <v>500000</v>
      </c>
      <c r="N1464" s="688" t="s">
        <v>5969</v>
      </c>
    </row>
    <row r="1465" spans="1:14" x14ac:dyDescent="0.3">
      <c r="A1465" s="691">
        <v>22</v>
      </c>
      <c r="B1465" s="1080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86"/>
      <c r="L1465" s="646" t="s">
        <v>15</v>
      </c>
      <c r="M1465" s="1084"/>
      <c r="N1465" s="688" t="s">
        <v>5970</v>
      </c>
    </row>
    <row r="1466" spans="1:14" x14ac:dyDescent="0.3">
      <c r="A1466" s="689">
        <v>23</v>
      </c>
      <c r="B1466" s="906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906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906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906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906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90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90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906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90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88" t="s">
        <v>90</v>
      </c>
      <c r="K1474" s="1088" t="s">
        <v>6007</v>
      </c>
      <c r="L1474" s="136" t="s">
        <v>15</v>
      </c>
      <c r="M1474" s="1089">
        <v>250000</v>
      </c>
      <c r="N1474" s="646"/>
    </row>
    <row r="1475" spans="1:14" ht="27" x14ac:dyDescent="0.3">
      <c r="A1475" s="689">
        <v>23</v>
      </c>
      <c r="B1475" s="906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88"/>
      <c r="K1475" s="1088"/>
      <c r="L1475" s="136" t="s">
        <v>15</v>
      </c>
      <c r="M1475" s="1089"/>
      <c r="N1475" s="646"/>
    </row>
    <row r="1476" spans="1:14" x14ac:dyDescent="0.3">
      <c r="A1476" s="689">
        <v>23</v>
      </c>
      <c r="B1476" s="90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90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90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906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90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90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90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90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906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90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906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906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906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906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906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906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906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90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90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90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90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906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90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90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90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906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906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90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906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906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90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90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90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1090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1091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1091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1091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1091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1091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1090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1091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1091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1091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1091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1091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1091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1091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1091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1091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1091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1091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1090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1091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1091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1091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1091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1091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90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90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90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90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90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90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90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90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906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906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906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906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906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906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906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906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906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906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906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906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906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096" t="s">
        <v>6410</v>
      </c>
      <c r="L1553" s="632" t="s">
        <v>6349</v>
      </c>
      <c r="M1553" s="1083">
        <v>250000</v>
      </c>
      <c r="N1553" s="688" t="s">
        <v>6437</v>
      </c>
    </row>
    <row r="1554" spans="1:14" x14ac:dyDescent="0.3">
      <c r="A1554" s="691">
        <v>27</v>
      </c>
      <c r="B1554" s="906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097"/>
      <c r="L1554" s="632" t="s">
        <v>15</v>
      </c>
      <c r="M1554" s="1084"/>
      <c r="N1554" s="688" t="s">
        <v>6438</v>
      </c>
    </row>
    <row r="1555" spans="1:14" x14ac:dyDescent="0.3">
      <c r="A1555" s="691">
        <v>27</v>
      </c>
      <c r="B1555" s="906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906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1090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1091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1091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1091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1090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1091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1091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92" t="s">
        <v>686</v>
      </c>
      <c r="L1563" s="125" t="s">
        <v>15</v>
      </c>
      <c r="M1563" s="1083">
        <v>250000</v>
      </c>
      <c r="N1563" s="688" t="s">
        <v>393</v>
      </c>
    </row>
    <row r="1564" spans="1:14" x14ac:dyDescent="0.3">
      <c r="A1564" s="689">
        <v>28</v>
      </c>
      <c r="B1564" s="1091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93"/>
      <c r="L1564" s="125" t="s">
        <v>15</v>
      </c>
      <c r="M1564" s="1095"/>
      <c r="N1564" s="688" t="s">
        <v>128</v>
      </c>
    </row>
    <row r="1565" spans="1:14" ht="27" x14ac:dyDescent="0.3">
      <c r="A1565" s="689">
        <v>28</v>
      </c>
      <c r="B1565" s="1091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94"/>
      <c r="L1565" s="125" t="s">
        <v>15</v>
      </c>
      <c r="M1565" s="1084"/>
      <c r="N1565" s="688" t="s">
        <v>393</v>
      </c>
    </row>
    <row r="1566" spans="1:14" x14ac:dyDescent="0.3">
      <c r="A1566" s="689">
        <v>28</v>
      </c>
      <c r="B1566" s="1091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1091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1091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1091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107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92" t="s">
        <v>1113</v>
      </c>
      <c r="L1571" s="125" t="s">
        <v>15</v>
      </c>
      <c r="M1571" s="1083">
        <v>750000</v>
      </c>
      <c r="N1571" s="1098" t="s">
        <v>6608</v>
      </c>
    </row>
    <row r="1572" spans="1:14" x14ac:dyDescent="0.3">
      <c r="A1572" s="689">
        <v>29</v>
      </c>
      <c r="B1572" s="107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94"/>
      <c r="L1572" s="125" t="s">
        <v>15</v>
      </c>
      <c r="M1572" s="1084"/>
      <c r="N1572" s="1099"/>
    </row>
    <row r="1573" spans="1:14" ht="27" x14ac:dyDescent="0.3">
      <c r="A1573" s="689">
        <v>29</v>
      </c>
      <c r="B1573" s="107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107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107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107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00" t="s">
        <v>41</v>
      </c>
      <c r="L1576" s="136" t="s">
        <v>15</v>
      </c>
      <c r="M1576" s="1083">
        <v>250000</v>
      </c>
      <c r="N1576" s="646" t="s">
        <v>6615</v>
      </c>
    </row>
    <row r="1577" spans="1:14" x14ac:dyDescent="0.3">
      <c r="A1577" s="689">
        <v>29</v>
      </c>
      <c r="B1577" s="107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01"/>
      <c r="L1577" s="136" t="s">
        <v>15</v>
      </c>
      <c r="M1577" s="1084"/>
      <c r="N1577" s="646" t="s">
        <v>6616</v>
      </c>
    </row>
    <row r="1578" spans="1:14" x14ac:dyDescent="0.3">
      <c r="A1578" s="689">
        <v>29</v>
      </c>
      <c r="B1578" s="107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107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107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107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92" t="s">
        <v>686</v>
      </c>
      <c r="L1581" s="125" t="s">
        <v>15</v>
      </c>
      <c r="M1581" s="1083">
        <v>250000</v>
      </c>
      <c r="N1581" s="646" t="s">
        <v>6737</v>
      </c>
    </row>
    <row r="1582" spans="1:14" x14ac:dyDescent="0.3">
      <c r="A1582" s="689">
        <v>29</v>
      </c>
      <c r="B1582" s="107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94"/>
      <c r="L1582" s="125" t="s">
        <v>15</v>
      </c>
      <c r="M1582" s="1084"/>
      <c r="N1582" s="646" t="s">
        <v>6620</v>
      </c>
    </row>
    <row r="1583" spans="1:14" x14ac:dyDescent="0.3">
      <c r="A1583" s="689">
        <v>29</v>
      </c>
      <c r="B1583" s="107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92" t="s">
        <v>686</v>
      </c>
      <c r="L1583" s="125" t="s">
        <v>15</v>
      </c>
      <c r="M1583" s="1083">
        <v>250000</v>
      </c>
      <c r="N1583" s="646" t="s">
        <v>6737</v>
      </c>
    </row>
    <row r="1584" spans="1:14" x14ac:dyDescent="0.3">
      <c r="A1584" s="689">
        <v>29</v>
      </c>
      <c r="B1584" s="107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94"/>
      <c r="L1584" s="125" t="s">
        <v>15</v>
      </c>
      <c r="M1584" s="1084"/>
      <c r="N1584" s="646" t="s">
        <v>6621</v>
      </c>
    </row>
    <row r="1585" spans="1:14" x14ac:dyDescent="0.3">
      <c r="A1585" s="689">
        <v>30</v>
      </c>
      <c r="B1585" s="906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906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906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906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906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906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906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906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906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098" t="s">
        <v>6721</v>
      </c>
    </row>
    <row r="1595" spans="1:14" x14ac:dyDescent="0.3">
      <c r="A1595" s="689">
        <v>31</v>
      </c>
      <c r="B1595" s="906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02"/>
    </row>
    <row r="1596" spans="1:14" x14ac:dyDescent="0.3">
      <c r="A1596" s="689">
        <v>31</v>
      </c>
      <c r="B1596" s="906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02"/>
    </row>
    <row r="1597" spans="1:14" x14ac:dyDescent="0.3">
      <c r="A1597" s="689">
        <v>31</v>
      </c>
      <c r="B1597" s="906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02"/>
    </row>
    <row r="1598" spans="1:14" x14ac:dyDescent="0.3">
      <c r="A1598" s="689">
        <v>31</v>
      </c>
      <c r="B1598" s="906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099"/>
    </row>
    <row r="1599" spans="1:14" x14ac:dyDescent="0.3">
      <c r="A1599" s="689">
        <v>31</v>
      </c>
      <c r="B1599" s="906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906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906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906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906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906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906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906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906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906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906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906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906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906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906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906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906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906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906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906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906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906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906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906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906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906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906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906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906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906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906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906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906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906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906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906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906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906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098" t="s">
        <v>7020</v>
      </c>
    </row>
    <row r="1637" spans="1:14" x14ac:dyDescent="0.3">
      <c r="A1637" s="804">
        <v>35</v>
      </c>
      <c r="B1637" s="906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099"/>
    </row>
    <row r="1638" spans="1:14" x14ac:dyDescent="0.3">
      <c r="A1638" s="804">
        <v>35</v>
      </c>
      <c r="B1638" s="906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906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906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906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906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2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906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906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906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906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906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906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906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906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906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906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906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906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05" t="s">
        <v>3708</v>
      </c>
      <c r="L1654" s="125" t="s">
        <v>15</v>
      </c>
      <c r="M1654" s="1083">
        <v>250000</v>
      </c>
      <c r="N1654" s="646" t="s">
        <v>5969</v>
      </c>
    </row>
    <row r="1655" spans="1:14" x14ac:dyDescent="0.3">
      <c r="A1655" s="804">
        <v>36</v>
      </c>
      <c r="B1655" s="906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1094"/>
      <c r="L1655" s="125" t="s">
        <v>15</v>
      </c>
      <c r="M1655" s="1084"/>
      <c r="N1655" s="646" t="s">
        <v>3779</v>
      </c>
    </row>
    <row r="1656" spans="1:14" x14ac:dyDescent="0.3">
      <c r="A1656" s="804">
        <v>36</v>
      </c>
      <c r="B1656" s="906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906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05" t="s">
        <v>3708</v>
      </c>
      <c r="L1657" s="125" t="s">
        <v>15</v>
      </c>
      <c r="M1657" s="1083">
        <v>250000</v>
      </c>
      <c r="N1657" s="646" t="s">
        <v>3779</v>
      </c>
    </row>
    <row r="1658" spans="1:14" x14ac:dyDescent="0.3">
      <c r="A1658" s="804">
        <v>36</v>
      </c>
      <c r="B1658" s="906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1094"/>
      <c r="L1658" s="125" t="s">
        <v>15</v>
      </c>
      <c r="M1658" s="1084"/>
      <c r="N1658" s="646" t="s">
        <v>3779</v>
      </c>
    </row>
    <row r="1659" spans="1:14" x14ac:dyDescent="0.3">
      <c r="A1659" s="837">
        <v>36</v>
      </c>
      <c r="B1659" s="906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1103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1103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1103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1103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1103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1104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1103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1103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1103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1103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1103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1103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1103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1103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1103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1103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1103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1103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1103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890">
        <v>38</v>
      </c>
      <c r="B1679" s="1104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906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 x14ac:dyDescent="0.3">
      <c r="A1681" s="804">
        <v>39</v>
      </c>
      <c r="B1681" s="906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 x14ac:dyDescent="0.3">
      <c r="A1682" s="804">
        <v>39</v>
      </c>
      <c r="B1682" s="906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 x14ac:dyDescent="0.3">
      <c r="A1683" s="804">
        <v>39</v>
      </c>
      <c r="B1683" s="906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 x14ac:dyDescent="0.3">
      <c r="A1684" s="804">
        <v>39</v>
      </c>
      <c r="B1684" s="906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906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906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 x14ac:dyDescent="0.3">
      <c r="A1687" s="804">
        <v>40</v>
      </c>
      <c r="B1687" s="906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 x14ac:dyDescent="0.3">
      <c r="A1688" s="804">
        <v>40</v>
      </c>
      <c r="B1688" s="906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 x14ac:dyDescent="0.3">
      <c r="A1689" s="804">
        <v>40</v>
      </c>
      <c r="B1689" s="906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 x14ac:dyDescent="0.3">
      <c r="A1690" s="804">
        <v>40</v>
      </c>
      <c r="B1690" s="906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 x14ac:dyDescent="0.3">
      <c r="A1691" s="804">
        <v>40</v>
      </c>
      <c r="B1691" s="906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 x14ac:dyDescent="0.3">
      <c r="A1692" s="804">
        <v>40</v>
      </c>
      <c r="B1692" s="906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 x14ac:dyDescent="0.3">
      <c r="A1693" s="804">
        <v>40</v>
      </c>
      <c r="B1693" s="906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906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  <row r="1695" spans="1:14" x14ac:dyDescent="0.3">
      <c r="A1695" s="1211">
        <v>41</v>
      </c>
      <c r="B1695" s="1209" t="s">
        <v>307</v>
      </c>
      <c r="C1695" s="1199" t="s">
        <v>7502</v>
      </c>
      <c r="D1695" s="1200" t="s">
        <v>7503</v>
      </c>
      <c r="E1695" s="1200" t="s">
        <v>322</v>
      </c>
      <c r="F1695" s="1201" t="s">
        <v>5400</v>
      </c>
      <c r="G1695" s="1202">
        <v>7065</v>
      </c>
      <c r="H1695" s="1202" t="s">
        <v>7489</v>
      </c>
      <c r="I1695" s="1201" t="s">
        <v>7504</v>
      </c>
      <c r="J1695" s="1201" t="s">
        <v>1534</v>
      </c>
      <c r="K1695" s="1201" t="s">
        <v>692</v>
      </c>
      <c r="L1695" s="1203" t="s">
        <v>309</v>
      </c>
      <c r="M1695" s="752">
        <v>500000</v>
      </c>
      <c r="N1695" s="1203" t="s">
        <v>7505</v>
      </c>
    </row>
    <row r="1696" spans="1:14" x14ac:dyDescent="0.3">
      <c r="A1696" s="1211">
        <v>41</v>
      </c>
      <c r="B1696" s="1208"/>
      <c r="C1696" s="1204" t="s">
        <v>7502</v>
      </c>
      <c r="D1696" s="1200" t="s">
        <v>7503</v>
      </c>
      <c r="E1696" s="1200" t="s">
        <v>322</v>
      </c>
      <c r="F1696" s="1201" t="s">
        <v>5400</v>
      </c>
      <c r="G1696" s="1202">
        <v>7065</v>
      </c>
      <c r="H1696" s="1202" t="s">
        <v>329</v>
      </c>
      <c r="I1696" s="1201" t="s">
        <v>7506</v>
      </c>
      <c r="J1696" s="1201" t="s">
        <v>7507</v>
      </c>
      <c r="K1696" s="1201" t="s">
        <v>3105</v>
      </c>
      <c r="L1696" s="1203" t="s">
        <v>309</v>
      </c>
      <c r="M1696" s="1212">
        <v>250000</v>
      </c>
      <c r="N1696" s="1203" t="s">
        <v>7505</v>
      </c>
    </row>
    <row r="1697" spans="1:14" x14ac:dyDescent="0.3">
      <c r="A1697" s="1211">
        <v>41</v>
      </c>
      <c r="B1697" s="1208"/>
      <c r="C1697" s="1204" t="s">
        <v>7508</v>
      </c>
      <c r="D1697" s="1200" t="s">
        <v>7503</v>
      </c>
      <c r="E1697" s="1200" t="s">
        <v>322</v>
      </c>
      <c r="F1697" s="1201" t="s">
        <v>5400</v>
      </c>
      <c r="G1697" s="1202" t="s">
        <v>7483</v>
      </c>
      <c r="H1697" s="1202" t="s">
        <v>662</v>
      </c>
      <c r="I1697" s="1201" t="s">
        <v>1096</v>
      </c>
      <c r="J1697" s="1201" t="s">
        <v>7509</v>
      </c>
      <c r="K1697" s="1201" t="s">
        <v>7510</v>
      </c>
      <c r="L1697" s="1203" t="s">
        <v>309</v>
      </c>
      <c r="M1697" s="1212">
        <v>250000</v>
      </c>
      <c r="N1697" s="1203"/>
    </row>
    <row r="1698" spans="1:14" ht="24" x14ac:dyDescent="0.3">
      <c r="A1698" s="1211">
        <v>41</v>
      </c>
      <c r="B1698" s="1208"/>
      <c r="C1698" s="1204" t="s">
        <v>7511</v>
      </c>
      <c r="D1698" s="1200" t="s">
        <v>7503</v>
      </c>
      <c r="E1698" s="1200" t="s">
        <v>322</v>
      </c>
      <c r="F1698" s="1201" t="s">
        <v>5400</v>
      </c>
      <c r="G1698" s="1202">
        <v>7065</v>
      </c>
      <c r="H1698" s="1202" t="s">
        <v>6915</v>
      </c>
      <c r="I1698" s="1201" t="s">
        <v>1096</v>
      </c>
      <c r="J1698" s="1201" t="s">
        <v>7509</v>
      </c>
      <c r="K1698" s="1201" t="s">
        <v>7512</v>
      </c>
      <c r="L1698" s="1203" t="s">
        <v>309</v>
      </c>
      <c r="M1698" s="1212">
        <v>1000000</v>
      </c>
      <c r="N1698" s="1203"/>
    </row>
    <row r="1699" spans="1:14" ht="24" x14ac:dyDescent="0.3">
      <c r="A1699" s="1211">
        <v>41</v>
      </c>
      <c r="B1699" s="1208"/>
      <c r="C1699" s="1204" t="s">
        <v>7513</v>
      </c>
      <c r="D1699" s="1200" t="s">
        <v>7503</v>
      </c>
      <c r="E1699" s="1200" t="s">
        <v>322</v>
      </c>
      <c r="F1699" s="1201" t="s">
        <v>5400</v>
      </c>
      <c r="G1699" s="1202" t="s">
        <v>7483</v>
      </c>
      <c r="H1699" s="1202" t="s">
        <v>662</v>
      </c>
      <c r="I1699" s="1201" t="s">
        <v>4965</v>
      </c>
      <c r="J1699" s="1201" t="s">
        <v>7514</v>
      </c>
      <c r="K1699" s="1201" t="s">
        <v>3182</v>
      </c>
      <c r="L1699" s="1203" t="s">
        <v>309</v>
      </c>
      <c r="M1699" s="1212">
        <v>1250000</v>
      </c>
      <c r="N1699" s="1203"/>
    </row>
    <row r="1700" spans="1:14" ht="24" x14ac:dyDescent="0.3">
      <c r="A1700" s="1211">
        <v>41</v>
      </c>
      <c r="B1700" s="1208"/>
      <c r="C1700" s="1204" t="s">
        <v>7513</v>
      </c>
      <c r="D1700" s="1200" t="s">
        <v>7503</v>
      </c>
      <c r="E1700" s="1200" t="s">
        <v>322</v>
      </c>
      <c r="F1700" s="1201" t="s">
        <v>5400</v>
      </c>
      <c r="G1700" s="1202" t="s">
        <v>7515</v>
      </c>
      <c r="H1700" s="1202" t="s">
        <v>640</v>
      </c>
      <c r="I1700" s="1201" t="s">
        <v>7516</v>
      </c>
      <c r="J1700" s="1201" t="s">
        <v>1534</v>
      </c>
      <c r="K1700" s="1205" t="s">
        <v>7517</v>
      </c>
      <c r="L1700" s="1203" t="s">
        <v>309</v>
      </c>
      <c r="M1700" s="1212">
        <v>2250000</v>
      </c>
      <c r="N1700" s="1203"/>
    </row>
    <row r="1701" spans="1:14" ht="24" x14ac:dyDescent="0.3">
      <c r="A1701" s="1211">
        <v>41</v>
      </c>
      <c r="B1701" s="1208"/>
      <c r="C1701" s="1204" t="s">
        <v>7518</v>
      </c>
      <c r="D1701" s="1200" t="s">
        <v>7503</v>
      </c>
      <c r="E1701" s="1200" t="s">
        <v>322</v>
      </c>
      <c r="F1701" s="1201" t="s">
        <v>5400</v>
      </c>
      <c r="G1701" s="1202">
        <v>7065</v>
      </c>
      <c r="H1701" s="1202" t="s">
        <v>7489</v>
      </c>
      <c r="I1701" s="1201" t="s">
        <v>4915</v>
      </c>
      <c r="J1701" s="1201" t="s">
        <v>1534</v>
      </c>
      <c r="K1701" s="1201" t="s">
        <v>692</v>
      </c>
      <c r="L1701" s="1203" t="s">
        <v>309</v>
      </c>
      <c r="M1701" s="1212">
        <v>50000</v>
      </c>
      <c r="N1701" s="1203"/>
    </row>
    <row r="1702" spans="1:14" x14ac:dyDescent="0.3">
      <c r="A1702" s="1211">
        <v>41</v>
      </c>
      <c r="B1702" s="1210" t="s">
        <v>311</v>
      </c>
      <c r="C1702" s="1199" t="s">
        <v>7519</v>
      </c>
      <c r="D1702" s="1203" t="s">
        <v>311</v>
      </c>
      <c r="E1702" s="1203" t="s">
        <v>320</v>
      </c>
      <c r="F1702" s="1202" t="s">
        <v>7520</v>
      </c>
      <c r="G1702" s="1202" t="s">
        <v>5449</v>
      </c>
      <c r="H1702" s="1202" t="s">
        <v>662</v>
      </c>
      <c r="I1702" s="1206" t="s">
        <v>5005</v>
      </c>
      <c r="J1702" s="1207"/>
      <c r="K1702" s="1202" t="s">
        <v>698</v>
      </c>
      <c r="L1702" s="1203" t="s">
        <v>309</v>
      </c>
      <c r="M1702" s="1213">
        <v>250000</v>
      </c>
      <c r="N1702" s="1203" t="s">
        <v>7505</v>
      </c>
    </row>
    <row r="1703" spans="1:14" x14ac:dyDescent="0.3">
      <c r="A1703" s="1211">
        <v>41</v>
      </c>
      <c r="B1703" s="1208"/>
      <c r="C1703" s="1204" t="s">
        <v>7521</v>
      </c>
      <c r="D1703" s="1203" t="s">
        <v>311</v>
      </c>
      <c r="E1703" s="1203" t="s">
        <v>320</v>
      </c>
      <c r="F1703" s="1202" t="s">
        <v>7520</v>
      </c>
      <c r="G1703" s="1202" t="s">
        <v>5449</v>
      </c>
      <c r="H1703" s="1202" t="s">
        <v>662</v>
      </c>
      <c r="I1703" s="1206" t="s">
        <v>5005</v>
      </c>
      <c r="J1703" s="1207"/>
      <c r="K1703" s="1202" t="s">
        <v>698</v>
      </c>
      <c r="L1703" s="1203" t="s">
        <v>309</v>
      </c>
      <c r="M1703" s="1213">
        <v>250000</v>
      </c>
      <c r="N1703" s="1203" t="s">
        <v>7505</v>
      </c>
    </row>
    <row r="1704" spans="1:14" x14ac:dyDescent="0.3">
      <c r="A1704" s="1211">
        <v>41</v>
      </c>
      <c r="B1704" s="1208"/>
      <c r="C1704" s="1204" t="s">
        <v>7508</v>
      </c>
      <c r="D1704" s="1203" t="s">
        <v>311</v>
      </c>
      <c r="E1704" s="1203" t="s">
        <v>320</v>
      </c>
      <c r="F1704" s="1202" t="s">
        <v>690</v>
      </c>
      <c r="G1704" s="1202" t="s">
        <v>5004</v>
      </c>
      <c r="H1704" s="1202" t="s">
        <v>1814</v>
      </c>
      <c r="I1704" s="1202" t="s">
        <v>7522</v>
      </c>
      <c r="J1704" s="1202"/>
      <c r="K1704" s="1202" t="s">
        <v>713</v>
      </c>
      <c r="L1704" s="1203" t="s">
        <v>309</v>
      </c>
      <c r="M1704" s="1213">
        <v>250000</v>
      </c>
      <c r="N1704" s="1203" t="s">
        <v>726</v>
      </c>
    </row>
    <row r="1705" spans="1:14" x14ac:dyDescent="0.3">
      <c r="A1705" s="1211">
        <v>41</v>
      </c>
      <c r="B1705" s="1208"/>
      <c r="C1705" s="1204" t="s">
        <v>7523</v>
      </c>
      <c r="D1705" s="1203" t="s">
        <v>311</v>
      </c>
      <c r="E1705" s="1203" t="s">
        <v>320</v>
      </c>
      <c r="F1705" s="1202" t="s">
        <v>6915</v>
      </c>
      <c r="G1705" s="1202">
        <v>7062</v>
      </c>
      <c r="H1705" s="1202" t="s">
        <v>1198</v>
      </c>
      <c r="I1705" s="1202" t="s">
        <v>7524</v>
      </c>
      <c r="J1705" s="1202"/>
      <c r="K1705" s="1202" t="s">
        <v>7525</v>
      </c>
      <c r="L1705" s="1203" t="s">
        <v>309</v>
      </c>
      <c r="M1705" s="1213">
        <v>250000</v>
      </c>
      <c r="N1705" s="1203" t="s">
        <v>1206</v>
      </c>
    </row>
    <row r="1706" spans="1:14" x14ac:dyDescent="0.3">
      <c r="A1706" s="1211">
        <v>41</v>
      </c>
      <c r="B1706" s="1208"/>
      <c r="C1706" s="1204" t="s">
        <v>7526</v>
      </c>
      <c r="D1706" s="1203" t="s">
        <v>311</v>
      </c>
      <c r="E1706" s="1203" t="s">
        <v>320</v>
      </c>
      <c r="F1706" s="1202" t="s">
        <v>6915</v>
      </c>
      <c r="G1706" s="1202">
        <v>7062</v>
      </c>
      <c r="H1706" s="1202" t="s">
        <v>1198</v>
      </c>
      <c r="I1706" s="1202" t="s">
        <v>7527</v>
      </c>
      <c r="J1706" s="1202"/>
      <c r="K1706" s="1202" t="s">
        <v>7525</v>
      </c>
      <c r="L1706" s="1203" t="s">
        <v>309</v>
      </c>
      <c r="M1706" s="1213">
        <v>250000</v>
      </c>
      <c r="N1706" s="1203" t="s">
        <v>1206</v>
      </c>
    </row>
  </sheetData>
  <autoFilter ref="A1:N1694"/>
  <mergeCells count="1102"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4500000</v>
      </c>
    </row>
    <row r="10" spans="1:4" x14ac:dyDescent="0.3">
      <c r="A10" s="589" t="s">
        <v>4855</v>
      </c>
      <c r="B10" s="589" t="s">
        <v>4856</v>
      </c>
      <c r="C10" s="1108" t="s">
        <v>4857</v>
      </c>
      <c r="D10" s="1108"/>
    </row>
    <row r="11" spans="1:4" x14ac:dyDescent="0.3">
      <c r="A11" s="589" t="s">
        <v>4858</v>
      </c>
      <c r="B11" s="589">
        <v>5</v>
      </c>
      <c r="C11" s="1109">
        <f>'사전품의양식 (12)'!L9</f>
        <v>3250000</v>
      </c>
      <c r="D11" s="1109"/>
    </row>
    <row r="12" spans="1:4" x14ac:dyDescent="0.3">
      <c r="A12" s="589" t="s">
        <v>4859</v>
      </c>
      <c r="B12" s="589">
        <v>3</v>
      </c>
      <c r="C12" s="1109">
        <f>'사전품의양식 (12)'!L13</f>
        <v>1250000</v>
      </c>
      <c r="D12" s="1109"/>
    </row>
    <row r="13" spans="1:4" x14ac:dyDescent="0.3">
      <c r="A13" s="591" t="s">
        <v>53</v>
      </c>
      <c r="B13" s="591">
        <f>SUM(B11:B12)</f>
        <v>8</v>
      </c>
      <c r="C13" s="1110">
        <f>SUM(C11:C12)</f>
        <v>4500000</v>
      </c>
      <c r="D13" s="1110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 x14ac:dyDescent="0.3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111" t="s">
        <v>4872</v>
      </c>
      <c r="D24" s="1112"/>
      <c r="E24" s="839"/>
    </row>
    <row r="25" spans="1:5" x14ac:dyDescent="0.3">
      <c r="A25" s="842" t="s">
        <v>4873</v>
      </c>
      <c r="B25" s="827" t="s">
        <v>4874</v>
      </c>
      <c r="C25" s="1106" t="s">
        <v>4875</v>
      </c>
      <c r="D25" s="1107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32" zoomScale="90" zoomScaleNormal="90" zoomScaleSheetLayoutView="55" workbookViewId="0">
      <selection activeCell="A26" sqref="A26:L48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113" t="s">
        <v>7501</v>
      </c>
      <c r="B2" s="1113" t="s">
        <v>1</v>
      </c>
      <c r="C2" s="1113" t="s">
        <v>2</v>
      </c>
      <c r="D2" s="1113" t="s">
        <v>3</v>
      </c>
      <c r="E2" s="777" t="s">
        <v>2623</v>
      </c>
      <c r="F2" s="1113" t="s">
        <v>5</v>
      </c>
      <c r="G2" s="1113" t="s">
        <v>6</v>
      </c>
      <c r="H2" s="1113" t="s">
        <v>2624</v>
      </c>
      <c r="I2" s="1113" t="s">
        <v>55</v>
      </c>
      <c r="J2" s="1113" t="s">
        <v>9</v>
      </c>
      <c r="K2" s="1114" t="s">
        <v>56</v>
      </c>
      <c r="L2" s="1113" t="s">
        <v>57</v>
      </c>
      <c r="M2" s="1113" t="s">
        <v>58</v>
      </c>
    </row>
    <row r="3" spans="1:14" x14ac:dyDescent="0.3">
      <c r="A3" s="1113"/>
      <c r="B3" s="1113"/>
      <c r="C3" s="1113"/>
      <c r="D3" s="1113"/>
      <c r="E3" s="777" t="s">
        <v>1724</v>
      </c>
      <c r="F3" s="1113"/>
      <c r="G3" s="1113"/>
      <c r="H3" s="1113"/>
      <c r="I3" s="1113"/>
      <c r="J3" s="1113"/>
      <c r="K3" s="1114"/>
      <c r="L3" s="1113"/>
      <c r="M3" s="1113"/>
    </row>
    <row r="4" spans="1:14" s="680" customFormat="1" ht="17.100000000000001" customHeight="1" x14ac:dyDescent="0.3">
      <c r="A4" s="906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7474</v>
      </c>
      <c r="H4" s="886" t="s">
        <v>7475</v>
      </c>
      <c r="I4" s="633" t="s">
        <v>7392</v>
      </c>
      <c r="J4" s="886" t="s">
        <v>7493</v>
      </c>
      <c r="K4" s="698" t="s">
        <v>7481</v>
      </c>
      <c r="L4" s="885">
        <v>250000</v>
      </c>
      <c r="M4" s="646" t="s">
        <v>7476</v>
      </c>
    </row>
    <row r="5" spans="1:14" s="680" customFormat="1" ht="17.100000000000001" customHeight="1" x14ac:dyDescent="0.3">
      <c r="A5" s="906"/>
      <c r="B5" s="399" t="s">
        <v>7477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7478</v>
      </c>
      <c r="H5" s="886" t="s">
        <v>7479</v>
      </c>
      <c r="I5" s="633" t="s">
        <v>7500</v>
      </c>
      <c r="J5" s="873" t="s">
        <v>7480</v>
      </c>
      <c r="K5" s="698" t="s">
        <v>7481</v>
      </c>
      <c r="L5" s="870">
        <f>250000*5</f>
        <v>1250000</v>
      </c>
      <c r="M5" s="646"/>
    </row>
    <row r="6" spans="1:14" s="680" customFormat="1" ht="17.100000000000001" customHeight="1" x14ac:dyDescent="0.3">
      <c r="A6" s="906"/>
      <c r="B6" s="399" t="s">
        <v>7482</v>
      </c>
      <c r="C6" s="721" t="s">
        <v>7389</v>
      </c>
      <c r="D6" s="632" t="s">
        <v>7390</v>
      </c>
      <c r="E6" s="633" t="s">
        <v>7391</v>
      </c>
      <c r="F6" s="856" t="s">
        <v>7484</v>
      </c>
      <c r="G6" s="856" t="s">
        <v>7485</v>
      </c>
      <c r="H6" s="857" t="s">
        <v>7486</v>
      </c>
      <c r="I6" s="633" t="s">
        <v>7487</v>
      </c>
      <c r="J6" s="857" t="s">
        <v>7488</v>
      </c>
      <c r="K6" s="698" t="s">
        <v>7481</v>
      </c>
      <c r="L6" s="885">
        <f>250000*3</f>
        <v>750000</v>
      </c>
      <c r="M6" s="646"/>
    </row>
    <row r="7" spans="1:14" s="680" customFormat="1" ht="17.100000000000001" customHeight="1" x14ac:dyDescent="0.3">
      <c r="A7" s="906"/>
      <c r="B7" s="399" t="s">
        <v>7497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7490</v>
      </c>
      <c r="H7" s="873" t="s">
        <v>7491</v>
      </c>
      <c r="I7" s="633" t="s">
        <v>7492</v>
      </c>
      <c r="J7" s="886" t="s">
        <v>7499</v>
      </c>
      <c r="K7" s="698" t="s">
        <v>7481</v>
      </c>
      <c r="L7" s="885">
        <f>250000*2</f>
        <v>500000</v>
      </c>
      <c r="M7" s="646"/>
    </row>
    <row r="8" spans="1:14" s="680" customFormat="1" ht="17.100000000000001" customHeight="1" x14ac:dyDescent="0.3">
      <c r="A8" s="906"/>
      <c r="B8" s="399" t="s">
        <v>7496</v>
      </c>
      <c r="C8" s="721" t="s">
        <v>7389</v>
      </c>
      <c r="D8" s="632" t="s">
        <v>7390</v>
      </c>
      <c r="E8" s="633" t="s">
        <v>7391</v>
      </c>
      <c r="F8" s="868" t="s">
        <v>7494</v>
      </c>
      <c r="G8" s="868" t="s">
        <v>7495</v>
      </c>
      <c r="H8" s="886" t="s">
        <v>7491</v>
      </c>
      <c r="I8" s="633" t="s">
        <v>7492</v>
      </c>
      <c r="J8" s="886" t="s">
        <v>7498</v>
      </c>
      <c r="K8" s="698" t="s">
        <v>7481</v>
      </c>
      <c r="L8" s="885">
        <f>250000*2</f>
        <v>500000</v>
      </c>
      <c r="M8" s="646"/>
    </row>
    <row r="9" spans="1:14" ht="17.100000000000001" customHeight="1" x14ac:dyDescent="0.3">
      <c r="A9" s="906"/>
      <c r="B9" s="906" t="s">
        <v>1136</v>
      </c>
      <c r="C9" s="906"/>
      <c r="D9" s="906"/>
      <c r="E9" s="906"/>
      <c r="F9" s="906"/>
      <c r="G9" s="906"/>
      <c r="H9" s="906"/>
      <c r="I9" s="906"/>
      <c r="J9" s="906"/>
      <c r="K9" s="906"/>
      <c r="L9" s="724">
        <f>SUM(L4:L8)</f>
        <v>3250000</v>
      </c>
      <c r="M9" s="646"/>
    </row>
    <row r="10" spans="1:14" ht="13.5" x14ac:dyDescent="0.3">
      <c r="A10" s="906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9" t="s">
        <v>7446</v>
      </c>
      <c r="I10" s="883" t="s">
        <v>120</v>
      </c>
      <c r="J10" s="883" t="s">
        <v>7445</v>
      </c>
      <c r="K10" s="125" t="s">
        <v>66</v>
      </c>
      <c r="L10" s="752">
        <v>250000</v>
      </c>
      <c r="M10" s="646"/>
    </row>
    <row r="11" spans="1:14" ht="13.5" x14ac:dyDescent="0.3">
      <c r="A11" s="906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7432</v>
      </c>
      <c r="G11" s="16" t="s">
        <v>143</v>
      </c>
      <c r="H11" s="889" t="s">
        <v>271</v>
      </c>
      <c r="I11" s="883" t="s">
        <v>7436</v>
      </c>
      <c r="J11" s="883" t="s">
        <v>5820</v>
      </c>
      <c r="K11" s="125" t="s">
        <v>84</v>
      </c>
      <c r="L11" s="752">
        <v>500000</v>
      </c>
      <c r="M11" s="646"/>
    </row>
    <row r="12" spans="1:14" ht="13.5" x14ac:dyDescent="0.3">
      <c r="A12" s="906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7432</v>
      </c>
      <c r="G12" s="16" t="s">
        <v>143</v>
      </c>
      <c r="H12" s="889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 x14ac:dyDescent="0.3">
      <c r="A13" s="906"/>
      <c r="B13" s="906" t="s">
        <v>4879</v>
      </c>
      <c r="C13" s="906"/>
      <c r="D13" s="906"/>
      <c r="E13" s="906"/>
      <c r="F13" s="906"/>
      <c r="G13" s="906"/>
      <c r="H13" s="906"/>
      <c r="I13" s="906"/>
      <c r="J13" s="906"/>
      <c r="K13" s="906"/>
      <c r="L13" s="724">
        <f>SUM(L10:L12)</f>
        <v>1250000</v>
      </c>
      <c r="M13" s="646"/>
    </row>
    <row r="14" spans="1:14" ht="25.5" customHeight="1" x14ac:dyDescent="0.3">
      <c r="A14" s="1115" t="s">
        <v>62</v>
      </c>
      <c r="B14" s="1115"/>
      <c r="C14" s="1115"/>
      <c r="D14" s="1115"/>
      <c r="E14" s="1115"/>
      <c r="F14" s="1115"/>
      <c r="G14" s="1115"/>
      <c r="H14" s="1115"/>
      <c r="I14" s="1115"/>
      <c r="J14" s="1115"/>
      <c r="K14" s="1115"/>
      <c r="L14" s="724">
        <f>L9+L13</f>
        <v>4500000</v>
      </c>
      <c r="M14" s="649"/>
    </row>
    <row r="15" spans="1:14" ht="26.25" customHeight="1" x14ac:dyDescent="0.3">
      <c r="N15" s="865"/>
    </row>
    <row r="16" spans="1:14" ht="26.25" hidden="1" customHeight="1" x14ac:dyDescent="0.3"/>
    <row r="17" spans="1:16" ht="25.5" hidden="1" customHeight="1" x14ac:dyDescent="0.3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 x14ac:dyDescent="0.3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 x14ac:dyDescent="0.3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 x14ac:dyDescent="0.3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 x14ac:dyDescent="0.3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 x14ac:dyDescent="0.3"/>
    <row r="23" spans="1:16" ht="20.100000000000001" hidden="1" customHeight="1" x14ac:dyDescent="0.3">
      <c r="J23" s="682"/>
    </row>
    <row r="26" spans="1:16" ht="28.5" customHeight="1" x14ac:dyDescent="0.3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 x14ac:dyDescent="0.3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9" t="s">
        <v>7302</v>
      </c>
      <c r="I27" s="883" t="s">
        <v>202</v>
      </c>
      <c r="J27" s="883" t="s">
        <v>7443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 x14ac:dyDescent="0.3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9" t="s">
        <v>6970</v>
      </c>
      <c r="I28" s="883" t="s">
        <v>3730</v>
      </c>
      <c r="J28" s="883" t="s">
        <v>7473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 x14ac:dyDescent="0.3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9" t="s">
        <v>7452</v>
      </c>
      <c r="I29" s="883" t="s">
        <v>7453</v>
      </c>
      <c r="J29" s="889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 x14ac:dyDescent="0.3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7471</v>
      </c>
      <c r="H30" s="889" t="s">
        <v>7472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 x14ac:dyDescent="0.3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9" t="s">
        <v>7452</v>
      </c>
      <c r="I31" s="883" t="s">
        <v>7453</v>
      </c>
      <c r="J31" s="889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 x14ac:dyDescent="0.3">
      <c r="A32" s="881"/>
      <c r="B32" s="399">
        <v>46315</v>
      </c>
      <c r="C32" s="4" t="s">
        <v>138</v>
      </c>
      <c r="D32" s="4" t="s">
        <v>7464</v>
      </c>
      <c r="E32" s="883" t="s">
        <v>7465</v>
      </c>
      <c r="F32" s="883" t="s">
        <v>7466</v>
      </c>
      <c r="G32" s="16" t="s">
        <v>7467</v>
      </c>
      <c r="H32" s="889" t="s">
        <v>7468</v>
      </c>
      <c r="I32" s="883"/>
      <c r="J32" s="889" t="s">
        <v>7469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 x14ac:dyDescent="0.3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9" t="s">
        <v>7446</v>
      </c>
      <c r="I33" s="883" t="s">
        <v>120</v>
      </c>
      <c r="J33" s="883" t="s">
        <v>7445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 x14ac:dyDescent="0.3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9" t="s">
        <v>7302</v>
      </c>
      <c r="I34" s="883" t="s">
        <v>202</v>
      </c>
      <c r="J34" s="883" t="s">
        <v>7443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 x14ac:dyDescent="0.3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9" t="s">
        <v>6970</v>
      </c>
      <c r="I35" s="883" t="s">
        <v>3730</v>
      </c>
      <c r="J35" s="883" t="s">
        <v>7473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 x14ac:dyDescent="0.3">
      <c r="A36" s="881"/>
      <c r="B36" s="399">
        <v>46316</v>
      </c>
      <c r="C36" s="4" t="s">
        <v>138</v>
      </c>
      <c r="D36" s="4" t="s">
        <v>7464</v>
      </c>
      <c r="E36" s="883" t="s">
        <v>7465</v>
      </c>
      <c r="F36" s="883" t="s">
        <v>7466</v>
      </c>
      <c r="G36" s="16" t="s">
        <v>7467</v>
      </c>
      <c r="H36" s="889" t="s">
        <v>7468</v>
      </c>
      <c r="I36" s="883"/>
      <c r="J36" s="889" t="s">
        <v>7469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 x14ac:dyDescent="0.3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9" t="s">
        <v>7302</v>
      </c>
      <c r="I37" s="883" t="s">
        <v>202</v>
      </c>
      <c r="J37" s="883" t="s">
        <v>7443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 x14ac:dyDescent="0.3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9" t="s">
        <v>7452</v>
      </c>
      <c r="I38" s="889" t="s">
        <v>7455</v>
      </c>
      <c r="J38" s="889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 x14ac:dyDescent="0.3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9" t="s">
        <v>6970</v>
      </c>
      <c r="I39" s="883" t="s">
        <v>3730</v>
      </c>
      <c r="J39" s="883" t="s">
        <v>7473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 x14ac:dyDescent="0.3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9" t="s">
        <v>7302</v>
      </c>
      <c r="I40" s="883" t="s">
        <v>202</v>
      </c>
      <c r="J40" s="883" t="s">
        <v>7443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 x14ac:dyDescent="0.3">
      <c r="A41" s="881"/>
      <c r="B41" s="399">
        <v>46317</v>
      </c>
      <c r="C41" s="4" t="s">
        <v>138</v>
      </c>
      <c r="D41" s="4" t="s">
        <v>7464</v>
      </c>
      <c r="E41" s="883" t="s">
        <v>7465</v>
      </c>
      <c r="F41" s="883" t="s">
        <v>7466</v>
      </c>
      <c r="G41" s="16" t="s">
        <v>7467</v>
      </c>
      <c r="H41" s="889" t="s">
        <v>7468</v>
      </c>
      <c r="I41" s="883"/>
      <c r="J41" s="889" t="s">
        <v>7469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 x14ac:dyDescent="0.3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9" t="s">
        <v>7452</v>
      </c>
      <c r="I42" s="883" t="s">
        <v>7453</v>
      </c>
      <c r="J42" s="889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 x14ac:dyDescent="0.3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7432</v>
      </c>
      <c r="G43" s="16" t="s">
        <v>143</v>
      </c>
      <c r="H43" s="889" t="s">
        <v>271</v>
      </c>
      <c r="I43" s="883" t="s">
        <v>7436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 x14ac:dyDescent="0.3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9" t="s">
        <v>6970</v>
      </c>
      <c r="I44" s="883" t="s">
        <v>3730</v>
      </c>
      <c r="J44" s="883" t="s">
        <v>7473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 x14ac:dyDescent="0.3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7432</v>
      </c>
      <c r="G45" s="16" t="s">
        <v>143</v>
      </c>
      <c r="H45" s="889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 x14ac:dyDescent="0.3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7441</v>
      </c>
      <c r="H46" s="889" t="s">
        <v>7442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 x14ac:dyDescent="0.3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9" t="s">
        <v>7452</v>
      </c>
      <c r="I47" s="883" t="s">
        <v>7453</v>
      </c>
      <c r="J47" s="889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 x14ac:dyDescent="0.3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9" t="s">
        <v>6970</v>
      </c>
      <c r="I48" s="883" t="s">
        <v>3730</v>
      </c>
      <c r="J48" s="883" t="s">
        <v>7473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B9:K9"/>
    <mergeCell ref="A14:K14"/>
    <mergeCell ref="B13:K13"/>
    <mergeCell ref="A10:A13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4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5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5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5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5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5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5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5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5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5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5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5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5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5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5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4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7" t="s">
        <v>53</v>
      </c>
      <c r="B21" s="907"/>
      <c r="C21" s="907"/>
      <c r="D21" s="907"/>
      <c r="E21" s="907"/>
      <c r="F21" s="907"/>
      <c r="G21" s="907"/>
      <c r="H21" s="907"/>
      <c r="I21" s="90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42" t="s">
        <v>53</v>
      </c>
      <c r="B26" s="1143"/>
      <c r="C26" s="1143"/>
      <c r="D26" s="1143"/>
      <c r="E26" s="1143"/>
      <c r="F26" s="1143"/>
      <c r="G26" s="1143"/>
      <c r="H26" s="1143"/>
      <c r="I26" s="1144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5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5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5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5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5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42" t="s">
        <v>53</v>
      </c>
      <c r="B35" s="1143"/>
      <c r="C35" s="1143"/>
      <c r="D35" s="1143"/>
      <c r="E35" s="1143"/>
      <c r="F35" s="1143"/>
      <c r="G35" s="1143"/>
      <c r="H35" s="1143"/>
      <c r="I35" s="1144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4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5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4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42" t="s">
        <v>53</v>
      </c>
      <c r="B42" s="1143"/>
      <c r="C42" s="1143"/>
      <c r="D42" s="1143"/>
      <c r="E42" s="1143"/>
      <c r="F42" s="1143"/>
      <c r="G42" s="1143"/>
      <c r="H42" s="1143"/>
      <c r="I42" s="1144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42" t="s">
        <v>53</v>
      </c>
      <c r="B48" s="1143"/>
      <c r="C48" s="1143"/>
      <c r="D48" s="1143"/>
      <c r="E48" s="1143"/>
      <c r="F48" s="1143"/>
      <c r="G48" s="1143"/>
      <c r="H48" s="1143"/>
      <c r="I48" s="1144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5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4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42" t="s">
        <v>53</v>
      </c>
      <c r="B54" s="1143"/>
      <c r="C54" s="1143"/>
      <c r="D54" s="1143"/>
      <c r="E54" s="1143"/>
      <c r="F54" s="1143"/>
      <c r="G54" s="1143"/>
      <c r="H54" s="1143"/>
      <c r="I54" s="1144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4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5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5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57"/>
      <c r="B61" s="116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57"/>
      <c r="B62" s="116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57"/>
      <c r="B63" s="116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42" t="s">
        <v>53</v>
      </c>
      <c r="B64" s="1143"/>
      <c r="C64" s="1143"/>
      <c r="D64" s="1143"/>
      <c r="E64" s="1143"/>
      <c r="F64" s="1143"/>
      <c r="G64" s="1143"/>
      <c r="H64" s="1143"/>
      <c r="I64" s="1144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6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6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42" t="s">
        <v>53</v>
      </c>
      <c r="B70" s="1143"/>
      <c r="C70" s="1143"/>
      <c r="D70" s="1143"/>
      <c r="E70" s="1143"/>
      <c r="F70" s="1143"/>
      <c r="G70" s="1143"/>
      <c r="H70" s="1143"/>
      <c r="I70" s="1144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4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5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7" t="s">
        <v>53</v>
      </c>
      <c r="B78" s="907"/>
      <c r="C78" s="907"/>
      <c r="D78" s="907"/>
      <c r="E78" s="907"/>
      <c r="F78" s="907"/>
      <c r="G78" s="907"/>
      <c r="H78" s="907"/>
      <c r="I78" s="90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5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5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5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5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42" t="s">
        <v>53</v>
      </c>
      <c r="B86" s="1143"/>
      <c r="C86" s="1143"/>
      <c r="D86" s="1143"/>
      <c r="E86" s="1143"/>
      <c r="F86" s="1143"/>
      <c r="G86" s="1143"/>
      <c r="H86" s="1143"/>
      <c r="I86" s="1144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42" t="s">
        <v>53</v>
      </c>
      <c r="B92" s="1143"/>
      <c r="C92" s="1143"/>
      <c r="D92" s="1143"/>
      <c r="E92" s="1143"/>
      <c r="F92" s="1143"/>
      <c r="G92" s="1143"/>
      <c r="H92" s="1143"/>
      <c r="I92" s="1144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5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5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5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5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42" t="s">
        <v>53</v>
      </c>
      <c r="B101" s="1143"/>
      <c r="C101" s="1143"/>
      <c r="D101" s="1143"/>
      <c r="E101" s="1143"/>
      <c r="F101" s="1143"/>
      <c r="G101" s="1143"/>
      <c r="H101" s="1143"/>
      <c r="I101" s="1144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4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57"/>
      <c r="B107" s="116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57"/>
      <c r="B108" s="116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5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5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4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7" t="s">
        <v>53</v>
      </c>
      <c r="B112" s="907"/>
      <c r="C112" s="907"/>
      <c r="D112" s="907"/>
      <c r="E112" s="907"/>
      <c r="F112" s="907"/>
      <c r="G112" s="907"/>
      <c r="H112" s="907"/>
      <c r="I112" s="90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32" t="s">
        <v>954</v>
      </c>
      <c r="B119" s="93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33"/>
      <c r="B120" s="93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7" t="s">
        <v>53</v>
      </c>
      <c r="B121" s="907"/>
      <c r="C121" s="907"/>
      <c r="D121" s="907"/>
      <c r="E121" s="907"/>
      <c r="F121" s="907"/>
      <c r="G121" s="907"/>
      <c r="H121" s="907"/>
      <c r="I121" s="90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33"/>
      <c r="B129" s="116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66" t="s">
        <v>90</v>
      </c>
      <c r="J129" s="1159">
        <v>2</v>
      </c>
      <c r="K129" s="25" t="s">
        <v>52</v>
      </c>
      <c r="L129" s="25" t="s">
        <v>51</v>
      </c>
    </row>
    <row r="130" spans="1:12" x14ac:dyDescent="0.3">
      <c r="A130" s="933"/>
      <c r="B130" s="116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66"/>
      <c r="J130" s="1161"/>
      <c r="K130" s="25" t="s">
        <v>52</v>
      </c>
      <c r="L130" s="25" t="s">
        <v>51</v>
      </c>
    </row>
    <row r="131" spans="1:12" x14ac:dyDescent="0.3">
      <c r="A131" s="9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33"/>
      <c r="B133" s="96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8" t="s">
        <v>1277</v>
      </c>
      <c r="J133" s="1159">
        <v>1</v>
      </c>
      <c r="K133" s="25" t="s">
        <v>52</v>
      </c>
      <c r="L133" s="25" t="s">
        <v>51</v>
      </c>
    </row>
    <row r="134" spans="1:12" x14ac:dyDescent="0.3">
      <c r="A134" s="933"/>
      <c r="B134" s="96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8"/>
      <c r="J134" s="1161"/>
      <c r="K134" s="25" t="s">
        <v>52</v>
      </c>
      <c r="L134" s="25" t="s">
        <v>51</v>
      </c>
    </row>
    <row r="135" spans="1:12" x14ac:dyDescent="0.3">
      <c r="A135" s="9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7" t="s">
        <v>53</v>
      </c>
      <c r="B137" s="907"/>
      <c r="C137" s="907"/>
      <c r="D137" s="907"/>
      <c r="E137" s="907"/>
      <c r="F137" s="907"/>
      <c r="G137" s="907"/>
      <c r="H137" s="907"/>
      <c r="I137" s="90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33" t="s">
        <v>1007</v>
      </c>
      <c r="B142" s="96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33"/>
      <c r="B143" s="9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7" t="s">
        <v>53</v>
      </c>
      <c r="B145" s="907"/>
      <c r="C145" s="907"/>
      <c r="D145" s="907"/>
      <c r="E145" s="907"/>
      <c r="F145" s="907"/>
      <c r="G145" s="907"/>
      <c r="H145" s="907"/>
      <c r="I145" s="90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4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46"/>
      <c r="B150" s="93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46"/>
      <c r="B151" s="93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4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4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88" t="s">
        <v>53</v>
      </c>
      <c r="B154" s="1088"/>
      <c r="C154" s="1088"/>
      <c r="D154" s="1088"/>
      <c r="E154" s="1088"/>
      <c r="F154" s="1088"/>
      <c r="G154" s="1088"/>
      <c r="H154" s="1088"/>
      <c r="I154" s="1088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7" t="s">
        <v>53</v>
      </c>
      <c r="B163" s="907"/>
      <c r="C163" s="907"/>
      <c r="D163" s="907"/>
      <c r="E163" s="907"/>
      <c r="F163" s="907"/>
      <c r="G163" s="907"/>
      <c r="H163" s="907"/>
      <c r="I163" s="90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88" t="s">
        <v>53</v>
      </c>
      <c r="B167" s="1088"/>
      <c r="C167" s="1088"/>
      <c r="D167" s="1088"/>
      <c r="E167" s="1088"/>
      <c r="F167" s="1088"/>
      <c r="G167" s="1088"/>
      <c r="H167" s="1088"/>
      <c r="I167" s="1088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7" t="s">
        <v>53</v>
      </c>
      <c r="B183" s="907"/>
      <c r="C183" s="907"/>
      <c r="D183" s="907"/>
      <c r="E183" s="907"/>
      <c r="F183" s="907"/>
      <c r="G183" s="907"/>
      <c r="H183" s="907"/>
      <c r="I183" s="90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8" t="s">
        <v>1061</v>
      </c>
      <c r="B189" s="93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9"/>
      <c r="B190" s="93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9"/>
      <c r="B191" s="93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9"/>
      <c r="B192" s="93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7" t="s">
        <v>53</v>
      </c>
      <c r="B193" s="907"/>
      <c r="C193" s="907"/>
      <c r="D193" s="907"/>
      <c r="E193" s="907"/>
      <c r="F193" s="907"/>
      <c r="G193" s="907"/>
      <c r="H193" s="907"/>
      <c r="I193" s="90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5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5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5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5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88" t="s">
        <v>53</v>
      </c>
      <c r="B203" s="1088"/>
      <c r="C203" s="1088"/>
      <c r="D203" s="1088"/>
      <c r="E203" s="1088"/>
      <c r="F203" s="1088"/>
      <c r="G203" s="1088"/>
      <c r="H203" s="1088"/>
      <c r="I203" s="1088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8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8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8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8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8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8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8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88" t="s">
        <v>53</v>
      </c>
      <c r="B214" s="1088"/>
      <c r="C214" s="1088"/>
      <c r="D214" s="1088"/>
      <c r="E214" s="1088"/>
      <c r="F214" s="1088"/>
      <c r="G214" s="1088"/>
      <c r="H214" s="1088"/>
      <c r="I214" s="1088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8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8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8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8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8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8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88" t="s">
        <v>1458</v>
      </c>
      <c r="B226" s="1088"/>
      <c r="C226" s="1088"/>
      <c r="D226" s="1088"/>
      <c r="E226" s="1088"/>
      <c r="F226" s="1088"/>
      <c r="G226" s="1088"/>
      <c r="H226" s="1088"/>
      <c r="I226" s="1088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8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8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8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8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8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8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8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88" t="s">
        <v>1499</v>
      </c>
      <c r="B236" s="1088"/>
      <c r="C236" s="1088"/>
      <c r="D236" s="1088"/>
      <c r="E236" s="1088"/>
      <c r="F236" s="1088"/>
      <c r="G236" s="1088"/>
      <c r="H236" s="1088"/>
      <c r="I236" s="1088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5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5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5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5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42" t="s">
        <v>53</v>
      </c>
      <c r="B244" s="1143"/>
      <c r="C244" s="1143"/>
      <c r="D244" s="1143"/>
      <c r="E244" s="1143"/>
      <c r="F244" s="1143"/>
      <c r="G244" s="1143"/>
      <c r="H244" s="1143"/>
      <c r="I244" s="1144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5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5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5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42" t="s">
        <v>53</v>
      </c>
      <c r="B250" s="1143"/>
      <c r="C250" s="1143"/>
      <c r="D250" s="1143"/>
      <c r="E250" s="1143"/>
      <c r="F250" s="1143"/>
      <c r="G250" s="1143"/>
      <c r="H250" s="1143"/>
      <c r="I250" s="1144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5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5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5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5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42" t="s">
        <v>53</v>
      </c>
      <c r="B257" s="1143"/>
      <c r="C257" s="1143"/>
      <c r="D257" s="1143"/>
      <c r="E257" s="1143"/>
      <c r="F257" s="1143"/>
      <c r="G257" s="1143"/>
      <c r="H257" s="1143"/>
      <c r="I257" s="1144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5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5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42" t="s">
        <v>53</v>
      </c>
      <c r="B262" s="1143"/>
      <c r="C262" s="1143"/>
      <c r="D262" s="1143"/>
      <c r="E262" s="1143"/>
      <c r="F262" s="1143"/>
      <c r="G262" s="1143"/>
      <c r="H262" s="1143"/>
      <c r="I262" s="1144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4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5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5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5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0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5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1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5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4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42" t="s">
        <v>53</v>
      </c>
      <c r="B271" s="1143"/>
      <c r="C271" s="1143"/>
      <c r="D271" s="1143"/>
      <c r="E271" s="1143"/>
      <c r="F271" s="1143"/>
      <c r="G271" s="1143"/>
      <c r="H271" s="1143"/>
      <c r="I271" s="1144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42" t="s">
        <v>53</v>
      </c>
      <c r="B275" s="1143"/>
      <c r="C275" s="1143"/>
      <c r="D275" s="1143"/>
      <c r="E275" s="1143"/>
      <c r="F275" s="1143"/>
      <c r="G275" s="1143"/>
      <c r="H275" s="1143"/>
      <c r="I275" s="1144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5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5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5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5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5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3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3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3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3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3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3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3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3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42" t="s">
        <v>1646</v>
      </c>
      <c r="B296" s="1143"/>
      <c r="C296" s="1143"/>
      <c r="D296" s="1143"/>
      <c r="E296" s="1143"/>
      <c r="F296" s="1143"/>
      <c r="G296" s="1143"/>
      <c r="H296" s="1143"/>
      <c r="I296" s="1143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8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8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8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8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88" t="s">
        <v>1659</v>
      </c>
      <c r="B305" s="1088"/>
      <c r="C305" s="1088"/>
      <c r="D305" s="1088"/>
      <c r="E305" s="1088"/>
      <c r="F305" s="1088"/>
      <c r="G305" s="1088"/>
      <c r="H305" s="1088"/>
      <c r="I305" s="1088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88" t="s">
        <v>53</v>
      </c>
      <c r="B309" s="1088"/>
      <c r="C309" s="1088"/>
      <c r="D309" s="1088"/>
      <c r="E309" s="1088"/>
      <c r="F309" s="1088"/>
      <c r="G309" s="1088"/>
      <c r="H309" s="1088"/>
      <c r="I309" s="1088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8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8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88" t="s">
        <v>1659</v>
      </c>
      <c r="B314" s="1088"/>
      <c r="C314" s="1088"/>
      <c r="D314" s="1088"/>
      <c r="E314" s="1088"/>
      <c r="F314" s="1088"/>
      <c r="G314" s="1088"/>
      <c r="H314" s="1088"/>
      <c r="I314" s="1088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8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8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8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88" t="s">
        <v>1659</v>
      </c>
      <c r="B321" s="1088"/>
      <c r="C321" s="1088"/>
      <c r="D321" s="1088"/>
      <c r="E321" s="1088"/>
      <c r="F321" s="1088"/>
      <c r="G321" s="1088"/>
      <c r="H321" s="1088"/>
      <c r="I321" s="1088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8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8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8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8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8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88" t="s">
        <v>1659</v>
      </c>
      <c r="B330" s="1088"/>
      <c r="C330" s="1088"/>
      <c r="D330" s="1088"/>
      <c r="E330" s="1088"/>
      <c r="F330" s="1088"/>
      <c r="G330" s="1088"/>
      <c r="H330" s="1088"/>
      <c r="I330" s="1088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5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5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5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5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5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88" t="s">
        <v>1659</v>
      </c>
      <c r="B338" s="1088"/>
      <c r="C338" s="1088"/>
      <c r="D338" s="1088"/>
      <c r="E338" s="1088"/>
      <c r="F338" s="1088"/>
      <c r="G338" s="1088"/>
      <c r="H338" s="1088"/>
      <c r="I338" s="1088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50" t="s">
        <v>1521</v>
      </c>
      <c r="B343" s="128" t="s">
        <v>1531</v>
      </c>
      <c r="C343" s="975" t="s">
        <v>306</v>
      </c>
      <c r="D343" s="975" t="s">
        <v>322</v>
      </c>
      <c r="E343" s="957" t="s">
        <v>307</v>
      </c>
      <c r="F343" s="1149">
        <v>4266</v>
      </c>
      <c r="G343" s="975" t="s">
        <v>640</v>
      </c>
      <c r="H343" s="1149" t="s">
        <v>1533</v>
      </c>
      <c r="I343" s="975" t="s">
        <v>1534</v>
      </c>
      <c r="J343" s="957">
        <v>2</v>
      </c>
      <c r="K343" s="1147" t="s">
        <v>50</v>
      </c>
      <c r="L343" s="1147" t="s">
        <v>51</v>
      </c>
    </row>
    <row r="344" spans="1:13" x14ac:dyDescent="0.3">
      <c r="A344" s="1151"/>
      <c r="B344" s="129" t="s">
        <v>1532</v>
      </c>
      <c r="C344" s="958"/>
      <c r="D344" s="958"/>
      <c r="E344" s="958"/>
      <c r="F344" s="963"/>
      <c r="G344" s="958"/>
      <c r="H344" s="963"/>
      <c r="I344" s="958"/>
      <c r="J344" s="958"/>
      <c r="K344" s="1148"/>
      <c r="L344" s="1148"/>
    </row>
    <row r="345" spans="1:13" x14ac:dyDescent="0.3">
      <c r="A345" s="1151"/>
      <c r="B345" s="128" t="s">
        <v>1536</v>
      </c>
      <c r="C345" s="957" t="s">
        <v>306</v>
      </c>
      <c r="D345" s="957" t="s">
        <v>322</v>
      </c>
      <c r="E345" s="957" t="s">
        <v>307</v>
      </c>
      <c r="F345" s="962">
        <v>3306</v>
      </c>
      <c r="G345" s="957" t="s">
        <v>1153</v>
      </c>
      <c r="H345" s="962" t="s">
        <v>1538</v>
      </c>
      <c r="I345" s="957" t="s">
        <v>1534</v>
      </c>
      <c r="J345" s="957">
        <v>2</v>
      </c>
      <c r="K345" s="1147" t="s">
        <v>50</v>
      </c>
      <c r="L345" s="1147" t="s">
        <v>51</v>
      </c>
    </row>
    <row r="346" spans="1:13" x14ac:dyDescent="0.3">
      <c r="A346" s="1152"/>
      <c r="B346" s="129" t="s">
        <v>1537</v>
      </c>
      <c r="C346" s="958"/>
      <c r="D346" s="958"/>
      <c r="E346" s="958"/>
      <c r="F346" s="963"/>
      <c r="G346" s="958"/>
      <c r="H346" s="963"/>
      <c r="I346" s="958"/>
      <c r="J346" s="958"/>
      <c r="K346" s="1148"/>
      <c r="L346" s="1148"/>
    </row>
    <row r="347" spans="1:13" x14ac:dyDescent="0.3">
      <c r="A347" s="1142" t="s">
        <v>53</v>
      </c>
      <c r="B347" s="1143"/>
      <c r="C347" s="1143"/>
      <c r="D347" s="1143"/>
      <c r="E347" s="1143"/>
      <c r="F347" s="1143"/>
      <c r="G347" s="1143"/>
      <c r="H347" s="1143"/>
      <c r="I347" s="1144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7" t="s">
        <v>53</v>
      </c>
      <c r="B357" s="907"/>
      <c r="C357" s="907"/>
      <c r="D357" s="907"/>
      <c r="E357" s="907"/>
      <c r="F357" s="907"/>
      <c r="G357" s="907"/>
      <c r="H357" s="907"/>
      <c r="I357" s="90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88" t="s">
        <v>1458</v>
      </c>
      <c r="B361" s="1088"/>
      <c r="C361" s="1088"/>
      <c r="D361" s="1088"/>
      <c r="E361" s="1088"/>
      <c r="F361" s="1088"/>
      <c r="G361" s="1088"/>
      <c r="H361" s="1088"/>
      <c r="I361" s="1088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4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8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8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8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8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8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88" t="s">
        <v>1659</v>
      </c>
      <c r="B370" s="1088"/>
      <c r="C370" s="1088"/>
      <c r="D370" s="1088"/>
      <c r="E370" s="1088"/>
      <c r="F370" s="1088"/>
      <c r="G370" s="1088"/>
      <c r="H370" s="1088"/>
      <c r="I370" s="1088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5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5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7" t="s">
        <v>1646</v>
      </c>
      <c r="B378" s="907"/>
      <c r="C378" s="907"/>
      <c r="D378" s="907"/>
      <c r="E378" s="907"/>
      <c r="F378" s="907"/>
      <c r="G378" s="907"/>
      <c r="H378" s="907"/>
      <c r="I378" s="907"/>
      <c r="J378" s="907"/>
      <c r="K378" s="4">
        <v>25</v>
      </c>
      <c r="L378" s="55"/>
    </row>
    <row r="381" spans="1:12" x14ac:dyDescent="0.3">
      <c r="B381" s="1170" t="s">
        <v>1</v>
      </c>
      <c r="C381" s="1170" t="s">
        <v>2</v>
      </c>
      <c r="D381" s="1170" t="s">
        <v>3</v>
      </c>
      <c r="E381" s="36" t="s">
        <v>54</v>
      </c>
      <c r="F381" s="1170" t="s">
        <v>5</v>
      </c>
      <c r="G381" s="1170" t="s">
        <v>6</v>
      </c>
      <c r="H381" s="1170" t="s">
        <v>7</v>
      </c>
      <c r="I381" s="1170" t="s">
        <v>55</v>
      </c>
      <c r="J381" s="1170" t="s">
        <v>9</v>
      </c>
      <c r="K381" s="1172" t="s">
        <v>56</v>
      </c>
      <c r="L381" s="1170" t="s">
        <v>57</v>
      </c>
    </row>
    <row r="382" spans="1:12" x14ac:dyDescent="0.3">
      <c r="B382" s="1171"/>
      <c r="C382" s="1171"/>
      <c r="D382" s="1171"/>
      <c r="E382" s="37" t="s">
        <v>59</v>
      </c>
      <c r="F382" s="1171"/>
      <c r="G382" s="1171"/>
      <c r="H382" s="1171"/>
      <c r="I382" s="1171"/>
      <c r="J382" s="1171"/>
      <c r="K382" s="1173"/>
      <c r="L382" s="1171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88" t="s">
        <v>53</v>
      </c>
      <c r="B394" s="1088"/>
      <c r="C394" s="1088"/>
      <c r="D394" s="1088"/>
      <c r="E394" s="1088"/>
      <c r="F394" s="1088"/>
      <c r="G394" s="1088"/>
      <c r="H394" s="1088"/>
      <c r="I394" s="1088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5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5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5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5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88" t="s">
        <v>53</v>
      </c>
      <c r="B401" s="1088"/>
      <c r="C401" s="1088"/>
      <c r="D401" s="1088"/>
      <c r="E401" s="1088"/>
      <c r="F401" s="1088"/>
      <c r="G401" s="1088"/>
      <c r="H401" s="1088"/>
      <c r="I401" s="1088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41" t="s">
        <v>229</v>
      </c>
      <c r="B405" s="1145" t="s">
        <v>1805</v>
      </c>
      <c r="C405" s="1145" t="s">
        <v>700</v>
      </c>
      <c r="D405" s="1174" t="s">
        <v>675</v>
      </c>
      <c r="E405" s="1145" t="s">
        <v>1806</v>
      </c>
      <c r="F405" s="1145" t="s">
        <v>1807</v>
      </c>
      <c r="G405" s="1145" t="s">
        <v>662</v>
      </c>
      <c r="H405" s="1175" t="s">
        <v>1808</v>
      </c>
      <c r="I405" s="1174"/>
      <c r="J405" s="1175">
        <v>1</v>
      </c>
      <c r="K405" s="1147" t="s">
        <v>631</v>
      </c>
      <c r="L405" s="1072" t="s">
        <v>51</v>
      </c>
    </row>
    <row r="406" spans="1:12" ht="13.5" customHeight="1" x14ac:dyDescent="0.3">
      <c r="A406" s="1141"/>
      <c r="B406" s="1145"/>
      <c r="C406" s="1145"/>
      <c r="D406" s="1174"/>
      <c r="E406" s="1145"/>
      <c r="F406" s="1145"/>
      <c r="G406" s="1145"/>
      <c r="H406" s="1175"/>
      <c r="I406" s="1174"/>
      <c r="J406" s="1175"/>
      <c r="K406" s="1148"/>
      <c r="L406" s="1074"/>
    </row>
    <row r="407" spans="1:12" ht="27" customHeight="1" x14ac:dyDescent="0.3">
      <c r="A407" s="114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4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41" t="s">
        <v>1646</v>
      </c>
      <c r="B409" s="1141"/>
      <c r="C409" s="1141"/>
      <c r="D409" s="1141"/>
      <c r="E409" s="1141"/>
      <c r="F409" s="1141"/>
      <c r="G409" s="1141"/>
      <c r="H409" s="1141"/>
      <c r="I409" s="1141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41" t="s">
        <v>2008</v>
      </c>
      <c r="B412" s="1176" t="s">
        <v>2009</v>
      </c>
      <c r="C412" s="1147" t="s">
        <v>21</v>
      </c>
      <c r="D412" s="970" t="s">
        <v>14</v>
      </c>
      <c r="E412" s="1147" t="s">
        <v>78</v>
      </c>
      <c r="F412" s="1145" t="s">
        <v>2010</v>
      </c>
      <c r="G412" s="1145" t="s">
        <v>40</v>
      </c>
      <c r="H412" s="1175" t="s">
        <v>614</v>
      </c>
      <c r="I412" s="1174"/>
      <c r="J412" s="1175">
        <v>1</v>
      </c>
      <c r="K412" s="1147" t="s">
        <v>2011</v>
      </c>
      <c r="L412" s="1072" t="s">
        <v>1997</v>
      </c>
    </row>
    <row r="413" spans="1:12" ht="20.100000000000001" customHeight="1" x14ac:dyDescent="0.3">
      <c r="A413" s="1141"/>
      <c r="B413" s="1145"/>
      <c r="C413" s="1148"/>
      <c r="D413" s="971"/>
      <c r="E413" s="1148"/>
      <c r="F413" s="1145"/>
      <c r="G413" s="1145"/>
      <c r="H413" s="1175"/>
      <c r="I413" s="1174"/>
      <c r="J413" s="1175"/>
      <c r="K413" s="1148"/>
      <c r="L413" s="1074"/>
    </row>
    <row r="414" spans="1:12" ht="20.100000000000001" customHeight="1" x14ac:dyDescent="0.3">
      <c r="A414" s="1141" t="s">
        <v>1646</v>
      </c>
      <c r="B414" s="1141"/>
      <c r="C414" s="1141"/>
      <c r="D414" s="1141"/>
      <c r="E414" s="1141"/>
      <c r="F414" s="1141"/>
      <c r="G414" s="1141"/>
      <c r="H414" s="1141"/>
      <c r="I414" s="1141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73"/>
      <c r="B418" s="78" t="s">
        <v>1748</v>
      </c>
      <c r="C418" s="1174" t="s">
        <v>306</v>
      </c>
      <c r="D418" s="1174" t="s">
        <v>322</v>
      </c>
      <c r="E418" s="1174" t="s">
        <v>307</v>
      </c>
      <c r="F418" s="1175">
        <v>3306</v>
      </c>
      <c r="G418" s="1174" t="s">
        <v>1153</v>
      </c>
      <c r="H418" s="1175" t="s">
        <v>1749</v>
      </c>
      <c r="I418" s="1174" t="s">
        <v>664</v>
      </c>
      <c r="J418" s="1174">
        <v>4</v>
      </c>
      <c r="K418" s="1147" t="s">
        <v>631</v>
      </c>
      <c r="L418" s="1072" t="s">
        <v>51</v>
      </c>
    </row>
    <row r="419" spans="1:12" ht="13.5" customHeight="1" x14ac:dyDescent="0.3">
      <c r="A419" s="1073"/>
      <c r="B419" s="79" t="s">
        <v>1751</v>
      </c>
      <c r="C419" s="1174"/>
      <c r="D419" s="1174"/>
      <c r="E419" s="1174"/>
      <c r="F419" s="1175"/>
      <c r="G419" s="1174"/>
      <c r="H419" s="1175"/>
      <c r="I419" s="1174"/>
      <c r="J419" s="1174"/>
      <c r="K419" s="1148"/>
      <c r="L419" s="1074"/>
    </row>
    <row r="420" spans="1:12" ht="13.5" customHeight="1" x14ac:dyDescent="0.3">
      <c r="A420" s="1073"/>
      <c r="B420" s="78" t="s">
        <v>1800</v>
      </c>
      <c r="C420" s="1174" t="s">
        <v>306</v>
      </c>
      <c r="D420" s="1174" t="s">
        <v>322</v>
      </c>
      <c r="E420" s="1174" t="s">
        <v>307</v>
      </c>
      <c r="F420" s="1175" t="s">
        <v>1801</v>
      </c>
      <c r="G420" s="1174" t="s">
        <v>1802</v>
      </c>
      <c r="H420" s="1175" t="s">
        <v>1803</v>
      </c>
      <c r="I420" s="1174" t="s">
        <v>664</v>
      </c>
      <c r="J420" s="1174">
        <v>5</v>
      </c>
      <c r="K420" s="1147" t="s">
        <v>631</v>
      </c>
      <c r="L420" s="1072" t="s">
        <v>51</v>
      </c>
    </row>
    <row r="421" spans="1:12" ht="13.5" customHeight="1" x14ac:dyDescent="0.3">
      <c r="A421" s="1073"/>
      <c r="B421" s="79" t="s">
        <v>1795</v>
      </c>
      <c r="C421" s="1174"/>
      <c r="D421" s="1174"/>
      <c r="E421" s="1174"/>
      <c r="F421" s="1175"/>
      <c r="G421" s="1174"/>
      <c r="H421" s="1175"/>
      <c r="I421" s="1174"/>
      <c r="J421" s="1174"/>
      <c r="K421" s="1148"/>
      <c r="L421" s="1074"/>
    </row>
    <row r="422" spans="1:12" ht="27" customHeight="1" x14ac:dyDescent="0.3">
      <c r="A422" s="10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41" t="s">
        <v>1646</v>
      </c>
      <c r="B423" s="1141"/>
      <c r="C423" s="1141"/>
      <c r="D423" s="1141"/>
      <c r="E423" s="1141"/>
      <c r="F423" s="1141"/>
      <c r="G423" s="1141"/>
      <c r="H423" s="1141"/>
      <c r="I423" s="1141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9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88" t="s">
        <v>1646</v>
      </c>
      <c r="B431" s="1088"/>
      <c r="C431" s="1088"/>
      <c r="D431" s="1088"/>
      <c r="E431" s="1088"/>
      <c r="F431" s="1088"/>
      <c r="G431" s="1088"/>
      <c r="H431" s="1088"/>
      <c r="I431" s="1088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9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88" t="s">
        <v>1646</v>
      </c>
      <c r="B435" s="1088"/>
      <c r="C435" s="1088"/>
      <c r="D435" s="1088"/>
      <c r="E435" s="1088"/>
      <c r="F435" s="1088"/>
      <c r="G435" s="1088"/>
      <c r="H435" s="1088"/>
      <c r="I435" s="1088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35" t="s">
        <v>2027</v>
      </c>
      <c r="B438" s="252" t="s">
        <v>1760</v>
      </c>
      <c r="C438" s="1028" t="s">
        <v>306</v>
      </c>
      <c r="D438" s="1028" t="s">
        <v>322</v>
      </c>
      <c r="E438" s="1028" t="s">
        <v>307</v>
      </c>
      <c r="F438" s="1177" t="s">
        <v>1761</v>
      </c>
      <c r="G438" s="1028" t="s">
        <v>329</v>
      </c>
      <c r="H438" s="1159" t="s">
        <v>1762</v>
      </c>
      <c r="I438" s="976" t="s">
        <v>664</v>
      </c>
      <c r="J438" s="1179">
        <v>2</v>
      </c>
      <c r="K438" s="1147" t="s">
        <v>1996</v>
      </c>
      <c r="L438" s="1147" t="s">
        <v>51</v>
      </c>
    </row>
    <row r="439" spans="1:12" ht="13.5" customHeight="1" x14ac:dyDescent="0.3">
      <c r="A439" s="936"/>
      <c r="B439" s="253" t="s">
        <v>2028</v>
      </c>
      <c r="C439" s="1029"/>
      <c r="D439" s="1029"/>
      <c r="E439" s="1029"/>
      <c r="F439" s="1178"/>
      <c r="G439" s="1029"/>
      <c r="H439" s="1161"/>
      <c r="I439" s="977"/>
      <c r="J439" s="1180"/>
      <c r="K439" s="1148"/>
      <c r="L439" s="1148"/>
    </row>
    <row r="440" spans="1:12" ht="13.5" customHeight="1" x14ac:dyDescent="0.3">
      <c r="A440" s="936"/>
      <c r="B440" s="254" t="s">
        <v>1794</v>
      </c>
      <c r="C440" s="911" t="s">
        <v>306</v>
      </c>
      <c r="D440" s="911" t="s">
        <v>322</v>
      </c>
      <c r="E440" s="911" t="s">
        <v>307</v>
      </c>
      <c r="F440" s="909" t="s">
        <v>1796</v>
      </c>
      <c r="G440" s="911" t="s">
        <v>1797</v>
      </c>
      <c r="H440" s="909" t="s">
        <v>1792</v>
      </c>
      <c r="I440" s="911" t="s">
        <v>664</v>
      </c>
      <c r="J440" s="957">
        <v>4</v>
      </c>
      <c r="K440" s="1147" t="s">
        <v>631</v>
      </c>
      <c r="L440" s="1147" t="s">
        <v>1997</v>
      </c>
    </row>
    <row r="441" spans="1:12" ht="13.5" customHeight="1" x14ac:dyDescent="0.3">
      <c r="A441" s="936"/>
      <c r="B441" s="255" t="s">
        <v>1795</v>
      </c>
      <c r="C441" s="911"/>
      <c r="D441" s="911"/>
      <c r="E441" s="911"/>
      <c r="F441" s="909"/>
      <c r="G441" s="911"/>
      <c r="H441" s="909"/>
      <c r="I441" s="911"/>
      <c r="J441" s="958"/>
      <c r="K441" s="1148"/>
      <c r="L441" s="1148"/>
    </row>
    <row r="442" spans="1:12" ht="20.100000000000001" customHeight="1" x14ac:dyDescent="0.3">
      <c r="A442" s="93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3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3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3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3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3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3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3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42" t="s">
        <v>1646</v>
      </c>
      <c r="B450" s="1143"/>
      <c r="C450" s="1143"/>
      <c r="D450" s="1143"/>
      <c r="E450" s="1143"/>
      <c r="F450" s="1143"/>
      <c r="G450" s="1143"/>
      <c r="H450" s="1143"/>
      <c r="I450" s="1143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7" t="s">
        <v>2059</v>
      </c>
      <c r="B459" s="907"/>
      <c r="C459" s="907"/>
      <c r="D459" s="907"/>
      <c r="E459" s="907"/>
      <c r="F459" s="907"/>
      <c r="G459" s="907"/>
      <c r="H459" s="907"/>
      <c r="I459" s="90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9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3"/>
      <c r="B463" s="1181" t="s">
        <v>1767</v>
      </c>
      <c r="C463" s="1182" t="s">
        <v>311</v>
      </c>
      <c r="D463" s="1182" t="s">
        <v>320</v>
      </c>
      <c r="E463" s="1182" t="s">
        <v>709</v>
      </c>
      <c r="F463" s="1182" t="s">
        <v>1768</v>
      </c>
      <c r="G463" s="1181" t="s">
        <v>1769</v>
      </c>
      <c r="H463" s="258" t="s">
        <v>1770</v>
      </c>
      <c r="I463" s="1182"/>
      <c r="J463" s="1182">
        <v>1</v>
      </c>
      <c r="K463" s="970" t="s">
        <v>631</v>
      </c>
      <c r="L463" s="1000" t="s">
        <v>51</v>
      </c>
    </row>
    <row r="464" spans="1:12" ht="13.5" customHeight="1" x14ac:dyDescent="0.3">
      <c r="A464" s="1093"/>
      <c r="B464" s="1181"/>
      <c r="C464" s="1182"/>
      <c r="D464" s="1182"/>
      <c r="E464" s="1182"/>
      <c r="F464" s="1182"/>
      <c r="G464" s="1181"/>
      <c r="H464" s="259" t="s">
        <v>1773</v>
      </c>
      <c r="I464" s="1182"/>
      <c r="J464" s="1182"/>
      <c r="K464" s="971"/>
      <c r="L464" s="1001"/>
    </row>
    <row r="465" spans="1:12" ht="13.5" customHeight="1" x14ac:dyDescent="0.3">
      <c r="A465" s="1093"/>
      <c r="B465" s="1183" t="s">
        <v>1813</v>
      </c>
      <c r="C465" s="1145" t="s">
        <v>700</v>
      </c>
      <c r="D465" s="1174" t="s">
        <v>320</v>
      </c>
      <c r="E465" s="1174" t="s">
        <v>337</v>
      </c>
      <c r="F465" s="1145" t="s">
        <v>353</v>
      </c>
      <c r="G465" s="1145" t="s">
        <v>1814</v>
      </c>
      <c r="H465" s="1175" t="s">
        <v>1815</v>
      </c>
      <c r="I465" s="1174" t="s">
        <v>638</v>
      </c>
      <c r="J465" s="1175">
        <v>2</v>
      </c>
      <c r="K465" s="1147" t="s">
        <v>631</v>
      </c>
      <c r="L465" s="1147" t="s">
        <v>51</v>
      </c>
    </row>
    <row r="466" spans="1:12" ht="13.5" customHeight="1" x14ac:dyDescent="0.3">
      <c r="A466" s="1093"/>
      <c r="B466" s="1183"/>
      <c r="C466" s="1145"/>
      <c r="D466" s="1174"/>
      <c r="E466" s="1174"/>
      <c r="F466" s="1145"/>
      <c r="G466" s="1145"/>
      <c r="H466" s="1175"/>
      <c r="I466" s="1174"/>
      <c r="J466" s="1175"/>
      <c r="K466" s="1148"/>
      <c r="L466" s="1148"/>
    </row>
    <row r="467" spans="1:12" ht="27" customHeight="1" x14ac:dyDescent="0.3">
      <c r="A467" s="109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3"/>
      <c r="B468" s="1145" t="s">
        <v>1820</v>
      </c>
      <c r="C468" s="1145" t="s">
        <v>700</v>
      </c>
      <c r="D468" s="1174" t="s">
        <v>320</v>
      </c>
      <c r="E468" s="1174" t="s">
        <v>709</v>
      </c>
      <c r="F468" s="1174" t="s">
        <v>1768</v>
      </c>
      <c r="G468" s="1145" t="s">
        <v>1821</v>
      </c>
      <c r="H468" s="261" t="s">
        <v>1822</v>
      </c>
      <c r="I468" s="1174" t="s">
        <v>638</v>
      </c>
      <c r="J468" s="1174">
        <v>2</v>
      </c>
      <c r="K468" s="1147" t="s">
        <v>631</v>
      </c>
      <c r="L468" s="1147" t="s">
        <v>51</v>
      </c>
    </row>
    <row r="469" spans="1:12" ht="13.5" customHeight="1" x14ac:dyDescent="0.3">
      <c r="A469" s="1093"/>
      <c r="B469" s="1145"/>
      <c r="C469" s="1145"/>
      <c r="D469" s="1174"/>
      <c r="E469" s="1174"/>
      <c r="F469" s="1174"/>
      <c r="G469" s="1145"/>
      <c r="H469" s="262" t="s">
        <v>1823</v>
      </c>
      <c r="I469" s="1174"/>
      <c r="J469" s="1174"/>
      <c r="K469" s="1148"/>
      <c r="L469" s="1148"/>
    </row>
    <row r="470" spans="1:12" ht="27" customHeight="1" x14ac:dyDescent="0.3">
      <c r="A470" s="109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9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88" t="s">
        <v>53</v>
      </c>
      <c r="B472" s="1088"/>
      <c r="C472" s="1088"/>
      <c r="D472" s="1088"/>
      <c r="E472" s="1088"/>
      <c r="F472" s="1088"/>
      <c r="G472" s="1088"/>
      <c r="H472" s="1088"/>
      <c r="I472" s="1088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88" t="s">
        <v>228</v>
      </c>
      <c r="B476" s="1181" t="s">
        <v>1767</v>
      </c>
      <c r="C476" s="1182" t="s">
        <v>311</v>
      </c>
      <c r="D476" s="1182" t="s">
        <v>320</v>
      </c>
      <c r="E476" s="1182" t="s">
        <v>709</v>
      </c>
      <c r="F476" s="1182" t="s">
        <v>1768</v>
      </c>
      <c r="G476" s="1181" t="s">
        <v>1769</v>
      </c>
      <c r="H476" s="258" t="s">
        <v>1770</v>
      </c>
      <c r="I476" s="1182"/>
      <c r="J476" s="1182">
        <v>1</v>
      </c>
      <c r="K476" s="970" t="s">
        <v>631</v>
      </c>
      <c r="L476" s="1000" t="s">
        <v>51</v>
      </c>
    </row>
    <row r="477" spans="1:12" ht="13.5" customHeight="1" x14ac:dyDescent="0.3">
      <c r="A477" s="1088"/>
      <c r="B477" s="1181"/>
      <c r="C477" s="1182"/>
      <c r="D477" s="1182"/>
      <c r="E477" s="1182"/>
      <c r="F477" s="1182"/>
      <c r="G477" s="1181"/>
      <c r="H477" s="259" t="s">
        <v>1773</v>
      </c>
      <c r="I477" s="1182"/>
      <c r="J477" s="1182"/>
      <c r="K477" s="971"/>
      <c r="L477" s="1001"/>
    </row>
    <row r="478" spans="1:12" ht="27" customHeight="1" x14ac:dyDescent="0.3">
      <c r="A478" s="108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88" t="s">
        <v>1646</v>
      </c>
      <c r="B479" s="1088"/>
      <c r="C479" s="1088"/>
      <c r="D479" s="1088"/>
      <c r="E479" s="1088"/>
      <c r="F479" s="1088"/>
      <c r="G479" s="1088"/>
      <c r="H479" s="1088"/>
      <c r="I479" s="1088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4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5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5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5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4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42" t="s">
        <v>53</v>
      </c>
      <c r="B487" s="1143"/>
      <c r="C487" s="1143"/>
      <c r="D487" s="1143"/>
      <c r="E487" s="1143"/>
      <c r="F487" s="1143"/>
      <c r="G487" s="1143"/>
      <c r="H487" s="1143"/>
      <c r="I487" s="1144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3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37"/>
      <c r="B494" s="1184" t="s">
        <v>2182</v>
      </c>
      <c r="C494" s="1184" t="s">
        <v>306</v>
      </c>
      <c r="D494" s="1184" t="s">
        <v>322</v>
      </c>
      <c r="E494" s="1184" t="s">
        <v>307</v>
      </c>
      <c r="F494" s="1185" t="s">
        <v>1919</v>
      </c>
      <c r="G494" s="1184" t="s">
        <v>662</v>
      </c>
      <c r="H494" s="1185" t="s">
        <v>1920</v>
      </c>
      <c r="I494" s="1184" t="s">
        <v>349</v>
      </c>
      <c r="J494" s="1184">
        <v>2</v>
      </c>
      <c r="K494" s="1145" t="s">
        <v>50</v>
      </c>
      <c r="L494" s="222">
        <v>23</v>
      </c>
    </row>
    <row r="495" spans="1:12" ht="12.6" customHeight="1" x14ac:dyDescent="0.3">
      <c r="A495" s="1137"/>
      <c r="B495" s="1184"/>
      <c r="C495" s="1184"/>
      <c r="D495" s="1184"/>
      <c r="E495" s="1184"/>
      <c r="F495" s="1185"/>
      <c r="G495" s="1184"/>
      <c r="H495" s="1185"/>
      <c r="I495" s="1184"/>
      <c r="J495" s="1184"/>
      <c r="K495" s="1145"/>
    </row>
    <row r="496" spans="1:12" ht="24.95" customHeight="1" x14ac:dyDescent="0.3">
      <c r="A496" s="113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3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3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3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88" t="s">
        <v>53</v>
      </c>
      <c r="B500" s="1088"/>
      <c r="C500" s="1088"/>
      <c r="D500" s="1088"/>
      <c r="E500" s="1088"/>
      <c r="F500" s="1088"/>
      <c r="G500" s="1088"/>
      <c r="H500" s="1088"/>
      <c r="I500" s="1088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88" t="s">
        <v>2217</v>
      </c>
      <c r="B511" s="1088"/>
      <c r="C511" s="1088"/>
      <c r="D511" s="1088"/>
      <c r="E511" s="1088"/>
      <c r="F511" s="1088"/>
      <c r="G511" s="1088"/>
      <c r="H511" s="1088"/>
      <c r="I511" s="1088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7" t="s">
        <v>2233</v>
      </c>
      <c r="B522" s="907"/>
      <c r="C522" s="907"/>
      <c r="D522" s="907"/>
      <c r="E522" s="907"/>
      <c r="F522" s="907"/>
      <c r="G522" s="907"/>
      <c r="H522" s="907"/>
      <c r="I522" s="90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88" t="s">
        <v>2238</v>
      </c>
      <c r="B528" s="1088"/>
      <c r="C528" s="1088"/>
      <c r="D528" s="1088"/>
      <c r="E528" s="1088"/>
      <c r="F528" s="1088"/>
      <c r="G528" s="1088"/>
      <c r="H528" s="1088"/>
      <c r="I528" s="1088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88" t="s">
        <v>2233</v>
      </c>
      <c r="B535" s="1088"/>
      <c r="C535" s="1088"/>
      <c r="D535" s="1088"/>
      <c r="E535" s="1088"/>
      <c r="F535" s="1088"/>
      <c r="G535" s="1088"/>
      <c r="H535" s="1088"/>
      <c r="I535" s="1088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42" t="s">
        <v>2238</v>
      </c>
      <c r="B540" s="1143"/>
      <c r="C540" s="1143"/>
      <c r="D540" s="1143"/>
      <c r="E540" s="1143"/>
      <c r="F540" s="1143"/>
      <c r="G540" s="1143"/>
      <c r="H540" s="1143"/>
      <c r="I540" s="1144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8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8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41" t="s">
        <v>2233</v>
      </c>
      <c r="B546" s="1141"/>
      <c r="C546" s="1141"/>
      <c r="D546" s="1141"/>
      <c r="E546" s="1141"/>
      <c r="F546" s="1141"/>
      <c r="G546" s="1141"/>
      <c r="H546" s="1141"/>
      <c r="I546" s="1141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88" t="s">
        <v>2233</v>
      </c>
      <c r="B550" s="1088"/>
      <c r="C550" s="1088"/>
      <c r="D550" s="1088"/>
      <c r="E550" s="1088"/>
      <c r="F550" s="1088"/>
      <c r="G550" s="1088"/>
      <c r="H550" s="1088"/>
      <c r="I550" s="1088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3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3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3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3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3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3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3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3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3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3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3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88" t="s">
        <v>2233</v>
      </c>
      <c r="B565" s="1088"/>
      <c r="C565" s="1088"/>
      <c r="D565" s="1088"/>
      <c r="E565" s="1088"/>
      <c r="F565" s="1088"/>
      <c r="G565" s="1088"/>
      <c r="H565" s="1088"/>
      <c r="I565" s="1088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8" t="s">
        <v>306</v>
      </c>
      <c r="D569" s="938" t="s">
        <v>322</v>
      </c>
      <c r="E569" s="938" t="s">
        <v>307</v>
      </c>
      <c r="F569" s="938">
        <v>3306</v>
      </c>
      <c r="G569" s="938" t="s">
        <v>1153</v>
      </c>
      <c r="H569" s="938" t="s">
        <v>1907</v>
      </c>
      <c r="I569" s="938" t="s">
        <v>1111</v>
      </c>
      <c r="J569" s="938" t="s">
        <v>692</v>
      </c>
      <c r="K569" s="1139" t="s">
        <v>2291</v>
      </c>
    </row>
    <row r="570" spans="1:12" x14ac:dyDescent="0.3">
      <c r="B570" s="243" t="s">
        <v>1909</v>
      </c>
      <c r="C570" s="939"/>
      <c r="D570" s="939"/>
      <c r="E570" s="939"/>
      <c r="F570" s="939"/>
      <c r="G570" s="939"/>
      <c r="H570" s="939"/>
      <c r="I570" s="939"/>
      <c r="J570" s="939"/>
      <c r="K570" s="114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3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3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3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3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3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3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3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88" t="s">
        <v>1458</v>
      </c>
      <c r="B582" s="1088"/>
      <c r="C582" s="1088"/>
      <c r="D582" s="1088"/>
      <c r="E582" s="1088"/>
      <c r="F582" s="1088"/>
      <c r="G582" s="1088"/>
      <c r="H582" s="1088"/>
      <c r="I582" s="1088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88" t="s">
        <v>2393</v>
      </c>
      <c r="B588" s="1088"/>
      <c r="C588" s="1088"/>
      <c r="D588" s="1088"/>
      <c r="E588" s="1088"/>
      <c r="F588" s="1088"/>
      <c r="G588" s="1088"/>
      <c r="H588" s="1088"/>
      <c r="I588" s="1088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7" t="s">
        <v>2406</v>
      </c>
      <c r="B592" s="907"/>
      <c r="C592" s="907"/>
      <c r="D592" s="907"/>
      <c r="E592" s="907"/>
      <c r="F592" s="907"/>
      <c r="G592" s="907"/>
      <c r="H592" s="907"/>
      <c r="I592" s="90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7" t="s">
        <v>2406</v>
      </c>
      <c r="B601" s="907"/>
      <c r="C601" s="907"/>
      <c r="D601" s="907"/>
      <c r="E601" s="907"/>
      <c r="F601" s="907"/>
      <c r="G601" s="907"/>
      <c r="H601" s="907"/>
      <c r="I601" s="90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88" t="s">
        <v>2437</v>
      </c>
      <c r="B606" s="1088"/>
      <c r="C606" s="1088"/>
      <c r="D606" s="1088"/>
      <c r="E606" s="1088"/>
      <c r="F606" s="1088"/>
      <c r="G606" s="1088"/>
      <c r="H606" s="1088"/>
      <c r="I606" s="1088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88" t="s">
        <v>2406</v>
      </c>
      <c r="B613" s="1088"/>
      <c r="C613" s="1088"/>
      <c r="D613" s="1088"/>
      <c r="E613" s="1088"/>
      <c r="F613" s="1088"/>
      <c r="G613" s="1088"/>
      <c r="H613" s="1088"/>
      <c r="I613" s="1088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3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3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3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3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3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3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3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3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3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3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88" t="s">
        <v>2406</v>
      </c>
      <c r="B627" s="1088"/>
      <c r="C627" s="1088"/>
      <c r="D627" s="1088"/>
      <c r="E627" s="1088"/>
      <c r="F627" s="1088"/>
      <c r="G627" s="1088"/>
      <c r="H627" s="1088"/>
      <c r="I627" s="1088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8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8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8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8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8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8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8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8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8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8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8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8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8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8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8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8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8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8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8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8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90" t="s">
        <v>1646</v>
      </c>
      <c r="B655" s="1190"/>
      <c r="C655" s="1190"/>
      <c r="D655" s="1190"/>
      <c r="E655" s="1190"/>
      <c r="F655" s="1190"/>
      <c r="G655" s="1190"/>
      <c r="H655" s="1190"/>
      <c r="I655" s="1190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9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9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9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9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9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9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9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9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9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9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9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9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9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9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90" t="s">
        <v>1646</v>
      </c>
      <c r="B674" s="1190"/>
      <c r="C674" s="1190"/>
      <c r="D674" s="1190"/>
      <c r="E674" s="1190"/>
      <c r="F674" s="1190"/>
      <c r="G674" s="1190"/>
      <c r="H674" s="1190"/>
      <c r="I674" s="1190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9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9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9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9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90" t="s">
        <v>1646</v>
      </c>
      <c r="B681" s="1190"/>
      <c r="C681" s="1190"/>
      <c r="D681" s="1190"/>
      <c r="E681" s="1190"/>
      <c r="F681" s="1190"/>
      <c r="G681" s="1190"/>
      <c r="H681" s="1190"/>
      <c r="I681" s="1190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8" t="s">
        <v>1646</v>
      </c>
      <c r="B688" s="1138"/>
      <c r="C688" s="1138"/>
      <c r="D688" s="1138"/>
      <c r="E688" s="1138"/>
      <c r="F688" s="1138"/>
      <c r="G688" s="1138"/>
      <c r="H688" s="1138"/>
      <c r="I688" s="1138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8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8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8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8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8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8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8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8" t="s">
        <v>1646</v>
      </c>
      <c r="B699" s="1138"/>
      <c r="C699" s="1138"/>
      <c r="D699" s="1138"/>
      <c r="E699" s="1138"/>
      <c r="F699" s="1138"/>
      <c r="G699" s="1138"/>
      <c r="H699" s="1138"/>
      <c r="I699" s="1138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2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2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2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2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2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2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2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2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2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2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2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2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2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3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134" t="s">
        <v>1646</v>
      </c>
      <c r="B717" s="1134"/>
      <c r="C717" s="1134"/>
      <c r="D717" s="1134"/>
      <c r="E717" s="1134"/>
      <c r="F717" s="1134"/>
      <c r="G717" s="1134"/>
      <c r="H717" s="1134"/>
      <c r="I717" s="1134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29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30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30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30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30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30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30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31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134" t="s">
        <v>1646</v>
      </c>
      <c r="B731" s="1134"/>
      <c r="C731" s="1134"/>
      <c r="D731" s="1134"/>
      <c r="E731" s="1134"/>
      <c r="F731" s="1134"/>
      <c r="G731" s="1134"/>
      <c r="H731" s="1134"/>
      <c r="I731" s="1134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92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92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92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92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92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92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92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92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92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92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92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92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92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134" t="s">
        <v>1646</v>
      </c>
      <c r="B749" s="1134"/>
      <c r="C749" s="1134"/>
      <c r="D749" s="1134"/>
      <c r="E749" s="1134"/>
      <c r="F749" s="1134"/>
      <c r="G749" s="1134"/>
      <c r="H749" s="1134"/>
      <c r="I749" s="1134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93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94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94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94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94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94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94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94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95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16" t="s">
        <v>1646</v>
      </c>
      <c r="B762" s="1116"/>
      <c r="C762" s="1116"/>
      <c r="D762" s="1116"/>
      <c r="E762" s="1116"/>
      <c r="F762" s="1116"/>
      <c r="G762" s="1116"/>
      <c r="H762" s="1116"/>
      <c r="I762" s="1116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20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21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21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21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22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16" t="s">
        <v>1646</v>
      </c>
      <c r="B770" s="1116"/>
      <c r="C770" s="1116"/>
      <c r="D770" s="1116"/>
      <c r="E770" s="1116"/>
      <c r="F770" s="1116"/>
      <c r="G770" s="1116"/>
      <c r="H770" s="1116"/>
      <c r="I770" s="1116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9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9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9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9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9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16" t="s">
        <v>1646</v>
      </c>
      <c r="B778" s="1116"/>
      <c r="C778" s="1116"/>
      <c r="D778" s="1116"/>
      <c r="E778" s="1116"/>
      <c r="F778" s="1116"/>
      <c r="G778" s="1116"/>
      <c r="H778" s="1116"/>
      <c r="I778" s="1116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9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9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9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9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9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9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9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9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16" t="s">
        <v>1646</v>
      </c>
      <c r="B790" s="1116"/>
      <c r="C790" s="1116"/>
      <c r="D790" s="1116"/>
      <c r="E790" s="1116"/>
      <c r="F790" s="1116"/>
      <c r="G790" s="1116"/>
      <c r="H790" s="1116"/>
      <c r="I790" s="1116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93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94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94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94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94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94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94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94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16" t="s">
        <v>1646</v>
      </c>
      <c r="B802" s="1116"/>
      <c r="C802" s="1116"/>
      <c r="D802" s="1116"/>
      <c r="E802" s="1116"/>
      <c r="F802" s="1116"/>
      <c r="G802" s="1116"/>
      <c r="H802" s="1116"/>
      <c r="I802" s="1116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17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18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18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18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18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18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16" t="s">
        <v>1646</v>
      </c>
      <c r="B812" s="1116"/>
      <c r="C812" s="1116"/>
      <c r="D812" s="1116"/>
      <c r="E812" s="1116"/>
      <c r="F812" s="1116"/>
      <c r="G812" s="1116"/>
      <c r="H812" s="1116"/>
      <c r="I812" s="1116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07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07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16" t="s">
        <v>1646</v>
      </c>
      <c r="B819" s="1116"/>
      <c r="C819" s="1116"/>
      <c r="D819" s="1116"/>
      <c r="E819" s="1116"/>
      <c r="F819" s="1116"/>
      <c r="G819" s="1116"/>
      <c r="H819" s="1116"/>
      <c r="I819" s="1116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20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21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21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21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21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21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21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21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21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22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16" t="s">
        <v>1646</v>
      </c>
      <c r="B834" s="1116"/>
      <c r="C834" s="1116"/>
      <c r="D834" s="1116"/>
      <c r="E834" s="1116"/>
      <c r="F834" s="1116"/>
      <c r="G834" s="1116"/>
      <c r="H834" s="1116"/>
      <c r="I834" s="1116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20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21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22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16" t="s">
        <v>1646</v>
      </c>
      <c r="B841" s="1116"/>
      <c r="C841" s="1116"/>
      <c r="D841" s="1116"/>
      <c r="E841" s="1116"/>
      <c r="F841" s="1116"/>
      <c r="G841" s="1116"/>
      <c r="H841" s="1116"/>
      <c r="I841" s="1116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93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94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94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94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94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94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94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94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16" t="s">
        <v>1646</v>
      </c>
      <c r="B853" s="1116"/>
      <c r="C853" s="1116"/>
      <c r="D853" s="1116"/>
      <c r="E853" s="1116"/>
      <c r="F853" s="1116"/>
      <c r="G853" s="1116"/>
      <c r="H853" s="1116"/>
      <c r="I853" s="1116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20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21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21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21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21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21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21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21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21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21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21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21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21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21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21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21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21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21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21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22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16" t="s">
        <v>1646</v>
      </c>
      <c r="B876" s="1116"/>
      <c r="C876" s="1116"/>
      <c r="D876" s="1116"/>
      <c r="E876" s="1116"/>
      <c r="F876" s="1116"/>
      <c r="G876" s="1116"/>
      <c r="H876" s="1116"/>
      <c r="I876" s="1116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21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21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21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21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21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21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21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16" t="s">
        <v>1646</v>
      </c>
      <c r="B887" s="1116"/>
      <c r="C887" s="1116"/>
      <c r="D887" s="1116"/>
      <c r="E887" s="1116"/>
      <c r="F887" s="1116"/>
      <c r="G887" s="1116"/>
      <c r="H887" s="1116"/>
      <c r="I887" s="1116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96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97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97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97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97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97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97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97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97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97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97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16" t="s">
        <v>1646</v>
      </c>
      <c r="B904" s="1116"/>
      <c r="C904" s="1116"/>
      <c r="D904" s="1116"/>
      <c r="E904" s="1116"/>
      <c r="F904" s="1116"/>
      <c r="G904" s="1116"/>
      <c r="H904" s="1116"/>
      <c r="I904" s="1116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96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97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97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97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97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97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97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97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97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97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97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16" t="s">
        <v>1646</v>
      </c>
      <c r="B919" s="1116"/>
      <c r="C919" s="1116"/>
      <c r="D919" s="1116"/>
      <c r="E919" s="1116"/>
      <c r="F919" s="1116"/>
      <c r="G919" s="1116"/>
      <c r="H919" s="1116"/>
      <c r="I919" s="1116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20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21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21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21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22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16" t="s">
        <v>1646</v>
      </c>
      <c r="B930" s="1116"/>
      <c r="C930" s="1116"/>
      <c r="D930" s="1116"/>
      <c r="E930" s="1116"/>
      <c r="F930" s="1116"/>
      <c r="G930" s="1116"/>
      <c r="H930" s="1116"/>
      <c r="I930" s="1116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98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98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98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98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98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98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98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98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98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98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98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16" t="s">
        <v>1646</v>
      </c>
      <c r="B944" s="1116"/>
      <c r="C944" s="1116"/>
      <c r="D944" s="1116"/>
      <c r="E944" s="1116"/>
      <c r="F944" s="1116"/>
      <c r="G944" s="1116"/>
      <c r="H944" s="1116"/>
      <c r="I944" s="1116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16" t="s">
        <v>1646</v>
      </c>
      <c r="B952" s="1116"/>
      <c r="C952" s="1116"/>
      <c r="D952" s="1116"/>
      <c r="E952" s="1116"/>
      <c r="F952" s="1116"/>
      <c r="G952" s="1116"/>
      <c r="H952" s="1116"/>
      <c r="I952" s="1116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16" t="s">
        <v>1646</v>
      </c>
      <c r="B956" s="1116"/>
      <c r="C956" s="1116"/>
      <c r="D956" s="1116"/>
      <c r="E956" s="1116"/>
      <c r="F956" s="1116"/>
      <c r="G956" s="1116"/>
      <c r="H956" s="1116"/>
      <c r="I956" s="1116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07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07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07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07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16" t="s">
        <v>1646</v>
      </c>
      <c r="B964" s="1116"/>
      <c r="C964" s="1116"/>
      <c r="D964" s="1116"/>
      <c r="E964" s="1116"/>
      <c r="F964" s="1116"/>
      <c r="G964" s="1116"/>
      <c r="H964" s="1116"/>
      <c r="I964" s="1116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29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30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30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30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30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30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30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30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31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16" t="s">
        <v>1646</v>
      </c>
      <c r="B976" s="1116"/>
      <c r="C976" s="1116"/>
      <c r="D976" s="1116"/>
      <c r="E976" s="1116"/>
      <c r="F976" s="1116"/>
      <c r="G976" s="1116"/>
      <c r="H976" s="1116"/>
      <c r="I976" s="1116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16" t="s">
        <v>1646</v>
      </c>
      <c r="B982" s="1116"/>
      <c r="C982" s="1116"/>
      <c r="D982" s="1116"/>
      <c r="E982" s="1116"/>
      <c r="F982" s="1116"/>
      <c r="G982" s="1116"/>
      <c r="H982" s="1116"/>
      <c r="I982" s="1116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07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07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16" t="s">
        <v>1646</v>
      </c>
      <c r="B989" s="1116"/>
      <c r="C989" s="1116"/>
      <c r="D989" s="1116"/>
      <c r="E989" s="1116"/>
      <c r="F989" s="1116"/>
      <c r="G989" s="1116"/>
      <c r="H989" s="1116"/>
      <c r="I989" s="1116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1048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1049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104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104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104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104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104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104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105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16" t="s">
        <v>1646</v>
      </c>
      <c r="B1003" s="1116"/>
      <c r="C1003" s="1116"/>
      <c r="D1003" s="1116"/>
      <c r="E1003" s="1116"/>
      <c r="F1003" s="1116"/>
      <c r="G1003" s="1116"/>
      <c r="H1003" s="1116"/>
      <c r="I1003" s="1116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23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24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24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24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24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24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24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24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24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24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25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16" t="s">
        <v>1646</v>
      </c>
      <c r="B1018" s="1116"/>
      <c r="C1018" s="1116"/>
      <c r="D1018" s="1116"/>
      <c r="E1018" s="1116"/>
      <c r="F1018" s="1116"/>
      <c r="G1018" s="1116"/>
      <c r="H1018" s="1116"/>
      <c r="I1018" s="1116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3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3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3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3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3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3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3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3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3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16" t="s">
        <v>1646</v>
      </c>
      <c r="B1032" s="1116"/>
      <c r="C1032" s="1116"/>
      <c r="D1032" s="1116"/>
      <c r="E1032" s="1116"/>
      <c r="F1032" s="1116"/>
      <c r="G1032" s="1116"/>
      <c r="H1032" s="1116"/>
      <c r="I1032" s="1116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98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 x14ac:dyDescent="0.3">
      <c r="A1040" s="1198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 x14ac:dyDescent="0.3">
      <c r="A1041" s="1198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 x14ac:dyDescent="0.3">
      <c r="A1042" s="1198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3">
        <v>1</v>
      </c>
      <c r="K1042" s="618" t="s">
        <v>50</v>
      </c>
    </row>
    <row r="1043" spans="1:11" ht="33.75" x14ac:dyDescent="0.3">
      <c r="A1043" s="1198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 x14ac:dyDescent="0.3">
      <c r="A1044" s="1198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 x14ac:dyDescent="0.3">
      <c r="A1045" s="1116" t="s">
        <v>1646</v>
      </c>
      <c r="B1045" s="1116"/>
      <c r="C1045" s="1116"/>
      <c r="D1045" s="1116"/>
      <c r="E1045" s="1116"/>
      <c r="F1045" s="1116"/>
      <c r="G1045" s="1116"/>
      <c r="H1045" s="1116"/>
      <c r="I1045" s="1116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98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98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98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98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98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98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16" t="s">
        <v>1646</v>
      </c>
      <c r="B1056" s="1116"/>
      <c r="C1056" s="1116"/>
      <c r="D1056" s="1116"/>
      <c r="E1056" s="1116"/>
      <c r="F1056" s="1116"/>
      <c r="G1056" s="1116"/>
      <c r="H1056" s="1116"/>
      <c r="I1056" s="1116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17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18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18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19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16" t="s">
        <v>1646</v>
      </c>
      <c r="B1064" s="1116"/>
      <c r="C1064" s="1116"/>
      <c r="D1064" s="1116"/>
      <c r="E1064" s="1116"/>
      <c r="F1064" s="1116"/>
      <c r="G1064" s="1116"/>
      <c r="H1064" s="1116"/>
      <c r="I1064" s="1116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17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18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18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18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18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18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18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18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18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18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18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18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18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19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16" t="s">
        <v>1646</v>
      </c>
      <c r="B1082" s="1116"/>
      <c r="C1082" s="1116"/>
      <c r="D1082" s="1116"/>
      <c r="E1082" s="1116"/>
      <c r="F1082" s="1116"/>
      <c r="G1082" s="1116"/>
      <c r="H1082" s="1116"/>
      <c r="I1082" s="1116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17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18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18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18"/>
      <c r="B1089" s="891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16" t="s">
        <v>1646</v>
      </c>
      <c r="B1090" s="1116"/>
      <c r="C1090" s="1116"/>
      <c r="D1090" s="1116"/>
      <c r="E1090" s="1116"/>
      <c r="F1090" s="1116"/>
      <c r="G1090" s="1116"/>
      <c r="H1090" s="1116"/>
      <c r="I1090" s="1116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1048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1049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1049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1049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1049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1050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16" t="s">
        <v>1646</v>
      </c>
      <c r="B1102" s="1116"/>
      <c r="C1102" s="1116"/>
      <c r="D1102" s="1116"/>
      <c r="E1102" s="1116"/>
      <c r="F1102" s="1116"/>
      <c r="G1102" s="1116"/>
      <c r="H1102" s="1116"/>
      <c r="I1102" s="1116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17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 x14ac:dyDescent="0.3">
      <c r="A1107" s="1118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 x14ac:dyDescent="0.3">
      <c r="A1108" s="1118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 x14ac:dyDescent="0.3">
      <c r="A1109" s="1118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 x14ac:dyDescent="0.3">
      <c r="A1110" s="1118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 x14ac:dyDescent="0.3">
      <c r="A1111" s="1118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 x14ac:dyDescent="0.3">
      <c r="A1112" s="1118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 x14ac:dyDescent="0.3">
      <c r="A1113" s="1118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 x14ac:dyDescent="0.3">
      <c r="A1114" s="1118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 x14ac:dyDescent="0.3">
      <c r="A1115" s="1118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 x14ac:dyDescent="0.3">
      <c r="A1116" s="1118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 x14ac:dyDescent="0.3">
      <c r="A1117" s="1118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 x14ac:dyDescent="0.3">
      <c r="A1118" s="1118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 x14ac:dyDescent="0.3">
      <c r="A1119" s="1118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 x14ac:dyDescent="0.3">
      <c r="A1120" s="1119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 x14ac:dyDescent="0.3">
      <c r="A1121" s="1116" t="s">
        <v>1646</v>
      </c>
      <c r="B1121" s="1116"/>
      <c r="C1121" s="1116"/>
      <c r="D1121" s="1116"/>
      <c r="E1121" s="1116"/>
      <c r="F1121" s="1116"/>
      <c r="G1121" s="1116"/>
      <c r="H1121" s="1116"/>
      <c r="I1121" s="1116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20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 x14ac:dyDescent="0.3">
      <c r="A1125" s="1121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 x14ac:dyDescent="0.3">
      <c r="A1126" s="1121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 x14ac:dyDescent="0.3">
      <c r="A1127" s="1121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 x14ac:dyDescent="0.3">
      <c r="A1128" s="1121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 x14ac:dyDescent="0.3">
      <c r="A1129" s="1121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 x14ac:dyDescent="0.3">
      <c r="A1130" s="1121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 x14ac:dyDescent="0.3">
      <c r="A1131" s="1121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 x14ac:dyDescent="0.3">
      <c r="A1132" s="1121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 x14ac:dyDescent="0.3">
      <c r="A1133" s="1121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 x14ac:dyDescent="0.3">
      <c r="A1134" s="1121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 x14ac:dyDescent="0.3">
      <c r="A1135" s="1121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 x14ac:dyDescent="0.3">
      <c r="A1136" s="1121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 x14ac:dyDescent="0.3">
      <c r="A1137" s="1121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 x14ac:dyDescent="0.3">
      <c r="A1138" s="1121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 x14ac:dyDescent="0.3">
      <c r="A1139" s="1121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 x14ac:dyDescent="0.3">
      <c r="A1140" s="1121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 x14ac:dyDescent="0.3">
      <c r="A1141" s="1122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 x14ac:dyDescent="0.3">
      <c r="A1142" s="1116" t="s">
        <v>1646</v>
      </c>
      <c r="B1142" s="1116"/>
      <c r="C1142" s="1116"/>
      <c r="D1142" s="1116"/>
      <c r="E1142" s="1116"/>
      <c r="F1142" s="1116"/>
      <c r="G1142" s="1116"/>
      <c r="H1142" s="1116"/>
      <c r="I1142" s="1116"/>
      <c r="J1142" s="872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7" t="s">
        <v>5385</v>
      </c>
      <c r="I12" s="907"/>
      <c r="J12" s="907"/>
      <c r="K12" s="90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7" t="s">
        <v>5386</v>
      </c>
      <c r="I20" s="907"/>
      <c r="J20" s="907"/>
      <c r="K20" s="90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2026-10-19T05:42:26Z</dcterms:modified>
</cp:coreProperties>
</file>