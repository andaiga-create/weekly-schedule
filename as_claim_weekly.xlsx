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<sst xmlns="http://schemas.openxmlformats.org/spreadsheetml/2006/main" count="22677" uniqueCount="6043">
  <si>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</si>
  <si>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</si>
  <si>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</si>
  <si>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</si>
  <si>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</si>
  <si>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</si>
  <si>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</si>
  <si>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</si>
  <si>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</si>
  <si>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</si>
  <si>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</si>
  <si>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</si>
  <si>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</si>
  <si>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</si>
  <si>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</si>
  <si>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</si>
  <si>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</si>
  <si>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</si>
  <si>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</si>
  <si>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</si>
  <si>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</si>
  <si>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</si>
  <si>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</si>
  <si>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</si>
  <si>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</si>
  <si>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</si>
  <si>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</si>
  <si>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</si>
  <si>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</si>
  <si>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</si>
  <si>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</si>
  <si>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</si>
  <si>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</si>
  <si>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</si>
  <si>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</si>
  <si>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</si>
  <si>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</si>
  <si>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</si>
  <si>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</si>
  <si>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</si>
  <si>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</si>
  <si>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</si>
  <si>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</si>
  <si>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</si>
  <si>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</si>
  <si>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</si>
  <si>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</si>
  <si>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</si>
  <si>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</si>
  <si>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</si>
  <si>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</si>
  <si>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</si>
  <si>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</si>
  <si>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</si>
  <si>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</si>
  <si>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</si>
  <si>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</si>
  <si>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</si>
  <si>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</si>
  <si>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</si>
  <si>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</si>
  <si>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</si>
  <si>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</si>
  <si>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</si>
  <si>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</si>
  <si>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</si>
  <si>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</si>
  <si>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</si>
  <si>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</si>
  <si>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</si>
  <si>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</si>
  <si>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</si>
  <si>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</si>
  <si>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</si>
  <si>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</si>
  <si>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</si>
  <si>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</si>
  <si>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</si>
  <si>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</si>
  <si>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</si>
  <si>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</si>
  <si>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</si>
  <si>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</si>
  <si>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</si>
  <si>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</si>
  <si>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</si>
  <si>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</si>
  <si>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</si>
  <si>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</si>
  <si>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</si>
  <si>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</si>
  <si>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</si>
  <si>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</si>
  <si>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</si>
  <si>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</si>
  <si>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</si>
  <si>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</si>
  <si>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</si>
  <si>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</si>
  <si>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</si>
  <si>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</si>
  <si>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</si>
  <si>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</si>
  <si>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</si>
  <si>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</si>
  <si>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</si>
  <si>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</si>
  <si>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</si>
  <si>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</si>
  <si>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</si>
  <si>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</si>
  <si>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</si>
  <si>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</si>
  <si>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</si>
  <si>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</si>
  <si>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</si>
  <si>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</si>
  <si>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</si>
  <si>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</si>
  <si>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</si>
  <si>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</si>
  <si>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</si>
  <si>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</si>
  <si>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</si>
  <si>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</si>
  <si>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</si>
  <si>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</si>
  <si>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</si>
  <si>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</si>
  <si>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</si>
  <si>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</si>
  <si>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</si>
  <si>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</si>
  <si>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</si>
  <si>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</si>
  <si>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</si>
  <si>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</si>
  <si>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</si>
  <si>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</si>
  <si>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</si>
  <si>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</si>
  <si>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</si>
  <si>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</si>
  <si>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</si>
  <si>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</si>
  <si>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</si>
  <si>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</si>
  <si>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</si>
  <si>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</si>
  <si>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</si>
  <si>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</si>
  <si>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</si>
  <si>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</si>
  <si>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</si>
  <si>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</si>
  <si>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</si>
  <si>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</si>
  <si>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</si>
  <si>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</si>
  <si>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</si>
  <si>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</si>
  <si>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</si>
  <si>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</si>
  <si>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</si>
  <si>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</si>
  <si>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</si>
  <si>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</si>
  <si>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</si>
  <si>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</si>
  <si>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</si>
  <si>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</si>
  <si>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</si>
  <si>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</si>
  <si>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</si>
  <si>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</si>
  <si>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</si>
  <si>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</si>
  <si>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</si>
  <si>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</si>
  <si>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</si>
  <si>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</si>
  <si>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</si>
  <si>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</si>
  <si>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</si>
  <si>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</si>
  <si>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</si>
  <si>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</si>
  <si>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</si>
  <si>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</si>
  <si>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</si>
  <si>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</si>
  <si>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</si>
  <si>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</si>
  <si>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</si>
  <si>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</si>
  <si>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</si>
  <si>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</si>
  <si>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</si>
  <si>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</si>
  <si>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</si>
  <si>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</si>
  <si>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</si>
  <si>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</si>
  <si>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</si>
  <si>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</si>
  <si>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</si>
  <si>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</si>
  <si>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</si>
  <si>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</si>
  <si>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</si>
  <si>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</si>
  <si>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</si>
  <si>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</si>
  <si>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</si>
  <si>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</si>
  <si>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</si>
  <si>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</si>
  <si>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</si>
  <si>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</si>
  <si>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</si>
  <si>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</si>
  <si>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</si>
  <si>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</si>
  <si>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</si>
  <si>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</si>
  <si>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</si>
  <si>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</si>
  <si>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</si>
  <si>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</si>
  <si>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</si>
  <si>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</si>
  <si>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</si>
  <si>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</si>
  <si>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</si>
  <si>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</si>
  <si>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</si>
  <si>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</si>
  <si>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</si>
  <si>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</si>
  <si>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</si>
  <si>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</si>
  <si>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</si>
  <si>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</si>
  <si>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</si>
  <si>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</si>
  <si>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</si>
  <si>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</si>
  <si>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</si>
  <si>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</si>
  <si>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</si>
  <si>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</si>
  <si>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</si>
  <si>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</si>
  <si>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</si>
  <si>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</si>
  <si>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</si>
  <si>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</si>
  <si>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</si>
  <si>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</si>
  <si>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</si>
  <si>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</si>
  <si>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</si>
  <si>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</si>
  <si>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</si>
  <si>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</si>
  <si>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</si>
  <si>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</si>
  <si>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</si>
  <si>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</si>
  <si>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</si>
  <si>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</si>
  <si>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</si>
  <si>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</si>
  <si>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</si>
  <si>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</si>
  <si>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</si>
  <si>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</si>
  <si>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</si>
  <si>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</si>
  <si>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</si>
  <si>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</si>
  <si>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</si>
  <si>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</si>
  <si>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</si>
  <si>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</si>
  <si>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</si>
  <si>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</si>
  <si>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</si>
  <si>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</si>
  <si>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</si>
  <si>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</si>
  <si>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</si>
  <si>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</si>
  <si>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</si>
  <si>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</si>
  <si>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</si>
  <si>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</si>
  <si>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</si>
  <si>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</si>
  <si>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</si>
  <si>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</si>
  <si>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</si>
  <si>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</si>
  <si>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</si>
  <si>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</si>
  <si>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</si>
  <si>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</si>
  <si>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</si>
  <si>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</si>
  <si>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</si>
  <si>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</si>
  <si>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</si>
  <si>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</si>
  <si>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</si>
  <si>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</si>
  <si>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</si>
  <si>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</si>
  <si>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</si>
  <si>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</si>
  <si>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</si>
  <si>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</si>
  <si>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</si>
  <si>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</si>
  <si>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</si>
  <si>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</si>
  <si>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</si>
  <si>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</si>
  <si>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</si>
  <si>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</si>
  <si>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</si>
  <si>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</si>
  <si>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</si>
  <si>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</si>
  <si>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</si>
  <si>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</si>
  <si>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</si>
  <si>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</si>
  <si>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</si>
  <si>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</si>
  <si>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</si>
  <si>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</si>
  <si>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</si>
  <si>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</si>
  <si>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</si>
  <si>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</si>
  <si>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</si>
  <si>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</si>
  <si>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</si>
  <si>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</si>
  <si>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</si>
  <si>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</si>
  <si>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</si>
  <si>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</si>
  <si>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</si>
  <si>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</si>
  <si>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</si>
  <si>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</si>
  <si>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</si>
  <si>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</si>
  <si>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</si>
  <si>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</si>
  <si>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</si>
  <si>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</si>
  <si>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</si>
  <si>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</si>
  <si>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</si>
  <si>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</si>
  <si>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</si>
  <si>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</si>
  <si>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</si>
  <si>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</si>
  <si>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</si>
  <si>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</si>
  <si>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</si>
  <si>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</si>
  <si>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</si>
  <si>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</si>
  <si>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</si>
  <si>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</si>
  <si>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</si>
  <si>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</si>
  <si>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</si>
  <si>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</si>
  <si>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</si>
  <si>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</si>
  <si>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</si>
  <si>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</si>
  <si>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</si>
  <si>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</si>
  <si>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</si>
  <si>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</si>
  <si>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</si>
  <si>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</si>
  <si>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</si>
  <si>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</si>
  <si>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</si>
  <si>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</si>
  <si>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</si>
  <si>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</si>
  <si>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</si>
  <si>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</si>
  <si>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</si>
  <si>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</si>
  <si>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</si>
  <si>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</si>
  <si>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</si>
  <si>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</si>
  <si>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</si>
  <si>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</si>
  <si>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</si>
  <si>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</si>
  <si>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</si>
  <si>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</si>
  <si>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</si>
  <si>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</si>
  <si>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</si>
  <si>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</si>
  <si>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</si>
  <si>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</si>
  <si>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</si>
  <si>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</si>
  <si>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</si>
  <si>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</si>
  <si>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</si>
  <si>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</si>
  <si>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</si>
  <si>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</si>
  <si>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</si>
  <si>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</si>
  <si>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</si>
  <si>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</si>
  <si>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</si>
  <si>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</si>
  <si>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</si>
  <si>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</si>
  <si>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</si>
  <si>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</si>
  <si>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</si>
  <si>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</si>
  <si>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</si>
  <si>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</si>
  <si>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</si>
  <si>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</si>
  <si>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</si>
  <si>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</si>
  <si>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</si>
  <si>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</si>
  <si>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</si>
  <si>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</si>
  <si>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</si>
  <si>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</si>
  <si>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</si>
  <si>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</si>
  <si>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</si>
  <si>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</si>
  <si>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</si>
  <si>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</si>
  <si>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</si>
  <si>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</si>
  <si>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</si>
  <si>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</si>
  <si>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</si>
  <si>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</si>
  <si>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</si>
  <si>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</si>
  <si>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</si>
  <si>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</si>
  <si>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</si>
  <si>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</si>
  <si>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</si>
  <si>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</si>
  <si>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</si>
  <si>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</si>
  <si>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</si>
  <si>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</si>
  <si>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</si>
  <si>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</si>
  <si>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</si>
  <si>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</si>
  <si>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</si>
  <si>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</si>
  <si>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</si>
  <si>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</si>
  <si>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</si>
  <si>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</si>
  <si>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</si>
  <si>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</si>
  <si>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</si>
  <si>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</si>
  <si>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</si>
  <si>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</si>
  <si>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</si>
  <si>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</si>
  <si>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</si>
  <si>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</si>
  <si>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</si>
  <si>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</si>
  <si>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</si>
  <si>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</si>
  <si>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</si>
  <si>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</si>
  <si>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</si>
  <si>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</si>
  <si>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</si>
  <si>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</si>
  <si>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</si>
  <si>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</si>
  <si>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</si>
  <si>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</si>
  <si>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</si>
  <si>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</si>
  <si>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</si>
  <si>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</si>
  <si>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</si>
  <si>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</si>
  <si>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</si>
  <si>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</si>
  <si>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</si>
  <si>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</si>
  <si>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</si>
  <si>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</si>
  <si>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</si>
  <si>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</si>
  <si>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</si>
  <si>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</si>
  <si>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</si>
  <si>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</si>
  <si>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</si>
  <si>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</si>
  <si>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</si>
  <si>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</si>
  <si>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</si>
  <si>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</si>
  <si>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</si>
  <si>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</si>
  <si>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</si>
  <si>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</si>
  <si>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</si>
  <si>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</si>
  <si>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</si>
  <si>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</si>
  <si>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</si>
  <si>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</si>
  <si>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</si>
  <si>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</si>
  <si>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</si>
  <si>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</si>
  <si>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</si>
  <si>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</si>
  <si>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</si>
  <si>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</si>
  <si>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</si>
  <si>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</si>
  <si>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</si>
  <si>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</si>
  <si>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</si>
  <si>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</si>
  <si>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</si>
  <si>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</si>
  <si>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</si>
  <si>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</si>
  <si>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</si>
  <si>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</si>
  <si>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</si>
  <si>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</si>
  <si>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</si>
  <si>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</si>
  <si>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</si>
  <si>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</si>
  <si>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</si>
  <si>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</si>
  <si>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</si>
  <si>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</si>
  <si>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</si>
  <si>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</si>
  <si>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</si>
  <si>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</si>
  <si>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</si>
  <si>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</si>
  <si>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</si>
  <si>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</si>
  <si>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</si>
  <si>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</si>
  <si>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</si>
  <si>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</si>
  <si>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</si>
  <si>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</si>
  <si>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</si>
  <si>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</si>
  <si>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</si>
  <si>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</si>
  <si>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</si>
  <si>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</si>
  <si>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</si>
  <si>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</si>
  <si>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</si>
  <si>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</si>
  <si>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</si>
  <si>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</si>
  <si>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</si>
  <si>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</si>
  <si>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</si>
  <si>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</si>
  <si>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</si>
  <si>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</si>
  <si>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</si>
  <si>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</si>
  <si>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</si>
  <si>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</si>
  <si>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</si>
  <si>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</si>
  <si>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</si>
  <si>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</si>
  <si>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</si>
  <si>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</si>
  <si>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</si>
  <si>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</si>
  <si>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</si>
  <si>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</si>
  <si>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</si>
  <si>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</si>
  <si>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</si>
  <si>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</si>
  <si>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</si>
  <si>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</si>
  <si>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</si>
  <si>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</si>
  <si>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</si>
  <si>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</si>
  <si>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</si>
  <si>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</si>
  <si>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</si>
  <si>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</si>
  <si>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</si>
  <si>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</si>
  <si>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</si>
  <si>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</si>
  <si>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</si>
  <si>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</si>
  <si>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</si>
  <si>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</si>
  <si>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</si>
  <si>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</si>
  <si>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</si>
  <si>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</si>
  <si>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</si>
  <si>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</si>
  <si>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</si>
  <si>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</si>
  <si>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</si>
  <si>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</si>
  <si>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</si>
  <si>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</si>
  <si>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</si>
  <si>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</si>
  <si>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</si>
  <si>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</si>
  <si>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</si>
  <si>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</si>
  <si>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</si>
  <si>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</si>
  <si>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</si>
  <si>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</si>
  <si>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</si>
  <si>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</si>
  <si>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</si>
  <si>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</si>
  <si>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</si>
  <si>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</si>
  <si>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</si>
  <si>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</si>
  <si>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</si>
  <si>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</si>
  <si>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</si>
  <si>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</si>
  <si>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</si>
  <si>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</si>
  <si>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</si>
  <si>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</si>
  <si>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</si>
  <si>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</si>
  <si>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</si>
  <si>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</si>
  <si>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</si>
  <si>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</si>
  <si>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</si>
  <si>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</si>
  <si>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</si>
  <si>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</si>
  <si>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</si>
  <si>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</si>
  <si>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</si>
  <si>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</si>
  <si>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</si>
  <si>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</si>
  <si>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</si>
  <si>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</si>
  <si>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</si>
  <si>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</si>
  <si>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</si>
  <si>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</si>
  <si>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</si>
  <si>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</si>
  <si>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</si>
  <si>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</si>
  <si>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</si>
  <si>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</si>
  <si>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</si>
  <si>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</si>
  <si>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</si>
  <si>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</si>
  <si>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</si>
  <si>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</si>
  <si>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</si>
  <si>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</si>
  <si>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</si>
  <si>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</si>
  <si>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</si>
  <si>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</si>
  <si>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</si>
  <si>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</si>
  <si>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</si>
  <si>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</si>
  <si>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</si>
  <si>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</si>
  <si>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</si>
  <si>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</si>
  <si>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</si>
  <si>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</si>
  <si>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</si>
  <si>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</si>
  <si>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</si>
  <si>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</si>
  <si>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</si>
  <si>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</si>
  <si>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</si>
  <si>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</si>
  <si>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</si>
  <si>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</si>
  <si>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</si>
  <si>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</si>
  <si>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</si>
  <si>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</si>
  <si>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</si>
  <si>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</si>
  <si>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</si>
  <si>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</si>
  <si>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</si>
  <si>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</si>
  <si>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</si>
  <si>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</si>
  <si>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</si>
  <si>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</si>
  <si>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</si>
  <si>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</si>
  <si>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</si>
  <si>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</si>
  <si>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</si>
  <si>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</si>
  <si>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</si>
  <si>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</si>
  <si>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</si>
  <si>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</si>
  <si>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</si>
  <si>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</si>
  <si>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</si>
  <si>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</si>
  <si>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</si>
  <si>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</si>
  <si>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</si>
  <si>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</si>
  <si>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</si>
  <si>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</si>
  <si>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</si>
  <si>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</si>
  <si>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</si>
  <si>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</si>
  <si>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</si>
  <si>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</si>
  <si>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</si>
  <si>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</si>
  <si>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</si>
  <si>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</si>
  <si>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</si>
  <si>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</si>
  <si>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</si>
  <si>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</si>
  <si>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</si>
  <si>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</si>
  <si>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</si>
  <si>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</si>
  <si>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</si>
  <si>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</si>
  <si>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</si>
  <si>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</si>
  <si>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</si>
  <si>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</si>
  <si>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</si>
  <si>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</si>
  <si>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</si>
  <si>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</si>
  <si>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</si>
  <si>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</si>
  <si>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</si>
  <si>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</si>
  <si>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</si>
  <si>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</si>
  <si>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</si>
  <si>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</si>
  <si>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</si>
  <si>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</si>
  <si>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</si>
  <si>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</si>
  <si>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</si>
  <si>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</si>
  <si>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</si>
  <si>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</si>
  <si>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</si>
  <si>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</si>
  <si>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</si>
  <si>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</si>
  <si>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</si>
  <si>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</si>
  <si>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</si>
  <si>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</si>
  <si>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</si>
  <si>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</si>
  <si>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</si>
  <si>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</si>
  <si>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</si>
  <si>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</si>
  <si>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</si>
  <si>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</si>
  <si>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</si>
  <si>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</si>
  <si>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</si>
  <si>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</si>
  <si>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</si>
  <si>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</si>
  <si>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</si>
  <si>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</si>
  <si>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</si>
  <si>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</si>
  <si>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</si>
  <si>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</si>
  <si>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</si>
  <si>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</si>
  <si>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</si>
  <si>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</si>
  <si>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</si>
  <si>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</si>
  <si>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</si>
  <si>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</si>
  <si>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</si>
  <si>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</si>
  <si>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</si>
  <si>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</si>
  <si>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</si>
  <si>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</si>
  <si>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</si>
  <si>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</si>
  <si>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</si>
  <si>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</si>
  <si>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</si>
  <si>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</si>
  <si>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</si>
  <si>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</si>
  <si>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</si>
  <si>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</si>
  <si>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</si>
  <si>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</si>
  <si>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</si>
  <si>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</si>
  <si>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</si>
  <si>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</si>
  <si>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</si>
  <si>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</si>
  <si>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</si>
  <si>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</si>
  <si>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</si>
  <si>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</si>
  <si>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</si>
  <si>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</si>
  <si>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</si>
  <si>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</si>
  <si>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</si>
  <si>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</si>
  <si>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</si>
  <si>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</si>
  <si>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</si>
  <si>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</si>
  <si>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</si>
  <si>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</si>
  <si>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</si>
  <si>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</si>
  <si>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</si>
  <si>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</si>
  <si>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</si>
  <si>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</si>
  <si>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</si>
  <si>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</si>
  <si>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</si>
  <si>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</si>
  <si>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</si>
  <si>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</si>
  <si>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</si>
  <si>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</si>
  <si>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</si>
  <si>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</si>
  <si>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</si>
  <si>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</si>
  <si>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</si>
  <si>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</si>
  <si>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</si>
  <si>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</si>
  <si>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</si>
  <si>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</si>
  <si>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</si>
  <si>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</si>
  <si>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</si>
  <si>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</si>
  <si>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</si>
  <si>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</si>
  <si>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</si>
  <si>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</si>
  <si>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</si>
  <si>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</si>
  <si>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</si>
  <si>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</si>
  <si>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</si>
  <si>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</si>
  <si>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</si>
  <si>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</si>
  <si>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</si>
  <si>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</si>
  <si>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</si>
  <si>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</si>
  <si>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</si>
  <si>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</si>
  <si>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</si>
  <si>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</si>
  <si>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</si>
  <si>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</si>
  <si>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</si>
  <si>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</si>
  <si>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</si>
  <si>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</si>
  <si>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</si>
  <si>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</si>
  <si>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</si>
  <si>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</si>
  <si>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</si>
  <si>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</si>
  <si>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</si>
  <si>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</si>
  <si>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</si>
  <si>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</si>
  <si>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</si>
  <si>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</si>
  <si>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</si>
  <si>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</si>
  <si>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</si>
  <si>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</si>
  <si>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</si>
  <si>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</si>
  <si>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</si>
  <si>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</si>
  <si>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</si>
  <si>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</si>
  <si>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</si>
  <si>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</si>
  <si>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</si>
  <si>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</si>
  <si>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</si>
  <si>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</si>
  <si>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</si>
  <si>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</si>
  <si>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</si>
  <si>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</si>
  <si>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</si>
  <si>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</si>
  <si>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</si>
  <si>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</si>
  <si>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</si>
  <si>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</si>
  <si>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</si>
  <si>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</si>
  <si>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</si>
  <si>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</si>
  <si>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</si>
  <si>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</si>
  <si>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</si>
  <si>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</si>
  <si>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</si>
  <si>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</si>
  <si>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</si>
  <si>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</si>
  <si>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</si>
  <si>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</si>
  <si>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</si>
  <si>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</si>
  <si>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</si>
  <si>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</si>
  <si>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</si>
  <si>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</si>
  <si>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</si>
  <si>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</si>
  <si>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</si>
  <si>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</si>
  <si>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</si>
  <si>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</si>
  <si>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</si>
  <si>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</si>
  <si>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</si>
  <si>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</si>
  <si>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</si>
  <si>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</si>
  <si>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</si>
  <si>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</si>
  <si>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</si>
  <si>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</si>
  <si>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</si>
  <si>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</si>
  <si>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</si>
  <si>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</si>
  <si>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</si>
  <si>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</si>
  <si>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</si>
  <si>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</si>
  <si>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</si>
  <si>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</si>
  <si>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</si>
  <si>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</si>
  <si>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</si>
  <si>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</si>
  <si>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</si>
  <si>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</si>
  <si>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</si>
  <si>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</si>
  <si>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</si>
  <si>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</si>
  <si>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</si>
  <si>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</si>
  <si>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</si>
  <si>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</si>
  <si>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</si>
  <si>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</si>
  <si>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</si>
  <si>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</si>
  <si>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</si>
  <si>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</si>
  <si>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</si>
  <si>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</si>
  <si>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</si>
  <si>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</si>
  <si>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</si>
  <si>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</si>
  <si>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</si>
  <si>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</si>
  <si>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</si>
  <si>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</si>
  <si>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</si>
  <si>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</si>
  <si>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</si>
  <si>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</si>
  <si>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</si>
  <si>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</si>
  <si>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</si>
  <si>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</si>
  <si>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</si>
  <si>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</si>
  <si>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</si>
  <si>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</si>
  <si>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</si>
  <si>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</si>
  <si>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</si>
  <si>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</si>
  <si>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</si>
  <si>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</si>
  <si>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</si>
  <si>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</si>
  <si>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</si>
  <si>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</si>
  <si>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</si>
  <si>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</si>
  <si>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</si>
  <si>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</si>
  <si>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</si>
  <si>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</si>
  <si>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</si>
  <si>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</si>
  <si>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</si>
  <si>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</si>
  <si>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</si>
  <si>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</si>
  <si>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</si>
  <si>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</si>
  <si>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</si>
  <si>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</si>
  <si>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</si>
  <si>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</si>
  <si>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</si>
  <si>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</si>
  <si>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</si>
  <si>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</si>
  <si>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</si>
  <si>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</si>
  <si>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</si>
  <si>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</si>
  <si>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</si>
  <si>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</si>
  <si>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</si>
  <si>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</si>
  <si>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</si>
  <si>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</si>
  <si>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</si>
  <si>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</si>
  <si>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</si>
  <si>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</si>
  <si>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</si>
  <si>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</si>
  <si>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</si>
  <si>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</si>
  <si>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</si>
  <si>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</si>
  <si>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</si>
  <si>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</si>
  <si>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</si>
  <si>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</si>
  <si>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</si>
  <si>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</si>
  <si>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</si>
  <si>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</si>
  <si>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</si>
  <si>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</si>
  <si>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</si>
  <si>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</si>
  <si>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</si>
  <si>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</si>
  <si>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</si>
  <si>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</si>
  <si>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</si>
  <si>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</si>
  <si>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</si>
  <si>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</si>
  <si>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</si>
  <si>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</si>
  <si>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</si>
  <si>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</si>
  <si>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</si>
  <si>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</si>
  <si>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</si>
  <si>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</si>
  <si>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</si>
  <si>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</si>
  <si>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</si>
  <si>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</si>
  <si>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</si>
  <si>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</si>
  <si>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</si>
  <si>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</si>
  <si>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</si>
  <si>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</si>
  <si>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</si>
  <si>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</si>
  <si>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</si>
  <si>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</si>
  <si>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</si>
  <si>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</si>
  <si>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</si>
  <si>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</si>
  <si>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</si>
  <si>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</si>
  <si>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</si>
  <si>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</si>
  <si>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</si>
  <si>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</si>
  <si>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</si>
  <si>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</si>
  <si>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</si>
  <si>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</si>
  <si>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</si>
  <si>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</si>
  <si>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</si>
  <si>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</si>
  <si>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</si>
  <si>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</si>
  <si>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</si>
  <si>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</si>
  <si>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</si>
  <si>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</si>
  <si>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</si>
  <si>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</si>
  <si>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</si>
  <si>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</si>
  <si>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</si>
  <si>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</si>
  <si>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</si>
  <si>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</si>
  <si>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</si>
  <si>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</si>
  <si>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</si>
  <si>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</si>
  <si>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</si>
  <si>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</si>
  <si>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</si>
  <si>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</si>
  <si>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</si>
  <si>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</si>
  <si>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</si>
  <si>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</si>
  <si>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</si>
  <si>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</si>
  <si>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</si>
  <si>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</si>
  <si>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</si>
  <si>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</si>
  <si>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</si>
  <si>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</si>
  <si>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</si>
  <si>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</si>
  <si>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</si>
  <si>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</si>
  <si>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</si>
  <si>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</si>
  <si>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</si>
  <si>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</si>
  <si>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</si>
  <si>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</si>
  <si>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</si>
  <si>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</si>
  <si>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</si>
  <si>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</si>
  <si>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</si>
  <si>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</si>
  <si>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</si>
  <si>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</si>
  <si>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</si>
  <si>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</si>
  <si>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</si>
  <si>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</si>
  <si>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</si>
  <si>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</si>
  <si>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</si>
  <si>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</si>
  <si>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</si>
  <si>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</si>
  <si>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</si>
  <si>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</si>
  <si>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</si>
  <si>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</si>
  <si>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</si>
  <si>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</si>
  <si>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</si>
  <si>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</si>
  <si>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</si>
  <si>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</si>
  <si>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</si>
  <si>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</si>
  <si>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</si>
  <si>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</si>
  <si>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</si>
  <si>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</si>
  <si>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</si>
  <si>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</si>
  <si>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</si>
  <si>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</si>
  <si>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</si>
  <si>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</si>
  <si>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</si>
  <si>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</si>
  <si>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</si>
  <si>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</si>
  <si>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</si>
  <si>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</si>
  <si>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</si>
  <si>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</si>
  <si>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</si>
  <si>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</si>
  <si>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</si>
  <si>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</si>
  <si>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</si>
  <si>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</si>
  <si>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</si>
  <si>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</si>
  <si>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</si>
  <si>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</si>
  <si>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</si>
  <si>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</si>
  <si>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</si>
  <si>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</si>
  <si>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</si>
  <si>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</si>
  <si>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</si>
  <si>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</si>
  <si>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</si>
  <si>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</si>
  <si>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</si>
  <si>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</si>
  <si>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</si>
  <si>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</si>
  <si>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</si>
  <si>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</si>
  <si>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</si>
  <si>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</si>
  <si>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</si>
  <si>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</si>
  <si>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</si>
  <si>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</si>
  <si>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</si>
  <si>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</si>
  <si>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</si>
  <si>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</si>
  <si>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</si>
  <si>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</si>
  <si>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</si>
  <si>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</si>
  <si>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</si>
  <si>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</si>
  <si>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</si>
  <si>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</si>
  <si>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</si>
  <si>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</si>
  <si>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</si>
  <si>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</si>
  <si>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</si>
  <si>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</si>
  <si>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</si>
  <si>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</si>
  <si>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</si>
  <si>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</si>
  <si>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</si>
  <si>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</si>
  <si>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</si>
  <si>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</si>
  <si>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</si>
  <si>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</si>
  <si>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</si>
  <si>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</si>
  <si>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</si>
  <si>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</si>
  <si>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</si>
  <si>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</si>
  <si>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</si>
  <si>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</si>
  <si>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</si>
  <si>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</si>
  <si>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</si>
  <si>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</si>
  <si>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</si>
  <si>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</si>
  <si>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</si>
  <si>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</si>
  <si>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</si>
  <si>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</si>
  <si>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</si>
  <si>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</si>
  <si>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</si>
  <si>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</si>
  <si>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</si>
  <si>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</si>
  <si>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</si>
  <si>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</si>
  <si>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</si>
  <si>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</si>
  <si>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</si>
  <si>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</si>
  <si>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</si>
  <si>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</si>
  <si>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</si>
  <si>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</si>
  <si>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</si>
  <si>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</si>
  <si>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</si>
  <si>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</si>
  <si>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</si>
  <si>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</si>
  <si>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</si>
  <si>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</si>
  <si>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</si>
  <si>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</si>
  <si>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</si>
  <si>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</si>
  <si>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</si>
  <si>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</si>
  <si>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</si>
  <si>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</si>
  <si>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</si>
  <si>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</si>
  <si>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</si>
  <si>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</si>
  <si>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</si>
  <si>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</si>
  <si>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</si>
  <si>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</si>
  <si>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</si>
  <si>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</si>
  <si>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</si>
  <si>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</si>
  <si>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</si>
  <si>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</si>
  <si>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</si>
  <si>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</si>
  <si>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</si>
  <si>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</si>
  <si>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</si>
  <si>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</si>
  <si>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</si>
  <si>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</si>
  <si>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</si>
  <si>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</si>
  <si>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</si>
  <si>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</si>
  <si>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</si>
  <si>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</si>
  <si>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</si>
  <si>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</si>
  <si>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</si>
  <si>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</si>
  <si>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</si>
  <si>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</si>
  <si>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</si>
  <si>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</si>
  <si>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</si>
  <si>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</si>
  <si>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</si>
  <si>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</si>
  <si>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</si>
  <si>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</si>
  <si>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</si>
  <si>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</si>
  <si>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</si>
  <si>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</si>
  <si>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</si>
  <si>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</si>
  <si>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</si>
  <si>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</si>
  <si>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</si>
  <si>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</si>
  <si>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</si>
  <si>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</si>
  <si>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</si>
  <si>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</si>
  <si>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</si>
  <si>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</si>
  <si>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</si>
  <si>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</si>
  <si>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</si>
  <si>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</si>
  <si>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</si>
  <si>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</si>
  <si>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</si>
  <si>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</si>
  <si>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</si>
  <si>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</si>
  <si>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</si>
  <si>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</si>
  <si>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</si>
  <si>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</si>
  <si>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</si>
  <si>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</si>
  <si>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</si>
  <si>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</si>
  <si>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</si>
  <si>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</si>
  <si>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</si>
  <si>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</si>
  <si>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</si>
  <si>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</si>
  <si>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</si>
  <si>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</si>
  <si>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</si>
  <si>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</si>
  <si>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</si>
  <si>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</si>
  <si>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</si>
  <si>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</si>
  <si>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</si>
  <si>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</si>
  <si>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</si>
  <si>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</si>
  <si>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</si>
  <si>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</si>
  <si>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</si>
  <si>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</si>
  <si>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</si>
  <si>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</si>
  <si>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</si>
  <si>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</si>
  <si>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</si>
  <si>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</si>
  <si>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</si>
  <si>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</si>
  <si>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</si>
  <si>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</si>
  <si>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</si>
  <si>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</si>
  <si>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</si>
  <si>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</si>
  <si>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</si>
  <si>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</si>
  <si>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</si>
  <si>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</si>
  <si>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</si>
  <si>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</si>
  <si>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</si>
  <si>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</si>
  <si>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</si>
  <si>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</si>
  <si>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</si>
  <si>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</si>
  <si>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</si>
  <si>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</si>
  <si>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</si>
  <si>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</si>
  <si>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</si>
  <si>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</si>
  <si>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</si>
  <si>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</si>
  <si>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</si>
  <si>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</si>
  <si>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</si>
  <si>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</si>
  <si>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</si>
  <si>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</si>
  <si>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</si>
  <si>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</si>
  <si>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</si>
  <si>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</si>
  <si>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</si>
  <si>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</si>
  <si>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</si>
  <si>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</si>
  <si>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</si>
  <si>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</si>
  <si>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</si>
  <si>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</si>
  <si>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</si>
  <si>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</si>
  <si>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</si>
  <si>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</si>
  <si>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</si>
  <si>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</si>
  <si>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</si>
  <si>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</si>
  <si>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</si>
  <si>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</si>
  <si>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</si>
  <si>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</si>
  <si>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</si>
  <si>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</si>
  <si>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</si>
  <si>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</si>
  <si>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</si>
  <si>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</si>
  <si>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</si>
  <si>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</si>
  <si>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</si>
  <si>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</si>
  <si>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</si>
  <si>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</si>
  <si>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</si>
  <si>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</si>
  <si>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</si>
  <si>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</si>
  <si>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</si>
  <si>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</si>
  <si>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</si>
  <si>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</si>
  <si>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</si>
  <si>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</si>
  <si>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</si>
  <si>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</si>
  <si>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</si>
  <si>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</si>
  <si>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</si>
  <si>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</si>
  <si>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</si>
  <si>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</si>
  <si>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</si>
  <si>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</si>
  <si>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</si>
  <si>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</si>
  <si>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</si>
  <si>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</si>
  <si>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</si>
  <si>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</si>
  <si>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</si>
  <si>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</si>
  <si>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</si>
  <si>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</si>
  <si>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</si>
  <si>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</si>
  <si>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</si>
  <si>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</si>
  <si>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</si>
  <si>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</si>
  <si>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</si>
  <si>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</si>
  <si>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</si>
  <si>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</si>
  <si>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</si>
  <si>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</si>
  <si>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</si>
  <si>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</si>
  <si>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</si>
  <si>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</si>
  <si>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</si>
  <si>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</si>
  <si>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</si>
  <si>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</si>
  <si>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</si>
  <si>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</si>
  <si>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</si>
  <si>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</si>
  <si>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</si>
  <si>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</si>
  <si>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</si>
  <si>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</si>
  <si>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</si>
  <si>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</si>
  <si>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</si>
  <si>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</si>
  <si>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</si>
  <si>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</si>
  <si>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</si>
  <si>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</si>
  <si>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</si>
  <si>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</si>
  <si>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</si>
  <si>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</si>
  <si>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</si>
  <si>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</si>
  <si>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</si>
  <si>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</si>
  <si>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</si>
  <si>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</si>
  <si>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</si>
  <si>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</si>
  <si>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</si>
  <si>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</si>
  <si>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</si>
  <si>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</si>
  <si>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</si>
  <si>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</si>
  <si>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</si>
  <si>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</si>
  <si>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</si>
  <si>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</si>
  <si>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</si>
  <si>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</si>
  <si>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</si>
  <si>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</si>
  <si>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</si>
  <si>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</si>
  <si>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</si>
  <si>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</si>
  <si>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</si>
  <si>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</si>
  <si>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</si>
  <si>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</si>
  <si>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</si>
  <si>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</si>
  <si>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</si>
  <si>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</si>
  <si>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</si>
  <si>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</si>
  <si>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</si>
  <si>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</si>
  <si>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</si>
  <si>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</si>
  <si>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</si>
  <si>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</si>
  <si>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</si>
  <si>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</si>
  <si>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</si>
  <si>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</si>
  <si>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</si>
  <si>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</si>
  <si>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</si>
  <si>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</si>
  <si>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</si>
  <si>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</si>
  <si>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</si>
  <si>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</si>
  <si>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</si>
  <si>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</si>
  <si>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</si>
  <si>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</si>
  <si>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</si>
  <si>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</si>
  <si>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</si>
  <si>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</si>
  <si>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</si>
  <si>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</si>
  <si>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</si>
  <si>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</si>
  <si>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</si>
  <si>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</si>
  <si>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</si>
  <si>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</si>
  <si>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</si>
  <si>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</si>
  <si>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</si>
  <si>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</si>
  <si>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</si>
  <si>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</si>
  <si>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</si>
  <si>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</si>
  <si>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</si>
  <si>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</si>
  <si>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</si>
  <si>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</si>
  <si>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</si>
  <si>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</si>
  <si>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</si>
  <si>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</si>
  <si>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</si>
  <si>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</si>
  <si>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</si>
  <si>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</si>
  <si>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</si>
  <si>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</si>
  <si>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</si>
  <si>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</si>
  <si>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</si>
  <si>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</si>
  <si>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</si>
  <si>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</si>
  <si>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</si>
  <si>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</si>
  <si>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</si>
  <si>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</si>
  <si>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</si>
  <si>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</si>
  <si>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</si>
  <si>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</si>
  <si>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</si>
  <si>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</si>
  <si>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</si>
  <si>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</si>
  <si>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</si>
  <si>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</si>
  <si>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</si>
  <si>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</si>
  <si>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</si>
  <si>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</si>
  <si>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</si>
  <si>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</si>
  <si>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</si>
  <si>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</si>
  <si>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</si>
  <si>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</si>
  <si>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</si>
  <si>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</si>
  <si>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</si>
  <si>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</si>
  <si>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</si>
  <si>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</si>
  <si>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</si>
  <si>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</si>
  <si>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</si>
  <si>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</si>
  <si>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</si>
  <si>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</si>
  <si>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</si>
  <si>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</si>
  <si>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</si>
  <si>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</si>
  <si>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</si>
  <si>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</si>
  <si>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</si>
  <si>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</si>
  <si>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</si>
  <si>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</si>
  <si>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</si>
  <si>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</si>
  <si>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</si>
  <si>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</si>
  <si>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</si>
  <si>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</si>
  <si>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</si>
  <si>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</si>
  <si>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</si>
  <si>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</si>
  <si>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</si>
  <si>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</si>
  <si>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</si>
  <si>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</si>
  <si>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</si>
  <si>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</si>
  <si>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</si>
  <si>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</si>
  <si>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</si>
  <si>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</si>
  <si>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</si>
  <si>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</si>
  <si>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</si>
  <si>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</si>
  <si>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</si>
  <si>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</si>
  <si>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</si>
  <si>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</si>
  <si>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</si>
  <si>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</si>
  <si>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</si>
  <si>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</si>
  <si>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</si>
  <si>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</si>
  <si>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</si>
  <si>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</si>
  <si>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</si>
  <si>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</si>
  <si>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</si>
  <si>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</si>
  <si>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</si>
  <si>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</si>
  <si>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</si>
  <si>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</si>
  <si>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</si>
  <si>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</si>
  <si>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</si>
  <si>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</si>
  <si>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</si>
  <si>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</si>
  <si>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</si>
  <si>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</si>
  <si>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</si>
  <si>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</si>
  <si>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</si>
  <si>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</si>
  <si>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</si>
  <si>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</si>
  <si>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</si>
  <si>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</si>
  <si>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</si>
  <si>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</si>
  <si>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</si>
  <si>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</si>
  <si>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</si>
  <si>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</si>
  <si>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</si>
  <si>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</si>
  <si>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</si>
  <si>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</si>
  <si>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</si>
  <si>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</si>
  <si>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</si>
  <si>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</si>
  <si>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</si>
  <si>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</si>
  <si>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</si>
  <si>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</si>
  <si>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</si>
  <si>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</si>
  <si>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</si>
  <si>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</si>
  <si>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</si>
  <si>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</si>
  <si>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</si>
  <si>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</si>
  <si>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</si>
  <si>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</si>
  <si>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</si>
  <si>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</si>
  <si>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</si>
  <si>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</si>
  <si>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</si>
  <si>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</si>
  <si>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</si>
  <si>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</si>
  <si>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</si>
  <si>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</si>
  <si>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</si>
  <si>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</si>
  <si>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</si>
  <si>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</si>
  <si>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</si>
  <si>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</si>
  <si>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</si>
  <si>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</si>
  <si>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</si>
  <si>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</si>
  <si>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</si>
  <si>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</si>
  <si>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</si>
  <si>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</si>
  <si>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</si>
  <si>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</si>
  <si>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</si>
  <si>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</si>
  <si>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</si>
  <si>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</si>
  <si>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</si>
  <si>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</si>
  <si>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</si>
  <si>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</si>
  <si>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</si>
  <si>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</si>
  <si>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</si>
  <si>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</si>
  <si>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</si>
  <si>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</si>
  <si>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</si>
  <si>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</si>
  <si>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</si>
  <si>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</si>
  <si>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</si>
  <si>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</si>
  <si>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</si>
  <si>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</si>
  <si>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</si>
  <si>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</si>
  <si>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</si>
  <si>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</si>
  <si>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</si>
  <si>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</si>
  <si>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</si>
  <si>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</si>
  <si>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</si>
  <si>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</si>
  <si>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</si>
  <si>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</si>
  <si>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</si>
  <si>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</si>
  <si>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</si>
  <si>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</si>
  <si>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</si>
  <si>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</si>
  <si>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</si>
  <si>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</si>
  <si>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</si>
  <si>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</si>
  <si>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</si>
  <si>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</si>
  <si>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</si>
  <si>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</si>
  <si>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</si>
  <si>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</si>
  <si>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</si>
  <si>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</si>
  <si>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</si>
  <si>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</si>
  <si>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</si>
  <si>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</si>
  <si>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</si>
  <si>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</si>
  <si>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</si>
  <si>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</si>
  <si>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</si>
  <si>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</si>
  <si>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</si>
  <si>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</si>
  <si>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</si>
  <si>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</si>
  <si>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</si>
  <si>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</si>
  <si>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</si>
  <si>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</si>
  <si>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</si>
  <si>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</si>
  <si>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</si>
  <si>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</si>
  <si>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</si>
  <si>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</si>
  <si>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</si>
  <si>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</si>
  <si>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</si>
  <si>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</si>
  <si>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</si>
  <si>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</si>
  <si>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</si>
  <si>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</si>
  <si>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</si>
  <si>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</si>
  <si>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</si>
  <si>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</si>
  <si>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</si>
  <si>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</si>
  <si>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</si>
  <si>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</si>
  <si>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</si>
  <si>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</si>
  <si>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</si>
  <si>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</si>
  <si>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</si>
  <si>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</si>
  <si>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</si>
  <si>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</si>
  <si>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</si>
  <si>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</si>
  <si>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</si>
  <si>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</si>
  <si>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</si>
  <si>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</si>
  <si>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</si>
  <si>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</si>
  <si>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</si>
  <si>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</si>
  <si>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</si>
  <si>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</si>
  <si>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</si>
  <si>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</si>
  <si>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</si>
  <si>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</si>
  <si>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</si>
  <si>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</si>
  <si>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</si>
  <si>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</si>
  <si>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</si>
  <si>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</si>
  <si>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</si>
  <si>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</si>
  <si>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</si>
  <si>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</si>
  <si>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</si>
  <si>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</si>
  <si>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</si>
  <si>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</si>
  <si>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</si>
  <si>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</si>
  <si>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</si>
  <si>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</si>
  <si>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</si>
  <si>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</si>
  <si>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</si>
  <si>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</si>
  <si>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</si>
  <si>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</si>
  <si>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</si>
  <si>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</si>
  <si>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</si>
  <si>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</si>
  <si>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</si>
  <si>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</si>
  <si>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</si>
  <si>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</si>
  <si>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</si>
  <si>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</si>
  <si>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</si>
  <si>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</si>
  <si>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</si>
  <si>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</si>
  <si>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</si>
  <si>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</si>
  <si>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</si>
  <si>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</si>
  <si>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</si>
  <si>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</si>
  <si>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</si>
  <si>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</si>
  <si>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</si>
  <si>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</si>
  <si>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</si>
  <si>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</si>
  <si>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</si>
  <si>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</si>
  <si>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</si>
  <si>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</si>
  <si>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</si>
  <si>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</si>
  <si>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</si>
  <si>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</si>
  <si>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</si>
  <si>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</si>
  <si>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</si>
  <si>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</si>
  <si>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</si>
  <si>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</si>
  <si>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</si>
  <si>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</si>
  <si>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</si>
  <si>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</si>
  <si>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</si>
  <si>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</si>
  <si>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</si>
  <si>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</si>
  <si>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</si>
  <si>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</si>
  <si>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</si>
  <si>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</si>
  <si>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</si>
  <si>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</si>
  <si>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</si>
  <si>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</si>
  <si>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</si>
  <si>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</si>
  <si>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</si>
  <si>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</si>
  <si>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</si>
  <si>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</si>
  <si>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</si>
  <si>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</si>
  <si>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</si>
  <si>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</si>
  <si>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</si>
  <si>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</si>
  <si>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</si>
  <si>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</si>
  <si>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</si>
  <si>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</si>
  <si>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</si>
  <si>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</si>
  <si>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</si>
  <si>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</si>
  <si>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</si>
  <si>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</si>
  <si>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</si>
  <si>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</si>
  <si>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</si>
  <si>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</si>
  <si>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</si>
  <si>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</si>
  <si>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</si>
  <si>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</si>
  <si>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</si>
  <si>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</si>
  <si>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</si>
  <si>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</si>
  <si>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</si>
  <si>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</si>
  <si>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</si>
  <si>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</si>
  <si>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</si>
  <si>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</si>
  <si>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</si>
  <si>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</si>
  <si>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</si>
  <si>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</si>
  <si>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</si>
  <si>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</si>
  <si>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</si>
  <si>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</si>
  <si>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</si>
  <si>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</si>
  <si>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</si>
  <si>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</si>
  <si>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</si>
  <si>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</si>
  <si>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</si>
  <si>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</si>
  <si>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</si>
  <si>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</si>
  <si>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</si>
  <si>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</si>
  <si>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</si>
  <si>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</si>
  <si>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</si>
  <si>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</si>
  <si>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</si>
  <si>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</si>
  <si>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</si>
  <si>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</si>
  <si>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</si>
  <si>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</si>
  <si>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</si>
  <si>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</si>
  <si>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</si>
  <si>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</si>
  <si>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</si>
  <si>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</si>
  <si>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</si>
  <si>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</si>
  <si>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</si>
  <si>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</si>
  <si>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</si>
  <si>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</si>
  <si>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</si>
  <si>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</si>
  <si>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</si>
  <si>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</si>
  <si>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</si>
  <si>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</si>
  <si>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</si>
  <si>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</si>
  <si>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</si>
  <si>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</si>
  <si>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</si>
  <si>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</si>
  <si>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</si>
  <si>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</si>
  <si>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</si>
  <si>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</si>
  <si>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</si>
  <si>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</si>
  <si>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</si>
  <si>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</si>
  <si>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</si>
  <si>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</si>
  <si>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</si>
  <si>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</si>
  <si>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</si>
  <si>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</si>
  <si>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</si>
  <si>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</si>
  <si>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</si>
  <si>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</si>
  <si>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</si>
  <si>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</si>
  <si>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</si>
  <si>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</si>
  <si>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</si>
  <si>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</si>
  <si>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</si>
  <si>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</si>
  <si>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</si>
  <si>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</si>
  <si>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</si>
  <si>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</si>
  <si>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</si>
  <si>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</si>
  <si>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</si>
  <si>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</si>
  <si>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</si>
  <si>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</si>
  <si>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</si>
  <si>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</si>
  <si>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</si>
  <si>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</si>
  <si>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</si>
  <si>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</si>
  <si>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</si>
  <si>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</si>
  <si>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</si>
  <si>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</si>
  <si>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</si>
  <si>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</si>
  <si>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</si>
  <si>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</si>
  <si>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</si>
  <si>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</si>
  <si>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</si>
  <si>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</si>
  <si>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</si>
  <si>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</si>
  <si>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</si>
  <si>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</si>
  <si>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</si>
  <si>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</si>
  <si>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</si>
  <si>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</si>
  <si>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</si>
  <si>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</si>
  <si>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</si>
  <si>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</si>
  <si>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</si>
  <si>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</si>
  <si>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</si>
  <si>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</si>
  <si>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</si>
  <si>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</si>
  <si>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</si>
  <si>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</si>
  <si>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</si>
  <si>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</si>
  <si>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</si>
  <si>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</si>
  <si>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</si>
  <si>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</si>
  <si>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</si>
  <si>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</si>
  <si>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</si>
  <si>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</si>
  <si>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</si>
  <si>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</si>
  <si>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</si>
  <si>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</si>
  <si>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</si>
  <si>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</si>
  <si>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</si>
  <si>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</si>
  <si>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</si>
  <si>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</si>
  <si>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</si>
  <si>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</si>
  <si>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</si>
  <si>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</si>
  <si>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</si>
  <si>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</si>
  <si>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</si>
  <si>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</si>
  <si>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</si>
  <si>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</si>
  <si>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</si>
  <si>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</si>
  <si>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</si>
  <si>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</si>
  <si>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</si>
  <si>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</si>
  <si>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</si>
  <si>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</si>
  <si>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</si>
  <si>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</si>
  <si>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</si>
  <si>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</si>
  <si>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</si>
  <si>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</si>
  <si>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</si>
  <si>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</si>
  <si>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</si>
  <si>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</si>
  <si>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</si>
  <si>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</si>
  <si>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</si>
  <si>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</si>
  <si>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</si>
  <si>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</si>
  <si>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</si>
  <si>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</si>
  <si>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</si>
  <si>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</si>
  <si>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</si>
  <si>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</si>
  <si>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</si>
  <si>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</si>
  <si>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</si>
  <si>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</si>
  <si>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</si>
  <si>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</si>
  <si>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</si>
  <si>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</si>
  <si>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</si>
  <si>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</si>
  <si>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</si>
  <si>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</si>
  <si>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</si>
  <si>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</si>
  <si>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</si>
  <si>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</si>
  <si>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</si>
  <si>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</si>
  <si>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</si>
  <si>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</si>
  <si>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</si>
  <si>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</si>
  <si>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</si>
  <si>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</si>
  <si>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</si>
  <si>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</si>
  <si>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</si>
  <si>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</si>
  <si>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</si>
  <si>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</si>
  <si>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</si>
  <si>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</si>
  <si>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</si>
  <si>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</si>
  <si>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</si>
  <si>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</si>
  <si>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</si>
  <si>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</si>
  <si>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</si>
  <si>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</si>
  <si>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</si>
  <si>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</si>
  <si>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</si>
  <si>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</si>
  <si>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</si>
  <si>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</si>
  <si>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</si>
  <si>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</si>
  <si>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</si>
  <si>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</si>
  <si>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</si>
  <si>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</si>
  <si>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</si>
  <si>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</si>
  <si>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</si>
  <si>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</si>
  <si>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</si>
  <si>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</si>
  <si>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</si>
  <si>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</si>
  <si>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</si>
  <si>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</si>
  <si>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</si>
  <si>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</si>
  <si>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</si>
  <si>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</si>
  <si>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</si>
  <si>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</si>
  <si>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</si>
  <si>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</si>
  <si>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</si>
  <si>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</si>
  <si>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</si>
  <si>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</si>
  <si>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</si>
  <si>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</si>
  <si>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</si>
  <si>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</si>
  <si>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</si>
  <si>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</si>
  <si>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</si>
  <si>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</si>
  <si>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</si>
  <si>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</si>
  <si>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</si>
  <si>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</si>
  <si>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</si>
  <si>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</si>
  <si>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</si>
  <si>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</si>
  <si>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</si>
  <si>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</si>
  <si>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</si>
  <si>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</si>
  <si>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</si>
  <si>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</si>
  <si>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</si>
  <si>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</si>
  <si>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</si>
  <si>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</si>
  <si>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</si>
  <si>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</si>
  <si>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</si>
  <si>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</si>
  <si>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</si>
  <si>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</si>
  <si>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</si>
  <si>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</si>
  <si>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</si>
  <si>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</si>
  <si>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</si>
  <si>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</si>
  <si>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</si>
  <si>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</si>
  <si>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</si>
  <si>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</si>
  <si>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</si>
  <si>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</si>
  <si>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</si>
  <si>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</si>
  <si>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</si>
  <si>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</si>
  <si>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</si>
  <si>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</si>
  <si>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</si>
  <si>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</si>
  <si>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</si>
  <si>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</si>
  <si>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</si>
  <si>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</si>
  <si>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</si>
  <si>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</si>
  <si>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</si>
  <si>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</si>
  <si>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</si>
  <si>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</si>
  <si>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</si>
  <si>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</si>
  <si>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</si>
  <si>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</si>
  <si>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</si>
  <si>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</si>
  <si>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</si>
  <si>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</si>
  <si>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</si>
  <si>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</si>
  <si>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</si>
  <si>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</si>
  <si>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</si>
  <si>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</si>
  <si>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</si>
  <si>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</si>
  <si>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</si>
  <si>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</si>
  <si>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</si>
  <si>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</si>
  <si>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</si>
  <si>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</si>
  <si>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</si>
  <si>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</si>
  <si>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</si>
  <si>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</si>
  <si>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</si>
  <si>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</si>
  <si>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</si>
  <si>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</si>
  <si>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</si>
  <si>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</si>
  <si>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</si>
  <si>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</si>
  <si>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</si>
  <si>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</si>
  <si>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</si>
  <si>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</si>
  <si>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</si>
  <si>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</si>
  <si>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</si>
  <si>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</si>
  <si>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</si>
  <si>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</si>
  <si>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</si>
  <si>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</si>
  <si>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</si>
  <si>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</si>
  <si>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</si>
  <si>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</si>
  <si>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</si>
  <si>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</si>
  <si>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</si>
  <si>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</si>
  <si>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</si>
  <si>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</si>
  <si>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</si>
  <si>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</si>
  <si>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</si>
  <si>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</si>
  <si>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</si>
  <si>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</si>
  <si>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</si>
  <si>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</si>
  <si>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</si>
  <si>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</si>
  <si>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</si>
  <si>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</si>
  <si>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</si>
  <si>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</si>
  <si>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</si>
  <si>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</si>
  <si>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</si>
  <si>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</si>
  <si>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</si>
  <si>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</si>
  <si>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</si>
  <si>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</si>
  <si>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</si>
  <si>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</si>
  <si>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</si>
  <si>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</si>
  <si>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</si>
  <si>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</si>
  <si>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</si>
  <si>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</si>
  <si>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</si>
  <si>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</si>
  <si>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</si>
  <si>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</si>
  <si>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</si>
  <si>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</si>
  <si>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</si>
  <si>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</si>
  <si>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</si>
  <si>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</si>
  <si>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</si>
  <si>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</si>
  <si>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</si>
  <si>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</si>
  <si>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</si>
  <si>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</si>
  <si>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</si>
  <si>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</si>
  <si>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</si>
  <si>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</si>
  <si>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</si>
  <si>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</si>
  <si>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</si>
  <si>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</si>
  <si>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</si>
  <si>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</si>
  <si>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</si>
  <si>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</si>
  <si>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</si>
  <si>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</si>
  <si>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</si>
  <si>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</si>
  <si>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</si>
  <si>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</si>
  <si>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</si>
  <si>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</si>
  <si>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</si>
  <si>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</si>
  <si>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</si>
  <si>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</si>
  <si>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</si>
  <si>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</si>
  <si>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</si>
  <si>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</si>
  <si>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</si>
  <si>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</si>
  <si>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</si>
  <si>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</si>
  <si>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</si>
  <si>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</si>
  <si>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</si>
  <si>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</si>
  <si>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</si>
  <si>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</si>
  <si>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</si>
  <si>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</si>
  <si>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</si>
  <si>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</si>
  <si>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</si>
  <si>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</si>
  <si>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</si>
  <si>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</si>
  <si>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</si>
  <si>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</si>
  <si>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</si>
  <si>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</si>
  <si>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</si>
  <si>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</si>
  <si>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</si>
  <si>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</si>
  <si>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</si>
  <si>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</si>
  <si>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</si>
  <si>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</si>
  <si>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</si>
  <si>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</si>
  <si>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</si>
  <si>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</si>
  <si>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</si>
  <si>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</si>
  <si>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</si>
  <si>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</si>
  <si>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</si>
  <si>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</si>
  <si>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</si>
  <si>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</si>
  <si>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</si>
  <si>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</si>
  <si>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</si>
  <si>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</si>
  <si>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</si>
  <si>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</si>
  <si>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</si>
  <si>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</si>
  <si>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</si>
  <si>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</si>
  <si>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</si>
  <si>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</si>
  <si>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</si>
  <si>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</si>
  <si>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</si>
  <si>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</si>
  <si>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</si>
  <si>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</si>
  <si>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</si>
  <si>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</si>
  <si>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</si>
  <si>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</si>
  <si>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</si>
  <si>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</si>
  <si>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</si>
  <si>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</si>
  <si>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</si>
  <si>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</si>
  <si>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</si>
  <si>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</si>
  <si>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</si>
  <si>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</si>
  <si>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</si>
  <si>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</si>
  <si>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</si>
  <si>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</si>
  <si>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</si>
  <si>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</si>
  <si>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</si>
  <si>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</si>
  <si>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</si>
  <si>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</si>
  <si>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</si>
  <si>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</si>
  <si>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</si>
  <si>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</si>
  <si>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</si>
  <si>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</si>
  <si>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</si>
  <si>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</si>
  <si>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</si>
  <si>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</si>
  <si>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</si>
  <si>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</si>
  <si>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</si>
  <si>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</si>
  <si>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</si>
  <si>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</si>
  <si>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</si>
  <si>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</si>
  <si>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</si>
  <si>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</si>
  <si>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</si>
  <si>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</si>
  <si>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</si>
  <si>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</si>
  <si>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</si>
  <si>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</si>
  <si>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</si>
  <si>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</si>
  <si>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</si>
  <si>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</si>
  <si>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</si>
  <si>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</si>
  <si>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</si>
  <si>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</si>
  <si>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</si>
  <si>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</si>
  <si>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</si>
  <si>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</si>
  <si>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</si>
  <si>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</si>
  <si>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</si>
  <si>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</si>
  <si>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</si>
  <si>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</si>
  <si>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</si>
  <si>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</si>
  <si>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</si>
  <si>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</si>
  <si>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</si>
  <si>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</si>
  <si>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</si>
  <si>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</si>
  <si>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</si>
  <si>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</si>
  <si>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</si>
  <si>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</si>
  <si>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</si>
  <si>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</si>
  <si>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</si>
  <si>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</si>
  <si>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</si>
  <si>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</si>
  <si>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</si>
  <si>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</si>
  <si>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</si>
  <si>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</si>
  <si>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</si>
  <si>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</si>
  <si>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</si>
  <si>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</si>
  <si>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</si>
  <si>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</si>
  <si>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</si>
  <si>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</si>
  <si>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</si>
  <si>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</si>
  <si>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</si>
  <si>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</si>
  <si>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</si>
  <si>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</si>
  <si>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</si>
  <si>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</si>
  <si>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</si>
  <si>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</si>
  <si>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</si>
  <si>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</si>
  <si>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</si>
  <si>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</si>
  <si>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</si>
  <si>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</si>
  <si>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</si>
  <si>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</si>
  <si>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</si>
  <si>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</si>
  <si>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</si>
  <si>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</si>
  <si>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</si>
  <si>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</si>
  <si>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</si>
  <si>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</si>
  <si>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</si>
  <si>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</si>
  <si>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</si>
  <si>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</si>
  <si>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</si>
  <si>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</si>
  <si>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</si>
  <si>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</si>
  <si>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</si>
  <si>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</si>
  <si>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</si>
  <si>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</si>
  <si>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</si>
  <si>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</si>
  <si>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</si>
  <si>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</si>
  <si>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</si>
  <si>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</si>
  <si>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</si>
  <si>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</si>
  <si>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</si>
  <si>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</si>
  <si>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</si>
  <si>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</si>
  <si>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</si>
  <si>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</si>
  <si>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</si>
  <si>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</si>
  <si>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</si>
  <si>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</si>
  <si>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</si>
  <si>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</si>
  <si>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</si>
  <si>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</si>
  <si>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</si>
  <si>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</si>
  <si>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</si>
  <si>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</si>
  <si>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</si>
  <si>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</si>
  <si>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</si>
  <si>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</si>
  <si>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</si>
  <si>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</si>
  <si>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</si>
  <si>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</si>
  <si>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</si>
  <si>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</si>
  <si>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</si>
  <si>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</si>
  <si>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</si>
  <si>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</si>
  <si>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</si>
  <si>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</si>
  <si>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</si>
  <si>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</si>
  <si>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</si>
  <si>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</si>
  <si>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</si>
  <si>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</si>
  <si>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</si>
  <si>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</si>
  <si>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</si>
  <si>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</si>
  <si>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</si>
  <si>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</si>
  <si>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</si>
  <si>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</si>
  <si>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</si>
  <si>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</si>
  <si>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</si>
  <si>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</si>
  <si>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</si>
  <si>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</si>
  <si>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</si>
  <si>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</si>
  <si>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</si>
  <si>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</si>
  <si>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</si>
  <si>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</si>
  <si>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</si>
  <si>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</si>
  <si>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</si>
  <si>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</si>
  <si>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</si>
  <si>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</si>
  <si>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</si>
  <si>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</si>
  <si>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</si>
  <si>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</si>
  <si>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</si>
  <si>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</si>
  <si>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</si>
  <si>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</si>
  <si>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</si>
  <si>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</si>
  <si>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</si>
  <si>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</si>
  <si>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</si>
  <si>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</si>
  <si>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</si>
  <si>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</si>
  <si>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</si>
  <si>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</si>
  <si>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</si>
  <si>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</si>
  <si>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</si>
  <si>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</si>
  <si>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</si>
  <si>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</si>
  <si>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</si>
  <si>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</si>
  <si>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</si>
  <si>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</si>
  <si>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</si>
  <si>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</si>
  <si>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</si>
  <si>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</si>
  <si>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</si>
  <si>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</si>
  <si>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</si>
  <si>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</si>
  <si>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</si>
  <si>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</si>
  <si>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</si>
  <si>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</si>
  <si>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</si>
  <si>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</si>
  <si>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</si>
  <si>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</si>
  <si>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</si>
  <si>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</si>
  <si>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</si>
  <si>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</si>
  <si>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</si>
  <si>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</si>
  <si>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</si>
  <si>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</si>
  <si>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</si>
  <si>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</si>
  <si>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</si>
  <si>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</si>
  <si>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</si>
  <si>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</si>
  <si>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</si>
  <si>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</si>
  <si>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</si>
  <si>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</si>
  <si>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</si>
  <si>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</si>
  <si>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</si>
  <si>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</si>
  <si>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</si>
  <si>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</si>
  <si>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</si>
  <si>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</si>
  <si>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</si>
  <si>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</si>
  <si>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</si>
  <si>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</si>
  <si>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</si>
  <si>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</si>
  <si>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</si>
  <si>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</si>
  <si>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</si>
  <si>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</si>
  <si>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</si>
  <si>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</si>
  <si>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</si>
  <si>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</si>
  <si>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</si>
  <si>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</si>
  <si>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</si>
  <si>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</si>
  <si>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</si>
  <si>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</si>
  <si>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</si>
  <si>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</si>
  <si>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</si>
  <si>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</si>
  <si>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</si>
  <si>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</si>
  <si>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</si>
  <si>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</si>
  <si>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</si>
  <si>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</si>
  <si>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</si>
  <si>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</si>
  <si>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</si>
  <si>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</si>
  <si>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</si>
  <si>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</si>
  <si>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</si>
  <si>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</si>
  <si>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</si>
  <si>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</si>
  <si>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</si>
  <si>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</si>
  <si>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</si>
  <si>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</si>
  <si>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</si>
  <si>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</si>
  <si>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</si>
  <si>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</si>
  <si>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</si>
  <si>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</si>
  <si>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</si>
  <si>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</si>
  <si>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</si>
  <si>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</si>
  <si>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</si>
  <si>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</si>
  <si>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</si>
  <si>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</si>
  <si>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</si>
  <si>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</si>
  <si>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</si>
  <si>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</si>
  <si>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</si>
  <si>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</si>
  <si>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</si>
  <si>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</si>
  <si>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</si>
  <si>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</si>
  <si>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</si>
  <si>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</si>
  <si>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</si>
  <si>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</si>
  <si>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</si>
  <si>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</si>
  <si>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</si>
  <si>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</si>
  <si>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</si>
  <si>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</si>
  <si>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</si>
  <si>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</si>
  <si>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</si>
  <si>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</si>
  <si>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</si>
  <si>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</si>
  <si>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</si>
  <si>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</si>
  <si>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</si>
  <si>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</si>
  <si>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</si>
  <si>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</si>
  <si>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</si>
  <si>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</si>
  <si>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</si>
  <si>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</si>
  <si>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</si>
  <si>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</si>
  <si>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</si>
  <si>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</si>
  <si>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</si>
  <si>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</si>
  <si>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</si>
  <si>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</si>
  <si>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</si>
  <si>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</si>
  <si>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</si>
  <si>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</si>
  <si>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</si>
  <si>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</si>
  <si>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</si>
  <si>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</si>
  <si>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</si>
  <si>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</si>
  <si>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</si>
  <si>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</si>
  <si>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</si>
  <si>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</si>
  <si>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</si>
  <si>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</si>
  <si>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</si>
  <si>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</si>
  <si>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</si>
  <si>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</si>
  <si>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</si>
  <si>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</si>
  <si>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</si>
  <si>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</si>
  <si>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</si>
  <si>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</si>
  <si>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</si>
  <si>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</si>
  <si>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</si>
  <si>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</si>
  <si>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</si>
  <si>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</si>
  <si>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</si>
  <si>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</si>
  <si>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</si>
  <si>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</si>
  <si>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</si>
  <si>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</si>
  <si>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</si>
  <si>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</si>
  <si>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</si>
  <si>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</si>
  <si>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</si>
  <si>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</si>
  <si>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</si>
  <si>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</si>
  <si>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</si>
  <si>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</si>
  <si>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</si>
  <si>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</si>
  <si>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</si>
  <si>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</si>
  <si>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</si>
  <si>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</si>
  <si>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</si>
  <si>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</si>
  <si>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</si>
  <si>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</si>
  <si>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</si>
  <si>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</si>
  <si>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</si>
  <si>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</si>
  <si>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</si>
  <si>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</si>
  <si>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</si>
  <si>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</si>
  <si>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</si>
  <si>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</si>
  <si>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</si>
  <si>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</si>
  <si>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</si>
  <si>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</si>
  <si>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</si>
  <si>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</si>
  <si>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</si>
  <si>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</si>
  <si>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</si>
  <si>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</si>
  <si>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</si>
  <si>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</si>
  <si>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</si>
  <si>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</si>
  <si>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</si>
  <si>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</si>
  <si>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</si>
  <si>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</si>
  <si>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</si>
  <si>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</si>
  <si>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</si>
  <si>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</si>
  <si>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</si>
  <si>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</si>
  <si>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</si>
  <si>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</si>
  <si>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</si>
  <si>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</si>
  <si>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</si>
  <si>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</si>
  <si>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</si>
  <si>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</si>
  <si>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</si>
  <si>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</si>
  <si>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</si>
  <si>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</si>
  <si>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</si>
  <si>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</si>
  <si>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</si>
  <si>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</si>
  <si>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</si>
  <si>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</si>
  <si>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</si>
  <si>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</si>
  <si>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</si>
  <si>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</si>
  <si>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</si>
  <si>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</si>
  <si>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</si>
  <si>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</si>
  <si>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</si>
  <si>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</si>
  <si>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</si>
  <si>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</si>
  <si>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</si>
  <si>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</si>
  <si>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</si>
  <si>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</si>
  <si>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</si>
  <si>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</si>
  <si>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</si>
  <si>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</si>
  <si>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</si>
  <si>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</si>
  <si>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</si>
  <si>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</si>
  <si>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</si>
  <si>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</si>
  <si>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</si>
  <si>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</si>
  <si>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</si>
  <si>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</si>
  <si>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</si>
  <si>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</si>
  <si>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</si>
  <si>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</si>
  <si>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</si>
  <si>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</si>
  <si>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</si>
  <si>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</si>
  <si>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</si>
  <si>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</si>
  <si>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</si>
  <si>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</si>
  <si>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</si>
  <si>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</si>
  <si>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</si>
  <si>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</si>
  <si>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</si>
  <si>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</si>
  <si>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</si>
  <si>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</si>
  <si>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</si>
  <si>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</si>
  <si>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</si>
  <si>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</si>
  <si>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</si>
  <si>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</si>
  <si>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</si>
  <si>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</si>
  <si>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</si>
  <si>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</si>
  <si>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</si>
  <si>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</si>
  <si>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</si>
  <si>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</si>
  <si>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</si>
  <si>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</si>
  <si>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</si>
  <si>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</si>
  <si>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</si>
  <si>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</si>
  <si>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</si>
  <si>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</si>
  <si>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</si>
  <si>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</si>
  <si>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</si>
  <si>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</si>
  <si>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</si>
  <si>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</si>
  <si>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</si>
  <si>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</si>
  <si>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</si>
  <si>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</si>
  <si>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</si>
  <si>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</si>
  <si>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</si>
  <si>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</si>
  <si>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</si>
  <si>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</si>
  <si>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</si>
  <si>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</si>
  <si>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</si>
  <si>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</si>
  <si>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</si>
  <si>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</si>
  <si>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</si>
  <si>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</si>
  <si>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</si>
  <si>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</si>
  <si>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</si>
  <si>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</si>
  <si>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</si>
  <si>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</si>
  <si>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</si>
  <si>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</si>
  <si>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</si>
  <si>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</si>
  <si>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</si>
  <si>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</si>
  <si>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</si>
  <si>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</si>
  <si>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</si>
  <si>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</si>
  <si>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</si>
  <si>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</si>
  <si>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</si>
  <si>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</si>
  <si>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</si>
  <si>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</si>
  <si>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</si>
  <si>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</si>
  <si>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</si>
  <si>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</si>
  <si>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</si>
  <si>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</si>
  <si>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</si>
  <si>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</si>
  <si>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</si>
  <si>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</si>
  <si>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</si>
  <si>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</si>
  <si>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</si>
  <si>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</si>
  <si>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</si>
  <si>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</si>
  <si>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</si>
  <si>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</si>
  <si>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</si>
  <si>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</si>
  <si>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</si>
  <si>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</si>
  <si>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</si>
  <si>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</si>
  <si>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</si>
  <si>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</si>
  <si>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</si>
  <si>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</si>
  <si>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</si>
  <si>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</si>
  <si>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</si>
  <si>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</si>
  <si>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</si>
  <si>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</si>
  <si>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</si>
  <si>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</si>
  <si>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</si>
  <si>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</si>
  <si>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</si>
  <si>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</si>
  <si>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</si>
  <si>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</si>
  <si>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</si>
  <si>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</si>
  <si>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</si>
  <si>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</si>
  <si>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</si>
  <si>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</si>
  <si>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</si>
  <si>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</si>
  <si>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</si>
  <si>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</si>
  <si>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</si>
  <si>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</si>
  <si>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</si>
  <si>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</si>
  <si>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</si>
  <si>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</si>
  <si>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</si>
  <si>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</si>
  <si>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</si>
  <si>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</si>
  <si>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</si>
  <si>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</si>
  <si>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</si>
  <si>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</si>
  <si>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</si>
  <si>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</si>
  <si>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</si>
  <si>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</si>
  <si>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</si>
  <si>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</si>
  <si>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</si>
  <si>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</si>
  <si>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</si>
  <si>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</si>
  <si>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</si>
  <si>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</si>
  <si>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</si>
  <si>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</si>
  <si>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</si>
  <si>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</si>
  <si>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</si>
  <si>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</si>
  <si>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</si>
  <si>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</si>
  <si>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</si>
  <si>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</si>
  <si>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</si>
  <si>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</si>
  <si>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</si>
  <si>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</si>
  <si>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</si>
  <si>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</si>
  <si>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</si>
  <si>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</si>
  <si>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</si>
  <si>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</si>
  <si>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</si>
  <si>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</si>
  <si>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</si>
  <si>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</si>
  <si>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</si>
  <si>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</si>
  <si>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</si>
  <si>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</si>
  <si>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</si>
  <si>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</si>
  <si>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</si>
  <si>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</si>
  <si>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</si>
  <si>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</si>
  <si>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</si>
  <si>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</si>
  <si>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</si>
  <si>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</si>
  <si>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</si>
  <si>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</si>
  <si>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</si>
  <si>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</si>
  <si>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</si>
  <si>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</si>
  <si>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</si>
  <si>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</si>
  <si>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</si>
  <si>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</si>
  <si>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</si>
  <si>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</si>
  <si>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</si>
  <si>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</si>
  <si>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</si>
  <si>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</si>
  <si>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</si>
  <si>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</si>
  <si>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</si>
  <si>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</si>
  <si>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</si>
  <si>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</si>
  <si>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</si>
  <si>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</si>
  <si>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</si>
  <si>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</si>
  <si>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</si>
  <si>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</si>
  <si>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</si>
  <si>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</si>
  <si>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</si>
  <si>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</si>
  <si>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</si>
  <si>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</si>
  <si>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</si>
  <si>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</si>
  <si>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</si>
  <si>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</si>
  <si>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</si>
  <si>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</si>
  <si>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</si>
  <si>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</si>
  <si>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</si>
  <si>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</si>
  <si>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</si>
  <si>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</si>
  <si>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</si>
  <si>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</si>
  <si>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</si>
  <si>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</si>
  <si>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</si>
  <si>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</si>
  <si>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</si>
  <si>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</si>
  <si>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</si>
  <si>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</si>
  <si>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</si>
  <si>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</si>
  <si>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</si>
  <si>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</si>
  <si>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</si>
  <si>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</si>
  <si>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</si>
  <si>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</si>
  <si>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</si>
  <si>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</si>
  <si>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</si>
  <si>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</si>
  <si>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</si>
  <si>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</si>
  <si>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</si>
  <si>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</si>
  <si>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</si>
  <si>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</si>
  <si>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</si>
  <si>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</si>
  <si>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</si>
  <si>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</si>
  <si>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</si>
  <si>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</si>
  <si>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</si>
  <si>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</si>
  <si>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</si>
  <si>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</si>
  <si>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</si>
  <si>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</si>
  <si>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</si>
  <si>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</si>
  <si>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</si>
  <si>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</si>
  <si>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</si>
  <si>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</si>
  <si>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</si>
  <si>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</si>
  <si>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</si>
  <si>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</si>
  <si>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</si>
  <si>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</si>
  <si>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</si>
  <si>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</si>
  <si>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</si>
  <si>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</si>
  <si>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</si>
  <si>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</si>
  <si>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</si>
  <si>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</si>
  <si>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</si>
  <si>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</si>
  <si>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</si>
  <si>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</si>
  <si>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</si>
  <si>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</si>
  <si>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</si>
  <si>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</si>
  <si>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</si>
  <si>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</si>
  <si>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</si>
  <si>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</si>
  <si>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</si>
  <si>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</si>
  <si>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</si>
  <si>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</si>
  <si>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</si>
  <si>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</si>
  <si>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</si>
  <si>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</si>
  <si>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</si>
  <si>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</si>
  <si>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</si>
  <si>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</si>
  <si>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</si>
  <si>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</si>
  <si>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</si>
  <si>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</si>
  <si>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</si>
  <si>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</si>
  <si>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</si>
  <si>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</si>
  <si>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</si>
  <si>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</si>
  <si>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</si>
  <si>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</si>
  <si>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</si>
  <si>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</si>
  <si>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</si>
  <si>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</si>
  <si>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</si>
  <si>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</si>
  <si>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</si>
  <si>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</si>
  <si>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</si>
  <si>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</si>
  <si>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</si>
  <si>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</si>
  <si>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</si>
  <si>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</si>
  <si>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</si>
  <si>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</si>
  <si>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</si>
  <si>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</si>
  <si>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</si>
  <si>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</si>
  <si>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</si>
  <si>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</si>
  <si>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</si>
  <si>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</si>
  <si>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</si>
  <si>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</si>
  <si>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</si>
  <si>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</si>
  <si>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</si>
  <si>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</si>
  <si>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</si>
  <si>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</si>
  <si>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</si>
  <si>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</si>
  <si>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</si>
  <si>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</si>
  <si>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</si>
  <si>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</si>
  <si>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</si>
  <si>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</si>
  <si>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</si>
  <si>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</si>
  <si>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</si>
  <si>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</si>
  <si>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</si>
  <si>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</si>
  <si>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</si>
  <si>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</si>
  <si>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</si>
  <si>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</si>
  <si>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</si>
  <si>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</si>
  <si>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</si>
  <si>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</si>
  <si>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</si>
  <si>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</si>
  <si>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</si>
  <si>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</si>
  <si>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</si>
  <si>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</si>
  <si>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</si>
  <si>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</si>
  <si>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</si>
  <si>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</si>
  <si>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</si>
  <si>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</si>
  <si>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</si>
  <si>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</si>
  <si>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</si>
  <si>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</si>
  <si>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</si>
  <si>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</si>
  <si>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</si>
  <si>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</si>
  <si>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</si>
  <si>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</si>
  <si>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</si>
  <si>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</si>
  <si>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</si>
  <si>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</si>
  <si>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</si>
  <si>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</si>
  <si>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</si>
  <si>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</si>
  <si>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</si>
  <si>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</si>
  <si>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</si>
  <si>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</si>
  <si>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</si>
  <si>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</si>
  <si>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</si>
  <si>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</si>
  <si>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</si>
  <si>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</si>
  <si>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</si>
  <si>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</si>
  <si>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</si>
  <si>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</si>
  <si>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</si>
  <si>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</si>
  <si>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</si>
  <si>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</si>
  <si>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</si>
  <si>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</si>
  <si>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</si>
  <si>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</si>
  <si>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</si>
  <si>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</si>
  <si>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</si>
  <si>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</si>
  <si>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</si>
  <si>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</si>
  <si>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</si>
  <si>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</si>
  <si>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</si>
  <si>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</si>
  <si>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</si>
  <si>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</si>
  <si>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</si>
  <si>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</si>
  <si>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</si>
  <si>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</si>
  <si>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</si>
  <si>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</si>
  <si>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</si>
  <si>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</si>
  <si>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</si>
  <si>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</si>
  <si>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</si>
  <si>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</si>
  <si>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</si>
  <si>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</si>
  <si>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</si>
  <si>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</si>
  <si>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</si>
  <si>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</si>
  <si>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</si>
  <si>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</si>
  <si>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</si>
  <si>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</si>
  <si>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</si>
  <si>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</si>
  <si>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</si>
  <si>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</si>
  <si>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</si>
  <si>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</si>
  <si>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</si>
  <si>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</si>
  <si>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</si>
  <si>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</si>
  <si>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</si>
  <si>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</si>
  <si>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</si>
  <si>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</si>
  <si>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</si>
  <si>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</si>
  <si>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</si>
  <si>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</si>
  <si>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</si>
  <si>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</si>
  <si>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</si>
  <si>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</si>
  <si>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</si>
  <si>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</si>
  <si>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</si>
  <si>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</si>
  <si>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</si>
  <si>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</si>
  <si>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</si>
  <si>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</si>
  <si>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</si>
  <si>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</si>
  <si>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</si>
  <si>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</si>
  <si>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</si>
  <si>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</si>
  <si>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</si>
  <si>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</si>
  <si>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</si>
  <si>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</si>
  <si>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</si>
  <si>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</si>
  <si>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</si>
  <si>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</si>
  <si>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</si>
  <si>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</si>
  <si>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</si>
  <si>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</si>
  <si>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</si>
  <si>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</si>
  <si>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</si>
  <si>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</si>
  <si>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</si>
  <si>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</si>
  <si>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</si>
  <si>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</si>
  <si>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</si>
  <si>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</si>
  <si>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</si>
  <si>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</si>
  <si>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</si>
  <si>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</si>
  <si>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</si>
  <si>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</si>
  <si>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</si>
  <si>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</si>
  <si>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</si>
  <si>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</si>
  <si>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</si>
  <si>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</si>
  <si>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</si>
  <si>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</si>
  <si>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</si>
  <si>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</si>
  <si>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</si>
  <si>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</si>
  <si>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</si>
  <si>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</si>
  <si>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</si>
  <si>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</si>
  <si>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</si>
  <si>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</si>
  <si>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</si>
  <si>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</si>
  <si>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</si>
  <si>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</si>
  <si>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</si>
  <si>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</si>
  <si>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</si>
  <si>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</si>
  <si>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</si>
  <si>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</si>
  <si>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</si>
  <si>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</si>
  <si>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</si>
  <si>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</si>
  <si>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</si>
  <si>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</si>
  <si>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</si>
  <si>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</si>
  <si>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</si>
  <si>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</si>
  <si>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</si>
  <si>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</si>
  <si>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</si>
  <si>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</si>
  <si>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</si>
  <si>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</si>
  <si>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</si>
  <si>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</si>
  <si>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</si>
  <si>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</si>
  <si>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</si>
  <si>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</si>
  <si>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</si>
  <si>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</si>
  <si>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</si>
  <si>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</si>
  <si>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</si>
  <si>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</si>
  <si>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</si>
  <si>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</si>
  <si>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</si>
  <si>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</si>
  <si>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</si>
  <si>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</si>
  <si>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</si>
  <si>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</si>
  <si>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</si>
  <si>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</si>
  <si>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</si>
  <si>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</si>
  <si>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</si>
  <si>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</si>
  <si>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</si>
  <si>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</si>
  <si>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</si>
  <si>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</si>
  <si>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</si>
  <si>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</si>
  <si>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</si>
  <si>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</si>
  <si>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</si>
  <si>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</si>
  <si>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</si>
  <si>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</si>
  <si>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</si>
  <si>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</si>
  <si>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</si>
  <si>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</si>
  <si>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</si>
  <si>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</si>
  <si>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</si>
  <si>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</si>
  <si>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</si>
  <si>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</si>
  <si>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</si>
  <si>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</si>
  <si>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</si>
  <si>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</si>
  <si>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</si>
  <si>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</si>
  <si>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</si>
  <si>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</si>
  <si>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</si>
  <si>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</si>
  <si>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</si>
  <si>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</si>
  <si>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</si>
  <si>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</si>
  <si>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</si>
  <si>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</si>
  <si>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</si>
  <si>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</si>
  <si>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</si>
  <si>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</si>
  <si>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</si>
  <si>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</si>
  <si>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</si>
  <si>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</si>
  <si>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</si>
  <si>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</si>
  <si>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</si>
  <si>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</si>
  <si>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</si>
  <si>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</si>
  <si>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</si>
  <si>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</si>
  <si>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</si>
  <si>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</si>
  <si>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</si>
  <si>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</si>
  <si>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</si>
  <si>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</si>
  <si>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</si>
  <si>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</si>
  <si>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</si>
  <si>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</si>
  <si>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</si>
  <si>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</si>
  <si>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</si>
  <si>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</si>
  <si>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</si>
  <si>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</si>
  <si>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</si>
  <si>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</si>
  <si>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</si>
  <si>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</si>
  <si>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</si>
  <si>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</si>
  <si>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</si>
  <si>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</si>
  <si>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</si>
  <si>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</si>
  <si>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</si>
  <si>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</si>
  <si>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</si>
  <si>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</si>
  <si>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</si>
  <si>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</si>
  <si>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</si>
  <si>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</si>
  <si>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</si>
  <si>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</si>
  <si>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</si>
  <si>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</si>
  <si>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</si>
  <si>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</si>
  <si>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</si>
  <si>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</si>
  <si>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</si>
  <si>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</si>
  <si>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</si>
  <si>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</si>
  <si>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</si>
  <si>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</si>
  <si>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</si>
  <si>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</si>
  <si>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</si>
  <si>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</si>
  <si>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</si>
  <si>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</si>
  <si>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</si>
  <si>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</si>
  <si>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</si>
  <si>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</si>
  <si>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</si>
  <si>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</si>
  <si>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</si>
  <si>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</si>
  <si>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</si>
  <si>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</si>
  <si>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</si>
  <si>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</si>
  <si>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</si>
  <si>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</si>
  <si>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</si>
  <si>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</si>
  <si>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</si>
  <si>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</si>
  <si>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</si>
  <si>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</si>
  <si>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</si>
  <si>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</si>
  <si>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</si>
  <si>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</si>
  <si>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</si>
  <si>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</si>
  <si>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</si>
  <si>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</si>
  <si>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</si>
  <si>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</si>
  <si>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</si>
  <si>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</si>
  <si>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</si>
  <si>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</si>
  <si>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</si>
  <si>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</si>
  <si>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</si>
  <si>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</si>
  <si>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</si>
  <si>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</si>
  <si>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</si>
  <si>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</si>
  <si>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</si>
  <si>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</si>
  <si>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</si>
  <si>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</si>
  <si>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</si>
  <si>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</si>
  <si>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</si>
  <si>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</si>
  <si>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</si>
  <si>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</si>
  <si>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</si>
  <si>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</si>
  <si>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</si>
  <si>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</si>
  <si>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</si>
  <si>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</si>
  <si>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</si>
  <si>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</si>
  <si>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</si>
  <si>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</si>
  <si>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</si>
  <si>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</si>
  <si>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</si>
  <si>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</si>
  <si>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</si>
  <si>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</si>
  <si>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</si>
  <si>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</si>
  <si>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</si>
  <si>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</si>
  <si>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</si>
  <si>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</si>
  <si>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</si>
  <si>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</si>
  <si>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</si>
  <si>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</si>
  <si>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</si>
  <si>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</si>
  <si>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</si>
  <si>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</si>
  <si>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</si>
  <si>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</si>
  <si>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</si>
  <si>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</si>
  <si>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</si>
  <si>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</si>
  <si>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</si>
  <si>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</si>
  <si>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</si>
  <si>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</si>
  <si>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</si>
  <si>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</si>
  <si>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</si>
  <si>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</si>
  <si>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</si>
  <si>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</si>
  <si>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</si>
  <si>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</si>
  <si>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</si>
  <si>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</si>
  <si>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</si>
  <si>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</si>
  <si>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</si>
  <si>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</si>
  <si>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</si>
  <si>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</si>
  <si>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</si>
  <si>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</si>
  <si>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</si>
  <si>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</si>
  <si>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</si>
  <si>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</si>
  <si>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</si>
  <si>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</si>
  <si>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</si>
  <si>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</si>
  <si>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</si>
  <si>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</si>
  <si>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</si>
  <si>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</si>
  <si>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</si>
  <si>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</si>
  <si>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</si>
  <si>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</si>
  <si>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</si>
  <si>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</si>
  <si>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</si>
  <si>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</si>
  <si>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</si>
  <si>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</si>
  <si>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</si>
  <si>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</si>
  <si>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</si>
  <si>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</si>
  <si>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</si>
  <si>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</si>
  <si>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</si>
  <si>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</si>
  <si>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</si>
  <si>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</si>
  <si>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</si>
  <si>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</si>
  <si>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</si>
  <si>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</si>
  <si>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</si>
  <si>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</si>
  <si>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</si>
  <si>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</si>
  <si>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</si>
  <si>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</si>
  <si>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</si>
  <si>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</si>
  <si>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</si>
  <si>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</si>
  <si>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</si>
  <si>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</si>
  <si>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</si>
  <si>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</si>
  <si>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</si>
  <si>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</si>
  <si>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</si>
  <si>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</si>
  <si>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</si>
  <si>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</si>
  <si>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</si>
  <si>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</si>
  <si>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</si>
  <si>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</si>
  <si>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</si>
  <si>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</si>
  <si>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</si>
  <si>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</si>
  <si>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</si>
  <si>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</si>
  <si>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</si>
  <si>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</si>
  <si>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</si>
  <si>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</si>
  <si>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</si>
  <si>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</si>
  <si>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</si>
  <si>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</si>
  <si>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</si>
  <si>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</si>
  <si>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</si>
  <si>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</si>
  <si>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</si>
  <si>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</si>
  <si>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</si>
  <si>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</si>
  <si>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</si>
  <si>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</si>
  <si>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</si>
  <si>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</si>
  <si>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</si>
  <si>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</si>
  <si>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</si>
  <si>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</si>
  <si>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</si>
  <si>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</si>
  <si>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</si>
  <si>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</si>
  <si>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</si>
  <si>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</si>
  <si>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</si>
  <si>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</si>
  <si>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</si>
  <si>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</si>
  <si>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</si>
  <si>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</si>
  <si>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</si>
  <si>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</si>
  <si>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</si>
  <si>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</si>
  <si>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</si>
  <si>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</si>
  <si>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</si>
  <si>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</si>
  <si>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</si>
  <si>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</si>
  <si>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</si>
  <si>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</si>
  <si>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</si>
  <si>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</si>
  <si>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</si>
  <si>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</si>
  <si>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</si>
  <si>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</si>
  <si>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</si>
  <si>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</si>
  <si>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</si>
  <si>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</si>
  <si>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</si>
  <si>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</si>
  <si>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</si>
  <si>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</si>
  <si>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</si>
  <si>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</si>
  <si>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</si>
  <si>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</si>
  <si>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</si>
  <si>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</si>
  <si>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</si>
  <si>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</si>
  <si>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</si>
  <si>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</si>
  <si>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</si>
  <si>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</si>
  <si>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</si>
  <si>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</si>
  <si>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</si>
  <si>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</si>
  <si>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</si>
  <si>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</si>
  <si>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</si>
  <si>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</si>
  <si>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</si>
  <si>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</si>
  <si>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</si>
  <si>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</si>
  <si>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</si>
  <si>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</si>
  <si>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</si>
  <si>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</si>
  <si>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</si>
  <si>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</si>
  <si>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</si>
  <si>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</si>
  <si>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</si>
  <si>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</si>
  <si>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</si>
  <si>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</si>
  <si>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</si>
  <si>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</si>
  <si>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</si>
  <si>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</si>
  <si>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</si>
  <si>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</si>
  <si>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</si>
  <si>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</si>
  <si>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</si>
  <si>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</si>
  <si>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</si>
  <si>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</si>
  <si>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</si>
  <si>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</si>
  <si>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</si>
  <si>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</si>
  <si>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</si>
  <si>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</si>
  <si>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</si>
  <si>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</si>
  <si>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</si>
  <si>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</si>
  <si>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</si>
  <si>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</si>
  <si>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</si>
  <si>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</si>
  <si>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</si>
  <si>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</si>
  <si>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</si>
  <si>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</si>
  <si>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</si>
  <si>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</si>
  <si>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</si>
  <si>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</si>
  <si>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</si>
  <si>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</si>
  <si>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</si>
  <si>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</si>
  <si>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</si>
  <si>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</si>
  <si>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</si>
  <si>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</si>
  <si>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</si>
  <si>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</si>
  <si>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</si>
  <si>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</si>
  <si>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</si>
  <si>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</si>
  <si>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</si>
  <si>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</si>
  <si>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</si>
  <si>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</si>
  <si>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</si>
  <si>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</si>
  <si>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</si>
  <si>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</si>
  <si>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</si>
  <si>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</si>
  <si>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</si>
  <si>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</si>
  <si>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</si>
  <si>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</si>
  <si>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</si>
  <si>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</si>
  <si>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</si>
  <si>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</si>
  <si>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</si>
  <si>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</si>
  <si>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</si>
  <si>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</si>
  <si>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</si>
  <si>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</si>
  <si>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</si>
  <si>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</si>
  <si>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</si>
  <si>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</si>
  <si>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</si>
  <si>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</si>
  <si>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</si>
  <si>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</si>
  <si>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</si>
  <si>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</si>
  <si>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</si>
  <si>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</si>
  <si>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</si>
  <si>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</si>
  <si>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</si>
  <si>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</si>
  <si>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</si>
  <si>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</si>
  <si>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</si>
  <si>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</si>
  <si>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</si>
  <si>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</si>
  <si>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</si>
  <si>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</si>
  <si>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</si>
  <si>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</si>
  <si>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</si>
  <si>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</si>
  <si>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</si>
  <si>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</si>
  <si>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</si>
  <si>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</si>
  <si>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</si>
  <si>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</si>
  <si>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</si>
  <si>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</si>
  <si>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</si>
  <si>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</si>
  <si>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</si>
  <si>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</si>
  <si>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</si>
  <si>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</si>
  <si>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</si>
  <si>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</si>
  <si>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</si>
  <si>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</si>
  <si>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</si>
  <si>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</si>
  <si>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</si>
  <si>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</si>
  <si>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</si>
  <si>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</si>
  <si>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</si>
  <si>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</si>
  <si>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</si>
  <si>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</si>
  <si>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</si>
  <si>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</si>
  <si>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</si>
  <si>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</si>
  <si>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</si>
  <si>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</si>
  <si>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</si>
  <si>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</si>
  <si>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</si>
  <si>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</si>
  <si>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</si>
  <si>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</si>
  <si>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</si>
  <si>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</si>
  <si>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</si>
  <si>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</si>
  <si>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</si>
  <si>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</si>
  <si>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</si>
  <si>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</si>
  <si>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</si>
  <si>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</si>
  <si>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</si>
  <si>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</si>
  <si>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</si>
  <si>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</si>
  <si>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</si>
  <si>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</si>
  <si>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</si>
  <si>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</si>
  <si>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</si>
  <si>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</si>
  <si>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</si>
  <si>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</si>
  <si>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</si>
  <si>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</si>
  <si>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</si>
  <si>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</si>
  <si>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</si>
  <si>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</si>
  <si>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</si>
  <si>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</si>
  <si>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</si>
  <si>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</si>
  <si>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</si>
  <si>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</si>
  <si>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</si>
  <si>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</si>
  <si>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</si>
  <si>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</si>
  <si>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</si>
  <si>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</si>
  <si>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</si>
  <si>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</si>
  <si>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</si>
  <si>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</si>
  <si>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</si>
  <si>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</si>
  <si>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</si>
  <si>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</si>
  <si>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</si>
  <si>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</si>
  <si>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</si>
  <si>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</si>
  <si>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</si>
  <si>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</si>
  <si>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</si>
  <si>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</si>
  <si>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</si>
  <si>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</si>
  <si>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</si>
  <si>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</si>
  <si>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</si>
  <si>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</si>
  <si>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</si>
  <si>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</si>
  <si>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</si>
  <si>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</si>
  <si>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</si>
  <si>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</si>
  <si>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</si>
  <si>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</si>
  <si>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</si>
  <si>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</si>
  <si>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</si>
  <si>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</si>
  <si>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</si>
  <si>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</si>
  <si>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</si>
  <si>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</si>
  <si>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</si>
  <si>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</si>
  <si>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</si>
  <si>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</si>
  <si>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</si>
  <si>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</si>
  <si>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</si>
  <si>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</si>
  <si>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</si>
  <si>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</si>
  <si>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</si>
  <si>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</si>
  <si>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</si>
  <si>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</si>
  <si>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</si>
  <si>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</si>
  <si>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</si>
  <si>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</si>
  <si>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</si>
  <si>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</si>
  <si>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</si>
  <si>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</si>
  <si>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</si>
  <si>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</si>
  <si>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</si>
  <si>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</si>
  <si>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</si>
  <si>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</si>
  <si>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</si>
  <si>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</si>
  <si>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</si>
  <si>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</si>
  <si>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</si>
  <si>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</si>
  <si>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</si>
  <si>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</si>
  <si>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</si>
  <si>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</si>
  <si>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</si>
  <si>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</si>
  <si>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</si>
  <si>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</si>
  <si>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</si>
  <si>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</si>
  <si>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</si>
  <si>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</si>
  <si>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</si>
  <si>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</si>
  <si>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</si>
  <si>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</si>
  <si>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</si>
  <si>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</si>
  <si>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</si>
  <si>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</si>
  <si>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</si>
  <si>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</si>
  <si>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</si>
  <si>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</si>
  <si>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</si>
  <si>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</si>
  <si>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</si>
  <si>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</si>
  <si>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</si>
  <si>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</si>
  <si>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</si>
  <si>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</si>
  <si>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</si>
  <si>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</si>
  <si>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</si>
  <si>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</si>
  <si>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</si>
  <si>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</si>
  <si>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</si>
  <si>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</si>
  <si>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</si>
  <si>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</si>
  <si>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</si>
  <si>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</si>
  <si>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</si>
  <si>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</si>
  <si>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</si>
  <si>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</si>
  <si>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</si>
  <si>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</si>
  <si>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</si>
  <si>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</si>
  <si>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</si>
  <si>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</si>
  <si>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</si>
  <si>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</si>
  <si>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</si>
  <si>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</si>
  <si>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</si>
  <si>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</si>
  <si>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</si>
  <si>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</si>
  <si>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</si>
  <si>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</si>
  <si>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</si>
  <si>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</si>
  <si>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</si>
  <si>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</si>
  <si>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</si>
  <si>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</si>
  <si>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</si>
  <si>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</si>
  <si>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</si>
  <si>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</si>
  <si>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</si>
  <si>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</si>
  <si>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</si>
  <si>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</si>
  <si>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</si>
  <si>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</si>
  <si>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</si>
  <si>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</si>
  <si>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</si>
  <si>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</si>
  <si>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</si>
  <si>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</si>
  <si>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</si>
  <si>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</si>
  <si>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</si>
  <si>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</si>
  <si>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</si>
  <si>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</si>
  <si>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</si>
  <si>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</si>
  <si>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</si>
  <si>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</si>
  <si>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</si>
  <si>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</si>
  <si>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</si>
  <si>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</si>
  <si>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</si>
  <si>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</si>
  <si>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</si>
  <si>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</si>
  <si>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</si>
  <si>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</si>
  <si>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</si>
  <si>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</si>
  <si>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</si>
  <si>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</si>
  <si>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</si>
  <si>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</si>
  <si>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</si>
  <si>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</si>
  <si>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</si>
  <si>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</si>
  <si>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</si>
  <si>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</si>
  <si>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</si>
  <si>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</si>
  <si>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</si>
  <si>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</si>
  <si>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</si>
  <si>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</si>
  <si>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</si>
  <si>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</si>
  <si>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</si>
  <si>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</si>
  <si>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</si>
  <si>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</si>
  <si>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</si>
  <si>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</si>
  <si>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</si>
  <si>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</si>
  <si>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</si>
  <si>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</si>
  <si>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</si>
  <si>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</si>
  <si>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</si>
  <si>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</si>
  <si>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</si>
  <si>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</si>
  <si>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</si>
  <si>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</si>
  <si>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</si>
  <si>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</si>
  <si>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</si>
  <si>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</si>
  <si>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</si>
  <si>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</si>
  <si>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</si>
  <si>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</si>
  <si>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</si>
  <si>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</si>
  <si>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</si>
  <si>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</si>
  <si>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</si>
  <si>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</si>
  <si>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</si>
  <si>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</si>
  <si>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</si>
  <si>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</si>
  <si>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</si>
  <si>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</si>
  <si>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</si>
  <si>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</si>
  <si>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</si>
  <si>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</si>
  <si>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</si>
  <si>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</si>
  <si>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</si>
  <si>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</si>
  <si>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</si>
  <si>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</si>
  <si>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</si>
  <si>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</si>
  <si>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</si>
  <si>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</si>
  <si>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</si>
  <si>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</si>
  <si>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</si>
  <si>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</si>
  <si>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</si>
  <si>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</si>
  <si>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</si>
  <si>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</si>
  <si>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</si>
  <si>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</si>
  <si>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</si>
  <si>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</si>
  <si>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</si>
  <si>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</si>
  <si>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</si>
  <si>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</si>
  <si>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</si>
  <si>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</si>
  <si>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</si>
  <si>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</si>
  <si>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</si>
  <si>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</si>
  <si>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</si>
  <si>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</si>
  <si>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</si>
  <si>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</si>
  <si>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</si>
  <si>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</si>
  <si>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</si>
  <si>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</si>
  <si>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</si>
  <si>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</si>
  <si>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</si>
  <si>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</si>
  <si>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</si>
  <si>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</si>
  <si>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</si>
  <si>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</si>
  <si>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</si>
  <si>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</si>
  <si>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</si>
  <si>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</si>
  <si>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</si>
  <si>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</si>
  <si>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</si>
  <si>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</si>
  <si>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</si>
  <si>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</si>
  <si>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</si>
  <si>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</si>
  <si>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</si>
  <si>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</si>
  <si>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</si>
  <si>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</si>
  <si>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</si>
  <si>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</si>
  <si>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</si>
  <si>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</si>
  <si>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</si>
  <si>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</si>
  <si>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</si>
  <si>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</si>
  <si>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</si>
  <si>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</si>
  <si>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</si>
  <si>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</si>
  <si>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</si>
  <si>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</si>
  <si>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</si>
  <si>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</si>
  <si>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</si>
  <si>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</si>
  <si>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</si>
  <si>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</si>
  <si>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</si>
  <si>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</si>
  <si>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</si>
  <si>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</si>
  <si>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</si>
  <si>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</si>
  <si>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</si>
  <si>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</si>
  <si>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</si>
  <si>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</si>
  <si>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</si>
  <si>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</si>
  <si>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</si>
  <si>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</si>
  <si>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</si>
  <si>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</si>
  <si>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</si>
  <si>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</si>
  <si>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</si>
  <si>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</si>
  <si>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</si>
  <si>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</si>
  <si>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</si>
  <si>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</si>
  <si>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</si>
  <si>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</si>
  <si>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</si>
  <si>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</si>
  <si>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</si>
  <si>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</si>
  <si>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</si>
  <si>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</si>
  <si>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</si>
  <si>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</si>
  <si>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</si>
  <si>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</si>
  <si>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</si>
  <si>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</si>
  <si>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</si>
  <si>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</si>
  <si>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</si>
  <si>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</si>
  <si>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</si>
  <si>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</si>
  <si>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</si>
  <si>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</si>
  <si>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</si>
  <si>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</si>
  <si>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</si>
  <si>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</si>
  <si>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</si>
  <si>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</si>
  <si>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</si>
  <si>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</si>
  <si>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</si>
  <si>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</si>
  <si>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</si>
  <si>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</si>
  <si>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</si>
  <si>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</si>
  <si>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</si>
  <si>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</si>
  <si>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</si>
  <si>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</si>
  <si>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</si>
  <si>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</si>
  <si>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</si>
  <si>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</si>
  <si>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</si>
  <si>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</si>
  <si>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</si>
  <si>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</si>
  <si>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</si>
  <si>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</si>
  <si>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</si>
  <si>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</si>
  <si>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</si>
  <si>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</si>
  <si>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</si>
  <si>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</si>
  <si>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</si>
  <si>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</si>
  <si>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</si>
  <si>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</si>
  <si>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</si>
  <si>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</si>
  <si>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</si>
  <si>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</si>
  <si>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</si>
  <si>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</si>
  <si>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</si>
  <si>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</si>
  <si>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</si>
  <si>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</si>
  <si>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</si>
  <si>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</si>
  <si>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</si>
  <si>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</si>
  <si>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</si>
  <si>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</si>
  <si>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</si>
  <si>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</si>
  <si>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</si>
  <si>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</si>
  <si>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</si>
  <si>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</si>
  <si>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</si>
  <si>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</si>
  <si>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</si>
  <si>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</si>
  <si>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</si>
  <si>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</si>
  <si>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</si>
  <si>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</si>
  <si>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</si>
  <si>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</si>
  <si>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</si>
  <si>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</si>
  <si>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</si>
  <si>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</si>
  <si>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</si>
  <si>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</si>
  <si>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</si>
  <si>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</si>
  <si>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</si>
  <si>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</si>
  <si>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</si>
  <si>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</si>
  <si>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</si>
  <si>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</si>
  <si>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</si>
  <si>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</si>
  <si>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</si>
  <si>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</si>
  <si>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</si>
  <si>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</si>
  <si>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</si>
  <si>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</si>
  <si>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</si>
  <si>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</si>
  <si>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</si>
  <si>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</si>
  <si>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</si>
  <si>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</si>
  <si>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</si>
  <si>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</si>
  <si>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</si>
  <si>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</si>
  <si>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</si>
  <si>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</si>
  <si>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</si>
  <si>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</si>
  <si>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</si>
  <si>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</si>
  <si>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</si>
  <si>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</si>
  <si>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</si>
  <si>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</si>
  <si>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</si>
  <si>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</si>
  <si>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</si>
  <si>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</si>
  <si>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</si>
  <si>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</si>
  <si>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</si>
  <si>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</si>
  <si>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</si>
  <si>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</si>
  <si>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</si>
  <si>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</si>
  <si>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</si>
  <si>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</si>
  <si>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</si>
  <si>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</si>
  <si>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</si>
  <si>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</si>
  <si>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</si>
  <si>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</si>
  <si>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</si>
  <si>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</si>
  <si>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</si>
  <si>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</si>
  <si>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</si>
  <si>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</si>
  <si>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</si>
  <si>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</si>
  <si>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</si>
  <si>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</si>
  <si>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</si>
  <si>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</si>
  <si>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</si>
  <si>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</si>
  <si>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</si>
  <si>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</si>
  <si>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</si>
  <si>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</si>
  <si>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</si>
  <si>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</si>
  <si>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</si>
  <si>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</si>
  <si>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</si>
  <si>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</si>
  <si>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</si>
  <si>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</si>
  <si>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</si>
  <si>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</si>
  <si>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</si>
  <si>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</si>
  <si>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</si>
  <si>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</si>
  <si>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</si>
  <si>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</si>
  <si>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</si>
  <si>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</si>
  <si>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</si>
  <si>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</si>
  <si>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</si>
  <si>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</si>
  <si>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</si>
  <si>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</si>
  <si>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</si>
  <si>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</si>
  <si>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</si>
  <si>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</si>
  <si>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</si>
  <si>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</si>
  <si>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</si>
  <si>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</si>
  <si>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</si>
  <si>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</si>
  <si>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</si>
  <si>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</si>
  <si>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</si>
  <si>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</si>
  <si>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</si>
  <si>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</si>
  <si>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</si>
  <si>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</si>
  <si>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</si>
  <si>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</si>
  <si>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</si>
  <si>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</si>
  <si>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</si>
  <si>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</si>
  <si>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</si>
  <si>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</si>
  <si>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</si>
  <si>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</si>
  <si>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</si>
  <si>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</si>
  <si>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</si>
  <si>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</si>
  <si>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</si>
  <si>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</si>
  <si>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</si>
  <si>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</si>
  <si>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</si>
  <si>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</si>
  <si>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</si>
  <si>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</si>
  <si>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</si>
  <si>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</si>
  <si>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</si>
  <si>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</si>
  <si>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</si>
  <si>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</si>
  <si>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</si>
  <si>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</si>
  <si>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</si>
  <si>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</si>
  <si>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</si>
  <si>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</si>
  <si>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</si>
  <si>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</si>
  <si>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</si>
  <si>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</si>
  <si>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</si>
  <si>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</si>
  <si>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</si>
  <si>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</si>
  <si>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</si>
  <si>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</si>
  <si>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</si>
  <si>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</si>
  <si>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</si>
  <si>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</si>
  <si>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</si>
  <si>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</si>
  <si>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</si>
  <si>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</si>
  <si>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</si>
  <si>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</si>
  <si>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</si>
  <si>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</si>
  <si>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</si>
  <si>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</si>
  <si>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</si>
  <si>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</si>
  <si>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</si>
  <si>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</si>
  <si>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</si>
  <si>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</si>
  <si>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</si>
  <si>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</si>
  <si>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</si>
  <si>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</si>
  <si>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</si>
  <si>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</si>
  <si>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</si>
  <si>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</si>
  <si>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</si>
  <si>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</si>
  <si>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</si>
  <si>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</si>
  <si>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</si>
  <si>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</si>
  <si>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</si>
  <si>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</si>
  <si>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</si>
  <si>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</si>
  <si>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</si>
  <si>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</si>
  <si>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</si>
  <si>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</si>
  <si>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</si>
  <si>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</si>
  <si>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</si>
  <si>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</si>
  <si>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</si>
  <si>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</si>
  <si>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</si>
  <si>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</si>
  <si>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</si>
  <si>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</si>
  <si>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</si>
  <si>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</si>
  <si>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</si>
  <si>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</si>
  <si>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</si>
  <si>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</si>
  <si>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</si>
  <si>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</si>
  <si>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</si>
  <si>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</si>
  <si>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</si>
  <si>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</si>
  <si>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</si>
  <si>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</si>
  <si>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</si>
  <si>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</si>
  <si>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</si>
  <si>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</si>
  <si>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</si>
  <si>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</si>
  <si>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</si>
  <si>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</si>
  <si>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</si>
  <si>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</si>
  <si>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</si>
  <si>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</si>
  <si>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</si>
  <si>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</si>
  <si>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</si>
  <si>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</si>
  <si>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</si>
  <si>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</si>
  <si>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</si>
  <si>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</si>
  <si>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</si>
  <si>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</si>
  <si>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</si>
  <si>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</si>
  <si>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</si>
  <si>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</si>
  <si>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</si>
  <si>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</si>
  <si>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</si>
  <si>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</si>
  <si>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</si>
  <si>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</si>
  <si>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</si>
  <si>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</si>
  <si>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</si>
  <si>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</si>
  <si>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</si>
  <si>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</si>
  <si>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</si>
  <si>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</si>
  <si>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</si>
  <si>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</si>
  <si>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</si>
  <si>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</si>
  <si>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</si>
  <si>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</si>
  <si>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</si>
  <si>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</si>
  <si>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</si>
  <si>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</si>
  <si>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</si>
  <si>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</si>
  <si>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</si>
  <si>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</si>
  <si>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</si>
  <si>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</si>
  <si>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</si>
  <si>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</si>
  <si>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</si>
  <si>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</si>
  <si>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</si>
  <si>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</si>
  <si>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</si>
  <si>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</si>
  <si>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</si>
  <si>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</si>
  <si>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</si>
  <si>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</si>
  <si>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</si>
  <si>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</si>
  <si>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</si>
  <si>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</si>
  <si>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</si>
  <si>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</si>
  <si>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</si>
  <si>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</si>
  <si>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</si>
  <si>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</si>
  <si>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</si>
  <si>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</si>
  <si>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</si>
  <si>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</si>
  <si>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</si>
  <si>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</si>
  <si>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</si>
  <si>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</si>
  <si>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</si>
  <si>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</si>
  <si>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</si>
  <si>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</si>
  <si>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</si>
  <si>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</si>
  <si>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</si>
  <si>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</si>
  <si>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</si>
  <si>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</si>
  <si>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</si>
  <si>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</si>
  <si>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</si>
  <si>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</si>
  <si>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</si>
  <si>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</si>
  <si>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</si>
  <si>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</si>
  <si>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</si>
  <si>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</si>
  <si>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</si>
  <si>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</si>
  <si>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</si>
  <si>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</si>
  <si>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</si>
  <si>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</si>
  <si>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</si>
  <si>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</si>
  <si>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</si>
  <si>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</si>
  <si>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</si>
  <si>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</si>
  <si>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</si>
  <si>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</si>
  <si>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</si>
  <si>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</si>
  <si>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</si>
  <si>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</si>
  <si>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</si>
  <si>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</si>
  <si>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</si>
  <si>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</si>
  <si>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</si>
  <si>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</si>
  <si>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</si>
  <si>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</si>
  <si>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</si>
  <si>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</si>
  <si>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</si>
  <si>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</si>
  <si>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</si>
  <si>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</si>
  <si>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</si>
  <si>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</si>
  <si>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</si>
  <si>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</si>
  <si>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</si>
  <si>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</si>
  <si>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</si>
  <si>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</si>
  <si>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</si>
  <si>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</si>
  <si>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</si>
  <si>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</si>
  <si>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</si>
  <si>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</si>
  <si>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</si>
  <si>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</si>
  <si>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</si>
  <si>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</si>
  <si>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</si>
  <si>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</si>
  <si>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</si>
  <si>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</si>
  <si>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</si>
  <si>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</si>
  <si>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</si>
  <si>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</si>
  <si>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</si>
  <si>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</si>
  <si>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</si>
  <si>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</si>
  <si>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</si>
  <si>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</si>
  <si>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</si>
  <si>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</si>
  <si>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</si>
  <si>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</si>
  <si>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</si>
  <si>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</si>
  <si>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</si>
  <si>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</si>
  <si>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</si>
  <si>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</si>
  <si>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</si>
  <si>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</si>
  <si>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</si>
  <si>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</si>
  <si>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</si>
  <si>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</si>
  <si>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</si>
  <si>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</si>
  <si>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</si>
  <si>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</si>
  <si>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</si>
  <si>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</si>
  <si>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</si>
  <si>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</si>
  <si>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</si>
  <si>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</si>
  <si>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</si>
  <si>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</si>
  <si>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</si>
  <si>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</si>
  <si>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</si>
  <si>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</si>
  <si>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</si>
  <si>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</si>
  <si>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</si>
  <si>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</si>
  <si>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</si>
  <si>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</si>
  <si>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</si>
  <si>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</si>
  <si>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</si>
  <si>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</si>
  <si>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</si>
  <si>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</si>
  <si>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</si>
  <si>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</si>
  <si>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</si>
  <si>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</si>
  <si>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</si>
  <si>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</si>
  <si>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</si>
  <si>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</si>
  <si>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</si>
  <si>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</si>
  <si>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</si>
  <si>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</si>
  <si>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</si>
  <si>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</si>
  <si>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</si>
  <si>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</si>
  <si>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</si>
  <si>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</si>
  <si>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</si>
  <si>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</si>
  <si>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</si>
  <si>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</si>
  <si>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</si>
  <si>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</si>
  <si>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</si>
  <si>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</si>
  <si>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</si>
  <si>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</si>
  <si>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</si>
  <si>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</si>
  <si>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</si>
  <si>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</si>
  <si>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</si>
  <si>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</si>
  <si>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</si>
  <si>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</si>
  <si>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</si>
  <si>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</si>
  <si>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</si>
  <si>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</si>
  <si>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</si>
  <si>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</si>
  <si>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</si>
  <si>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</si>
  <si>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</si>
  <si>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</si>
  <si>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</si>
  <si>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</si>
  <si>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</si>
  <si>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</si>
  <si>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</si>
  <si>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</si>
  <si>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</si>
  <si>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</si>
  <si>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</si>
  <si>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</si>
  <si>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</si>
  <si>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</si>
  <si>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</si>
  <si>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</si>
  <si>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</si>
  <si>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</si>
  <si>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</si>
  <si>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</si>
  <si>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</si>
  <si>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</si>
  <si>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</si>
  <si>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</si>
  <si>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</si>
  <si>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</si>
  <si>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</si>
  <si>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</si>
  <si>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</si>
  <si>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</si>
  <si>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</si>
  <si>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</si>
  <si>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</si>
  <si>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</si>
  <si>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</si>
  <si>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</si>
  <si>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</si>
  <si>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</si>
  <si>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</si>
  <si>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</si>
  <si>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</si>
  <si>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</si>
  <si>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</si>
  <si>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</si>
  <si>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</si>
  <si>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</si>
  <si>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</si>
  <si>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</si>
  <si>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</si>
  <si>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</si>
  <si>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</si>
  <si>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</si>
  <si>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</si>
  <si>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</si>
  <si>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</si>
  <si>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</si>
  <si>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</si>
  <si>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</si>
  <si>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</si>
  <si>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</si>
  <si>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</si>
  <si>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</si>
  <si>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</si>
  <si>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</si>
  <si>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</si>
  <si>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</si>
  <si>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</si>
  <si>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</si>
  <si>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</si>
  <si>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</si>
  <si>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</si>
  <si>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</si>
  <si>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</si>
  <si>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</si>
  <si>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</si>
  <si>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</si>
  <si>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</si>
  <si>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</si>
  <si>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</si>
  <si>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</si>
  <si>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</si>
  <si>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</si>
  <si>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</si>
  <si>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</si>
  <si>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</si>
  <si>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</si>
  <si>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</si>
  <si>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</si>
  <si>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</si>
  <si>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</si>
  <si>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</si>
  <si>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</si>
  <si>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</si>
  <si>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</si>
  <si>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</si>
  <si>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</si>
  <si>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</si>
  <si>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</si>
  <si>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</si>
  <si>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</si>
  <si>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</si>
  <si>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</si>
  <si>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</si>
  <si>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</si>
  <si>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</si>
  <si>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</si>
  <si>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</si>
  <si>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</si>
  <si>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</si>
  <si>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</si>
  <si>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</si>
  <si>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</si>
  <si>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</si>
  <si>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</si>
  <si>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</si>
  <si>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</si>
  <si>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</si>
  <si>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</si>
  <si>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</si>
  <si>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</si>
  <si>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</si>
  <si>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</si>
  <si>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</si>
  <si>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</si>
  <si>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</si>
  <si>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</si>
  <si>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</si>
  <si>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</si>
  <si>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</si>
  <si>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</si>
  <si>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</si>
  <si>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</si>
  <si>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</si>
  <si>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</si>
  <si>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</si>
  <si>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</si>
  <si>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</si>
  <si>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</si>
  <si>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</si>
  <si>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</si>
  <si>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</si>
  <si>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</si>
  <si>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</si>
  <si>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</si>
  <si>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</si>
  <si>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</si>
  <si>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</si>
  <si>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</si>
  <si>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</si>
  <si>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</si>
  <si>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</si>
  <si>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</si>
  <si>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</si>
  <si>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</si>
  <si>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</si>
  <si>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</si>
  <si>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</si>
  <si>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</si>
  <si>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</si>
  <si>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</si>
  <si>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</si>
  <si>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</si>
  <si>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</si>
  <si>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</si>
  <si>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</si>
  <si>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</si>
  <si>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</si>
  <si>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</si>
  <si>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</si>
  <si>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</si>
  <si>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</si>
  <si>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</si>
  <si>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</si>
  <si>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</si>
  <si>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</si>
  <si>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</si>
  <si>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</si>
  <si>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</si>
  <si>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</si>
  <si>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</si>
  <si>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</si>
  <si>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</si>
  <si>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</si>
  <si>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</si>
  <si>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</si>
  <si>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</si>
  <si>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</si>
  <si>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</si>
  <si>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</si>
  <si>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</si>
  <si>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</si>
  <si>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</si>
  <si>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</si>
  <si>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</si>
  <si>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</si>
  <si>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</si>
  <si>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</si>
  <si>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</si>
  <si>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</si>
  <si>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</si>
  <si>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</si>
  <si>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</si>
  <si>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</si>
  <si>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</si>
  <si>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</si>
  <si>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</si>
  <si>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</si>
  <si>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</si>
  <si>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</si>
  <si>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</si>
  <si>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</si>
  <si>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</si>
  <si>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</si>
  <si>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</si>
  <si>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</si>
  <si>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</si>
  <si>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</si>
  <si>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</si>
  <si>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</si>
  <si>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</si>
  <si>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</si>
  <si>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</si>
  <si>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</si>
  <si>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</si>
  <si>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</si>
  <si>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</si>
  <si>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</si>
  <si>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</si>
  <si>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</si>
  <si>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</si>
  <si>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</si>
  <si>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</si>
  <si>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</si>
  <si>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</si>
  <si>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</si>
  <si>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</si>
  <si>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</si>
  <si>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</si>
  <si>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</si>
  <si>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</si>
  <si>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</si>
  <si>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</si>
  <si>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</si>
  <si>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</si>
  <si>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</si>
  <si>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</si>
  <si>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</si>
  <si>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</si>
  <si>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</si>
  <si>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</si>
  <si>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</si>
  <si>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</si>
  <si>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</si>
  <si>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</si>
  <si>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</si>
  <si>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</si>
  <si>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</si>
  <si>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</si>
  <si>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</si>
  <si>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</si>
  <si>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</si>
  <si>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</si>
  <si>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</si>
  <si>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</si>
  <si>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</si>
  <si>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</si>
  <si>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</si>
  <si>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</si>
  <si>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</si>
  <si>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</si>
  <si>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</si>
  <si>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</si>
  <si>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</si>
  <si>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</si>
  <si>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</si>
  <si>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</si>
  <si>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</si>
  <si>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</si>
  <si>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</si>
  <si>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</si>
  <si>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</si>
  <si>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</si>
  <si>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</si>
  <si>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</si>
  <si>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</si>
  <si>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</si>
  <si>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</si>
  <si>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</si>
  <si>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</si>
  <si>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</si>
  <si>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</si>
  <si>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</si>
  <si>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</si>
  <si>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</si>
  <si>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</si>
  <si>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</si>
  <si>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</si>
  <si>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</si>
  <si>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</si>
  <si>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</si>
  <si>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</si>
  <si>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</si>
  <si>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</si>
  <si>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</si>
  <si>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</si>
  <si>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</si>
  <si>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</si>
  <si>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</si>
  <si>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</si>
  <si>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</si>
  <si>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</si>
  <si>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</si>
  <si>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</si>
  <si>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</si>
  <si>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</si>
  <si>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</si>
  <si>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</si>
  <si>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</si>
  <si>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</si>
  <si>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</si>
  <si>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</si>
  <si>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</si>
  <si>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</si>
  <si>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</si>
  <si>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</si>
  <si>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</si>
  <si>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</si>
  <si>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</si>
  <si>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</si>
  <si>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</si>
  <si>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</si>
  <si>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</si>
  <si>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</si>
  <si>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</si>
  <si>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</si>
  <si>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</si>
  <si>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</si>
  <si>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</si>
  <si>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</si>
  <si>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</si>
  <si>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</si>
  <si>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</si>
  <si>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</si>
  <si>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</si>
  <si>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</si>
  <si>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</si>
  <si>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</si>
  <si>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</si>
  <si>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</si>
  <si>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</si>
  <si>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</si>
  <si>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</si>
  <si>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</si>
  <si>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</si>
  <si>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</si>
  <si>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</si>
  <si>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</si>
  <si>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</si>
  <si>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</si>
  <si>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</si>
  <si>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</si>
  <si>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</si>
  <si>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</si>
  <si>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</si>
  <si>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</si>
  <si>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</si>
  <si>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</si>
  <si>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</si>
  <si>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</si>
  <si>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</si>
  <si>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</si>
  <si>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</si>
  <si>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</si>
  <si>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</si>
  <si>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</si>
  <si>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</si>
  <si>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</si>
  <si>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</si>
  <si>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</si>
  <si>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</si>
  <si>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</si>
  <si>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</si>
  <si>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</si>
  <si>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</si>
  <si>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</si>
  <si>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</si>
  <si>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</si>
  <si>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</si>
  <si>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</si>
  <si>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</si>
  <si>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</si>
  <si>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</si>
  <si>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</si>
  <si>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</si>
  <si>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</si>
  <si>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</si>
  <si>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</si>
  <si>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</si>
  <si>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</si>
  <si>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</si>
  <si>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</si>
  <si>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</si>
  <si>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</si>
  <si>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</si>
  <si>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</si>
  <si>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</si>
  <si>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</si>
  <si>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</si>
  <si>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</si>
  <si>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</si>
  <si>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</si>
  <si>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</si>
  <si>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</si>
  <si>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</si>
  <si>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</si>
  <si>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</si>
  <si>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</si>
  <si>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</si>
  <si>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</si>
  <si>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</si>
  <si>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</si>
  <si>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</si>
  <si>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</si>
  <si>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</si>
  <si>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</si>
  <si>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</si>
  <si>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</si>
  <si>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</si>
  <si>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</si>
  <si>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</si>
  <si>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</si>
  <si>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</si>
  <si>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</si>
  <si>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</si>
  <si>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</si>
  <si>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</si>
  <si>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</si>
  <si>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</si>
  <si>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</si>
  <si>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</si>
  <si>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</si>
  <si>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</si>
  <si>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</si>
  <si>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</si>
  <si>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</si>
  <si>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</si>
  <si>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</si>
  <si>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</si>
  <si>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</si>
  <si>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</si>
  <si>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</si>
  <si>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</si>
  <si>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</si>
  <si>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</si>
  <si>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</si>
  <si>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</si>
  <si>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</si>
  <si>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</si>
  <si>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</si>
  <si>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</si>
  <si>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</si>
  <si>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</si>
  <si>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</si>
  <si>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</si>
  <si>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</si>
  <si>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</si>
  <si>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</si>
  <si>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</si>
  <si>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</si>
  <si>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</si>
  <si>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</si>
  <si>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</si>
  <si>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</si>
  <si>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</si>
  <si>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</si>
  <si>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</si>
  <si>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</si>
  <si>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</si>
  <si>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</si>
  <si>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</si>
  <si>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</si>
  <si>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</si>
  <si>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</si>
  <si>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</si>
  <si>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</si>
  <si>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</si>
  <si>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</si>
  <si>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</si>
  <si>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</si>
  <si>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</si>
  <si>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</si>
  <si>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</si>
  <si>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</si>
  <si>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</si>
  <si>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</si>
  <si>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</si>
  <si>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</si>
  <si>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</si>
  <si>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</si>
  <si>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</si>
  <si>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</si>
  <si>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</si>
  <si>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</si>
  <si>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</si>
  <si>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</si>
  <si>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</si>
  <si>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</si>
  <si>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</si>
  <si>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</si>
  <si>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</si>
  <si>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</si>
  <si>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</si>
  <si>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</si>
  <si>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</si>
  <si>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</si>
  <si>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</si>
  <si>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</si>
  <si>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</si>
  <si>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</si>
  <si>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</si>
  <si>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</si>
  <si>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</si>
  <si>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</si>
  <si>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</si>
  <si>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</si>
  <si>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</si>
  <si>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</si>
  <si>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</si>
  <si>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</si>
  <si>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</si>
  <si>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</si>
  <si>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</si>
  <si>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</si>
  <si>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</si>
  <si>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</si>
  <si>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</si>
  <si>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</si>
  <si>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</si>
  <si>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</si>
  <si>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</si>
  <si>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</si>
  <si>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</si>
  <si>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</si>
  <si>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</si>
  <si>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</si>
  <si>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</si>
  <si>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</si>
  <si>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</si>
  <si>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</si>
  <si>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</si>
  <si>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</si>
  <si>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</si>
  <si>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</si>
  <si>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</si>
  <si>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</si>
  <si>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</si>
  <si>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</si>
  <si>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</si>
  <si>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</si>
  <si>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</si>
  <si>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</si>
  <si>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</si>
  <si>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</si>
  <si>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</si>
  <si>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</si>
  <si>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</si>
  <si>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</si>
  <si>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</si>
  <si>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</si>
  <si>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</si>
  <si>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</si>
  <si>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</si>
  <si>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</si>
  <si>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</si>
  <si>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</si>
  <si>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</si>
  <si>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</si>
  <si>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</si>
  <si>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</si>
  <si>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</si>
  <si>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</si>
  <si>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</si>
  <si>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</si>
  <si>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</si>
  <si>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</si>
  <si>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</si>
  <si>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</si>
  <si>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</si>
  <si>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</si>
  <si>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</si>
  <si>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</si>
  <si>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</si>
  <si>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</si>
  <si>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</si>
  <si>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</si>
  <si>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</si>
  <si>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</si>
  <si>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</si>
  <si>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</si>
  <si>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</si>
  <si>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</si>
  <si>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</si>
  <si>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</si>
  <si>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</si>
  <si>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</si>
  <si>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</si>
  <si>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</si>
  <si>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</si>
  <si>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</si>
  <si>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</si>
  <si>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</si>
  <si>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</si>
  <si>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</si>
  <si>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</si>
  <si>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</si>
  <si>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</si>
  <si>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</si>
  <si>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</si>
  <si>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</si>
  <si>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</si>
  <si>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</si>
  <si>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</si>
  <si>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</si>
  <si>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</si>
  <si>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</si>
  <si>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</si>
  <si>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</si>
  <si>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</si>
  <si>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</si>
  <si>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</si>
  <si>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</si>
  <si>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</si>
  <si>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</si>
  <si>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</si>
  <si>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</si>
  <si>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</si>
  <si>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</si>
  <si>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</si>
  <si>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</si>
  <si>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</si>
  <si>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</si>
  <si>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</si>
  <si>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</si>
  <si>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</si>
  <si>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</si>
  <si>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</si>
  <si>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</si>
  <si>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</si>
  <si>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</si>
  <si>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</si>
  <si>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</si>
  <si>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</si>
  <si>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</si>
  <si>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</si>
  <si>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</si>
  <si>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</si>
  <si>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</si>
  <si>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</si>
  <si>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</si>
  <si>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</si>
  <si>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</si>
  <si>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</si>
  <si>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</si>
  <si>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</si>
  <si>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</si>
  <si>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</si>
  <si>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</si>
  <si>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</si>
  <si>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</si>
  <si>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</si>
  <si>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</si>
  <si>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</si>
  <si>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</si>
  <si>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</si>
  <si>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</si>
  <si>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</si>
  <si>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</si>
  <si>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</si>
  <si>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</si>
  <si>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</si>
  <si>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</si>
  <si>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</si>
  <si>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</si>
  <si>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</si>
  <si>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</si>
  <si>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</si>
  <si>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</si>
  <si>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</si>
  <si>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</si>
  <si>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</si>
  <si>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</si>
  <si>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</si>
  <si>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</si>
  <si>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</si>
  <si>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</si>
  <si>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</si>
  <si>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</si>
  <si>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</si>
  <si>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</si>
  <si>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</si>
  <si>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</si>
  <si>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</si>
  <si>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</si>
  <si>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</si>
  <si>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</si>
  <si>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</si>
  <si>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</si>
  <si>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</si>
  <si>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</si>
  <si>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</si>
  <si>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</si>
  <si>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</si>
  <si>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</si>
  <si>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</si>
  <si>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</si>
  <si>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</si>
  <si>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</si>
  <si>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</si>
  <si>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</si>
  <si>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</si>
  <si>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</si>
  <si>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</si>
  <si>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</si>
  <si>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</si>
  <si>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</si>
  <si>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</si>
  <si>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</si>
  <si>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</si>
  <si>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</si>
  <si>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</si>
  <si>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</si>
  <si>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</si>
  <si>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</si>
  <si>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</si>
  <si>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</si>
  <si>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</si>
  <si>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</si>
  <si>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</si>
  <si>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</si>
  <si>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</si>
  <si>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</si>
  <si>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</si>
  <si>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</si>
  <si>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</si>
  <si>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</si>
  <si>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2026-05-06 : 소형계선기 전기판넬 설치, 주갑판 계선기 전기모터 결선, 웰독계선기 핸드레일 복구(용접) : 범양, 박주성, 진진</t>
  </si>
  <si>
    <t>2026-05-07 : 계선기 설치 (웰독 핸드레일 복구, 소형 계선기 전기판넬/RPB 결선(브레이크 회로 오작), 우현 모터 결선) : 박주성, 진진3, 범양</t>
  </si>
  <si>
    <t>2026-05-08 : 계선기 설치 (웰독 핸드레일 복구/도장, 소형 계선기 브레이크 회로 추가/시운전, 주갑판 계선기 시운전(배관 누유발생)) : 박주성, 진진3, 범양, DST</t>
  </si>
  <si>
    <t>2026-05-11 : 주갑판 계선기 배관 누유 조치 (자재공급/설치) : 신일하이드로(김영식)</t>
  </si>
  <si>
    <t>2026-05-12 : 대형수송함(LPH-I) 함 이동 계획 공지 건 (2026-06-05, 2026-06-09), 주갑판 계선기 HPU ROOM OIL 오염 정리 : 진진(1), 우신(1)</t>
  </si>
  <si>
    <t>2026-05-13 : 웰독 계선기, 권양기 전기판넬 설치(범양4), #2 전기판넬 설치시 합선사고 발생</t>
  </si>
  <si>
    <t>2026-05-14 : 웰독 전기판넬 설치 잔여작업(범양2), 판넬 안전 사고 관련 미팅 참석(박주성, 신종욱)</t>
  </si>
  <si>
    <t>2026-05-15 : 웰독 전기판넬 결선 작업(범양1, 박주성), #1,3,4 전기판넬 결선 완료, #1~4 RPB 결선 완료</t>
  </si>
  <si>
    <t>2026-05-16 : 웰독 전기판넬 결선 작업(범양1, 박주성), #2 전기판넬 결선, 고정식 RPB 결선</t>
  </si>
  <si>
    <t>2026-05-18 : 웰독 모터 결선 작업(범양1, 박주성), 우현 2대 모터 결선 완료</t>
  </si>
  <si>
    <t>2026-05-19 : 주갑판 계선기, 소형계선기 평가입회(박주성, 이시맥, 최용욱), 주갑판 계선기 평가 완료, 소형계선기 선수 2대 평가 완료, 선미 2대 미완료</t>
  </si>
  <si>
    <t>HJSC-SR24002-WC</t>
  </si>
  <si>
    <t>HJSC-SR24002-4.5T-ER</t>
  </si>
  <si>
    <t>2026-05-11 : 주행 케이블 체인 설치</t>
  </si>
  <si>
    <t>2026-05-12 : 주행 케이블 체인 설치 마무리</t>
  </si>
  <si>
    <t>(박주성, 진진(1), 우신(3))</t>
  </si>
  <si>
    <t>진진(1), 우신(1)</t>
  </si>
  <si>
    <t>대만</t>
    <phoneticPr fontId="2" type="noConversion"/>
  </si>
  <si>
    <t>진진(1)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</si>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</sst>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24"/>
      <color rgb="FFD04255"/>
      <name val="Segoe UI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5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2" fillId="9" borderId="30" xfId="0" applyFont="1" applyFill="1" applyBorder="1" applyAlignment="1">
      <alignment horizontal="center" vertical="center" wrapText="1"/>
    </xf>
    <xf numFmtId="0" fontId="132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3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3" fillId="0" borderId="9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1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2" fillId="9" borderId="24" xfId="0" applyFont="1" applyFill="1" applyBorder="1" applyAlignment="1">
      <alignment horizontal="center" vertical="center" wrapText="1"/>
    </xf>
    <xf numFmtId="0" fontId="132" fillId="9" borderId="26" xfId="0" applyFont="1" applyFill="1" applyBorder="1" applyAlignment="1">
      <alignment horizontal="center" vertical="center" wrapText="1"/>
    </xf>
    <xf numFmtId="0" fontId="132" fillId="9" borderId="22" xfId="0" applyFont="1" applyFill="1" applyBorder="1" applyAlignment="1">
      <alignment horizontal="center" vertical="center" wrapText="1"/>
    </xf>
    <xf numFmtId="0" fontId="132" fillId="9" borderId="3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 wrapText="1"/>
    </xf>
    <xf numFmtId="0" fontId="132" fillId="9" borderId="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4" fillId="0" borderId="0" xfId="0" applyFont="1">
      <alignment vertical="center"/>
    </xf>
    <xf numFmtId="0" fontId="0" fillId="23" borderId="0" xfId="0" applyFill="1">
      <alignment vertical="center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5-11" TargetMode="External"/><Relationship Id="rId13" Type="http://schemas.openxmlformats.org/officeDocument/2006/relationships/hyperlink" Target="2026-05-18" TargetMode="External"/><Relationship Id="rId3" Type="http://schemas.openxmlformats.org/officeDocument/2006/relationships/hyperlink" Target="2026-04-28" TargetMode="External"/><Relationship Id="rId7" Type="http://schemas.openxmlformats.org/officeDocument/2006/relationships/hyperlink" Target="2026-05-08" TargetMode="External"/><Relationship Id="rId12" Type="http://schemas.openxmlformats.org/officeDocument/2006/relationships/hyperlink" Target="2026-05-16" TargetMode="External"/><Relationship Id="rId17" Type="http://schemas.openxmlformats.org/officeDocument/2006/relationships/printerSettings" Target="../printerSettings/printerSettings5.bin"/><Relationship Id="rId2" Type="http://schemas.openxmlformats.org/officeDocument/2006/relationships/hyperlink" Target="2026-04-27" TargetMode="External"/><Relationship Id="rId16" Type="http://schemas.openxmlformats.org/officeDocument/2006/relationships/hyperlink" Target="2026-05-12" TargetMode="External"/><Relationship Id="rId1" Type="http://schemas.openxmlformats.org/officeDocument/2006/relationships/hyperlink" Target="2026-04-24" TargetMode="External"/><Relationship Id="rId6" Type="http://schemas.openxmlformats.org/officeDocument/2006/relationships/hyperlink" Target="2026-05-07" TargetMode="External"/><Relationship Id="rId11" Type="http://schemas.openxmlformats.org/officeDocument/2006/relationships/hyperlink" Target="2026-05-15" TargetMode="External"/><Relationship Id="rId5" Type="http://schemas.openxmlformats.org/officeDocument/2006/relationships/hyperlink" Target="2026-05-06" TargetMode="External"/><Relationship Id="rId15" Type="http://schemas.openxmlformats.org/officeDocument/2006/relationships/hyperlink" Target="2026-05-11" TargetMode="External"/><Relationship Id="rId10" Type="http://schemas.openxmlformats.org/officeDocument/2006/relationships/hyperlink" Target="2026-05-14" TargetMode="External"/><Relationship Id="rId4" Type="http://schemas.openxmlformats.org/officeDocument/2006/relationships/hyperlink" Target="2026-04-29" TargetMode="External"/><Relationship Id="rId9" Type="http://schemas.openxmlformats.org/officeDocument/2006/relationships/hyperlink" Target="2026-05-13" TargetMode="External"/><Relationship Id="rId14" Type="http://schemas.openxmlformats.org/officeDocument/2006/relationships/hyperlink" Target="2026-05-19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abSelected="1" topLeftCell="A364" zoomScaleNormal="100" workbookViewId="0">
      <selection activeCell="E375" sqref="E37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9" t="s">
        <v>3261</v>
      </c>
      <c r="B1" s="769"/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7"/>
      <c r="Q22" s="768"/>
      <c r="R22" s="768"/>
      <c r="S22" s="76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7"/>
      <c r="Q27" s="768"/>
      <c r="R27" s="768"/>
      <c r="S27" s="76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7"/>
      <c r="Q36" s="768"/>
      <c r="R36" s="768"/>
      <c r="S36" s="76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7"/>
      <c r="Q37" s="768"/>
      <c r="R37" s="768"/>
      <c r="S37" s="76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7"/>
      <c r="Q40" s="768"/>
      <c r="R40" s="768"/>
      <c r="S40" s="76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7"/>
      <c r="Q41" s="768"/>
      <c r="R41" s="768"/>
      <c r="S41" s="76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7" t="s">
        <v>4390</v>
      </c>
      <c r="Q43" s="768"/>
      <c r="R43" s="768"/>
      <c r="S43" s="76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7"/>
      <c r="Q61" s="768"/>
      <c r="R61" s="768"/>
      <c r="S61" s="76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7"/>
      <c r="Q64" s="768"/>
      <c r="R64" s="768"/>
      <c r="S64" s="76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7"/>
      <c r="Q67" s="768"/>
      <c r="R67" s="768"/>
      <c r="S67" s="76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7"/>
      <c r="Q74" s="768"/>
      <c r="R74" s="768"/>
      <c r="S74" s="76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7"/>
      <c r="Q83" s="768"/>
      <c r="R83" s="768"/>
      <c r="S83" s="76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7"/>
      <c r="Q85" s="768"/>
      <c r="R85" s="768"/>
      <c r="S85" s="76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7" t="s">
        <v>4390</v>
      </c>
      <c r="Q93" s="768"/>
      <c r="R93" s="768"/>
      <c r="S93" s="76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5"/>
      <c r="Q169" s="766"/>
      <c r="R169" s="766"/>
      <c r="S169" s="766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3" t="s">
        <v>4688</v>
      </c>
      <c r="Q182" s="764"/>
      <c r="R182" s="764"/>
      <c r="S182" s="764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5699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5715</v>
      </c>
      <c r="H307" s="193" t="s">
        <v>271</v>
      </c>
      <c r="I307" s="31" t="s">
        <v>202</v>
      </c>
      <c r="J307" s="31" t="s">
        <v>5714</v>
      </c>
      <c r="K307" s="125" t="s">
        <v>5605</v>
      </c>
      <c r="L307" s="16">
        <v>9080</v>
      </c>
      <c r="M307" s="8">
        <v>4</v>
      </c>
      <c r="N307" s="31" t="s">
        <v>5712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5711</v>
      </c>
      <c r="F308" s="463" t="s">
        <v>1968</v>
      </c>
      <c r="G308" s="468" t="s">
        <v>142</v>
      </c>
      <c r="H308" s="462" t="s">
        <v>5710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4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5715</v>
      </c>
      <c r="H310" s="626" t="s">
        <v>271</v>
      </c>
      <c r="I310" s="624" t="s">
        <v>202</v>
      </c>
      <c r="J310" s="624" t="s">
        <v>5714</v>
      </c>
      <c r="K310" s="125" t="s">
        <v>15</v>
      </c>
      <c r="L310" s="16">
        <v>9080</v>
      </c>
      <c r="M310" s="8">
        <v>4</v>
      </c>
      <c r="N310" s="463"/>
      <c r="O310" s="704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5716</v>
      </c>
      <c r="F311" s="31"/>
      <c r="G311" s="16"/>
      <c r="H311" s="193" t="s">
        <v>5718</v>
      </c>
      <c r="I311" s="31" t="s">
        <v>5717</v>
      </c>
      <c r="J311" s="193"/>
      <c r="K311" s="125"/>
      <c r="L311" s="16" t="s">
        <v>5719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5715</v>
      </c>
      <c r="H312" s="626" t="s">
        <v>5781</v>
      </c>
      <c r="I312" s="624"/>
      <c r="J312" s="624" t="s">
        <v>5782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5705</v>
      </c>
      <c r="D313" s="4" t="s">
        <v>5706</v>
      </c>
      <c r="E313" s="31" t="s">
        <v>5707</v>
      </c>
      <c r="F313" s="31" t="s">
        <v>5708</v>
      </c>
      <c r="G313" s="16" t="s">
        <v>2917</v>
      </c>
      <c r="H313" s="193" t="s">
        <v>5783</v>
      </c>
      <c r="I313" s="31" t="s">
        <v>5671</v>
      </c>
      <c r="J313" s="193"/>
      <c r="K313" s="125" t="s">
        <v>5709</v>
      </c>
      <c r="L313" s="16" t="s">
        <v>5703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5779</v>
      </c>
      <c r="I314" s="668" t="s">
        <v>202</v>
      </c>
      <c r="J314" s="668" t="s">
        <v>5780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5700</v>
      </c>
      <c r="F315" s="467" t="s">
        <v>5737</v>
      </c>
      <c r="G315" s="468" t="s">
        <v>5701</v>
      </c>
      <c r="H315" s="462" t="s">
        <v>5702</v>
      </c>
      <c r="I315" s="462" t="s">
        <v>5738</v>
      </c>
      <c r="J315" s="462"/>
      <c r="K315" s="136" t="s">
        <v>4508</v>
      </c>
      <c r="L315" s="468" t="s">
        <v>5744</v>
      </c>
      <c r="M315" s="464">
        <v>2</v>
      </c>
      <c r="N315" s="463" t="s">
        <v>5713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5763</v>
      </c>
      <c r="G316" s="468" t="s">
        <v>5765</v>
      </c>
      <c r="H316" s="462" t="s">
        <v>5764</v>
      </c>
      <c r="I316" s="463" t="s">
        <v>5749</v>
      </c>
      <c r="J316" s="462"/>
      <c r="K316" s="136" t="s">
        <v>4508</v>
      </c>
      <c r="L316" s="468" t="s">
        <v>5744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5739</v>
      </c>
      <c r="E317" s="463" t="s">
        <v>5740</v>
      </c>
      <c r="F317" s="463" t="s">
        <v>5741</v>
      </c>
      <c r="G317" s="468" t="s">
        <v>5742</v>
      </c>
      <c r="H317" s="462" t="s">
        <v>5743</v>
      </c>
      <c r="I317" s="462" t="s">
        <v>5722</v>
      </c>
      <c r="J317" s="462" t="s">
        <v>5756</v>
      </c>
      <c r="K317" s="136" t="s">
        <v>181</v>
      </c>
      <c r="L317" s="468" t="s">
        <v>5724</v>
      </c>
      <c r="M317" s="464">
        <v>3</v>
      </c>
      <c r="N317" s="463" t="s">
        <v>5745</v>
      </c>
      <c r="O317" s="582" t="s">
        <v>5757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5791</v>
      </c>
      <c r="I318" s="463" t="s">
        <v>5792</v>
      </c>
      <c r="J318" s="462" t="s">
        <v>5793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5720</v>
      </c>
      <c r="I319" s="193" t="s">
        <v>5722</v>
      </c>
      <c r="J319" s="193" t="s">
        <v>5723</v>
      </c>
      <c r="K319" s="125" t="s">
        <v>5721</v>
      </c>
      <c r="L319" s="16" t="s">
        <v>5724</v>
      </c>
      <c r="M319" s="8">
        <v>2</v>
      </c>
      <c r="N319" s="193"/>
      <c r="O319" s="436" t="s">
        <v>5758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5725</v>
      </c>
      <c r="E323" s="463" t="s">
        <v>5726</v>
      </c>
      <c r="F323" s="467" t="s">
        <v>3332</v>
      </c>
      <c r="G323" s="468" t="s">
        <v>5727</v>
      </c>
      <c r="H323" s="462" t="s">
        <v>5760</v>
      </c>
      <c r="I323" s="463"/>
      <c r="J323" s="463" t="s">
        <v>5747</v>
      </c>
      <c r="K323" s="136" t="s">
        <v>5728</v>
      </c>
      <c r="L323" s="468" t="s">
        <v>5729</v>
      </c>
      <c r="M323" s="464">
        <v>2</v>
      </c>
      <c r="N323" s="668"/>
      <c r="O323" s="436" t="s">
        <v>5759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5794</v>
      </c>
      <c r="H327" s="462" t="s">
        <v>5795</v>
      </c>
      <c r="I327" s="462" t="s">
        <v>5799</v>
      </c>
      <c r="J327" s="462"/>
      <c r="K327" s="136" t="s">
        <v>5796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4" t="s">
        <v>5801</v>
      </c>
      <c r="G329" s="16" t="s">
        <v>5730</v>
      </c>
      <c r="H329" s="725" t="s">
        <v>5829</v>
      </c>
      <c r="I329" s="668" t="s">
        <v>5786</v>
      </c>
      <c r="J329" s="669"/>
      <c r="K329" s="125" t="s">
        <v>5787</v>
      </c>
      <c r="L329" s="16" t="s">
        <v>5788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5761</v>
      </c>
      <c r="G330" s="468" t="s">
        <v>18</v>
      </c>
      <c r="H330" s="462" t="s">
        <v>5784</v>
      </c>
      <c r="I330" s="463"/>
      <c r="J330" s="462" t="s">
        <v>5830</v>
      </c>
      <c r="K330" s="136"/>
      <c r="L330" s="468" t="s">
        <v>5848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5750</v>
      </c>
      <c r="D331" s="4" t="s">
        <v>5739</v>
      </c>
      <c r="E331" s="31" t="s">
        <v>5751</v>
      </c>
      <c r="F331" s="31">
        <v>124001</v>
      </c>
      <c r="G331" s="16" t="s">
        <v>5752</v>
      </c>
      <c r="H331" s="193" t="s">
        <v>5814</v>
      </c>
      <c r="I331" s="31" t="s">
        <v>5836</v>
      </c>
      <c r="J331" s="31"/>
      <c r="K331" s="125" t="s">
        <v>5753</v>
      </c>
      <c r="L331" s="16" t="s">
        <v>5724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5808</v>
      </c>
      <c r="D332" s="4" t="s">
        <v>5809</v>
      </c>
      <c r="E332" s="723" t="s">
        <v>5810</v>
      </c>
      <c r="F332" s="723" t="s">
        <v>5811</v>
      </c>
      <c r="G332" s="16" t="s">
        <v>5812</v>
      </c>
      <c r="H332" s="724" t="s">
        <v>5813</v>
      </c>
      <c r="I332" s="724" t="s">
        <v>5818</v>
      </c>
      <c r="J332" s="724" t="s">
        <v>5817</v>
      </c>
      <c r="K332" s="125" t="s">
        <v>15</v>
      </c>
      <c r="L332" s="16" t="s">
        <v>5816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3" t="s">
        <v>107</v>
      </c>
      <c r="F335" s="723" t="s">
        <v>3386</v>
      </c>
      <c r="G335" s="16" t="s">
        <v>23</v>
      </c>
      <c r="H335" s="724" t="s">
        <v>5838</v>
      </c>
      <c r="I335" s="723"/>
      <c r="J335" s="724" t="s">
        <v>5834</v>
      </c>
      <c r="K335" s="125" t="s">
        <v>5825</v>
      </c>
      <c r="L335" s="16" t="s">
        <v>5807</v>
      </c>
      <c r="M335" s="8">
        <v>3</v>
      </c>
      <c r="N335" s="723"/>
      <c r="O335" s="439" t="s">
        <v>5847</v>
      </c>
      <c r="P335" s="572"/>
    </row>
    <row r="336" spans="1:16" s="17" customFormat="1" ht="33" customHeight="1">
      <c r="A336" s="432"/>
      <c r="B336" s="370">
        <v>46168</v>
      </c>
      <c r="C336" s="4" t="s">
        <v>5733</v>
      </c>
      <c r="D336" s="4" t="s">
        <v>5739</v>
      </c>
      <c r="E336" s="31" t="s">
        <v>5789</v>
      </c>
      <c r="F336" s="31" t="s">
        <v>2959</v>
      </c>
      <c r="G336" s="16" t="s">
        <v>5790</v>
      </c>
      <c r="H336" s="193" t="s">
        <v>5837</v>
      </c>
      <c r="I336" s="724"/>
      <c r="J336" s="193" t="s">
        <v>5824</v>
      </c>
      <c r="K336" s="125" t="s">
        <v>5819</v>
      </c>
      <c r="L336" s="16" t="s">
        <v>5841</v>
      </c>
      <c r="M336" s="8">
        <v>2</v>
      </c>
      <c r="N336" s="430"/>
      <c r="O336" s="445" t="s">
        <v>5846</v>
      </c>
      <c r="P336" s="572"/>
    </row>
    <row r="337" spans="1:16" s="17" customFormat="1" ht="33" customHeight="1">
      <c r="A337" s="432"/>
      <c r="B337" s="370">
        <v>46168</v>
      </c>
      <c r="C337" s="4" t="s">
        <v>5808</v>
      </c>
      <c r="D337" s="4" t="s">
        <v>5809</v>
      </c>
      <c r="E337" s="723" t="s">
        <v>5810</v>
      </c>
      <c r="F337" s="723" t="s">
        <v>5811</v>
      </c>
      <c r="G337" s="16" t="s">
        <v>5812</v>
      </c>
      <c r="H337" s="724" t="s">
        <v>5820</v>
      </c>
      <c r="I337" s="723" t="s">
        <v>5815</v>
      </c>
      <c r="J337" s="724" t="s">
        <v>5823</v>
      </c>
      <c r="K337" s="125" t="s">
        <v>5821</v>
      </c>
      <c r="L337" s="16" t="s">
        <v>5807</v>
      </c>
      <c r="M337" s="8">
        <v>2</v>
      </c>
      <c r="N337" s="723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5802</v>
      </c>
      <c r="D338" s="3" t="s">
        <v>5803</v>
      </c>
      <c r="E338" s="462" t="s">
        <v>5822</v>
      </c>
      <c r="F338" s="463" t="s">
        <v>5804</v>
      </c>
      <c r="G338" s="468" t="s">
        <v>5805</v>
      </c>
      <c r="H338" s="462" t="s">
        <v>5943</v>
      </c>
      <c r="I338" s="463" t="s">
        <v>5888</v>
      </c>
      <c r="J338" s="462"/>
      <c r="K338" s="136" t="s">
        <v>5806</v>
      </c>
      <c r="L338" s="468" t="s">
        <v>5807</v>
      </c>
      <c r="M338" s="464">
        <v>1</v>
      </c>
      <c r="N338" s="723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3" t="s">
        <v>107</v>
      </c>
      <c r="F339" s="723" t="s">
        <v>2959</v>
      </c>
      <c r="G339" s="16" t="s">
        <v>1895</v>
      </c>
      <c r="H339" s="724" t="s">
        <v>5896</v>
      </c>
      <c r="I339" s="724"/>
      <c r="J339" s="724" t="s">
        <v>5824</v>
      </c>
      <c r="K339" s="125" t="s">
        <v>5819</v>
      </c>
      <c r="L339" s="16" t="s">
        <v>5816</v>
      </c>
      <c r="M339" s="8">
        <v>2</v>
      </c>
      <c r="N339" s="723"/>
      <c r="O339" s="445" t="s">
        <v>5846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3" t="s">
        <v>107</v>
      </c>
      <c r="F340" s="723" t="s">
        <v>3386</v>
      </c>
      <c r="G340" s="16" t="s">
        <v>23</v>
      </c>
      <c r="H340" s="724" t="s">
        <v>5897</v>
      </c>
      <c r="I340" s="724" t="s">
        <v>5818</v>
      </c>
      <c r="J340" s="724"/>
      <c r="K340" s="125" t="s">
        <v>5819</v>
      </c>
      <c r="L340" s="16" t="s">
        <v>5816</v>
      </c>
      <c r="M340" s="8">
        <v>1</v>
      </c>
      <c r="N340" s="723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5755</v>
      </c>
      <c r="E341" s="463" t="s">
        <v>5762</v>
      </c>
      <c r="F341" s="462" t="s">
        <v>5754</v>
      </c>
      <c r="G341" s="468" t="s">
        <v>5831</v>
      </c>
      <c r="H341" s="462" t="s">
        <v>5833</v>
      </c>
      <c r="I341" s="463" t="s">
        <v>202</v>
      </c>
      <c r="J341" s="463" t="s">
        <v>5832</v>
      </c>
      <c r="K341" s="125" t="s">
        <v>5819</v>
      </c>
      <c r="L341" s="468" t="s">
        <v>5724</v>
      </c>
      <c r="M341" s="8">
        <v>2</v>
      </c>
      <c r="N341" s="31"/>
      <c r="O341" s="440" t="s">
        <v>5845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5822</v>
      </c>
      <c r="F342" s="463" t="s">
        <v>5804</v>
      </c>
      <c r="G342" s="468" t="s">
        <v>4091</v>
      </c>
      <c r="H342" s="462" t="s">
        <v>442</v>
      </c>
      <c r="I342" s="463" t="s">
        <v>5893</v>
      </c>
      <c r="J342" s="462" t="s">
        <v>5894</v>
      </c>
      <c r="K342" s="136" t="s">
        <v>3265</v>
      </c>
      <c r="L342" s="468" t="s">
        <v>4550</v>
      </c>
      <c r="M342" s="8">
        <v>3</v>
      </c>
      <c r="N342" s="729"/>
      <c r="O342" s="440" t="s">
        <v>5895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4" t="s">
        <v>5602</v>
      </c>
      <c r="F343" s="723"/>
      <c r="G343" s="16"/>
      <c r="H343" s="724" t="s">
        <v>5604</v>
      </c>
      <c r="I343" s="723" t="s">
        <v>226</v>
      </c>
      <c r="J343" s="724"/>
      <c r="K343" s="125"/>
      <c r="L343" s="16" t="s">
        <v>4550</v>
      </c>
      <c r="M343" s="8">
        <v>1</v>
      </c>
      <c r="N343" s="723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5822</v>
      </c>
      <c r="F344" s="463" t="s">
        <v>5804</v>
      </c>
      <c r="G344" s="468" t="s">
        <v>4091</v>
      </c>
      <c r="H344" s="462" t="s">
        <v>442</v>
      </c>
      <c r="I344" s="463" t="s">
        <v>5893</v>
      </c>
      <c r="J344" s="462" t="s">
        <v>5894</v>
      </c>
      <c r="K344" s="136" t="s">
        <v>3265</v>
      </c>
      <c r="L344" s="468" t="s">
        <v>4550</v>
      </c>
      <c r="M344" s="8">
        <v>3</v>
      </c>
      <c r="N344" s="727"/>
      <c r="O344" s="440" t="s">
        <v>5942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5889</v>
      </c>
      <c r="G345" s="468" t="s">
        <v>5890</v>
      </c>
      <c r="H345" s="462" t="s">
        <v>5891</v>
      </c>
      <c r="I345" s="463" t="s">
        <v>5839</v>
      </c>
      <c r="J345" s="462" t="s">
        <v>5892</v>
      </c>
      <c r="K345" s="125" t="s">
        <v>5819</v>
      </c>
      <c r="L345" s="468" t="s">
        <v>5826</v>
      </c>
      <c r="M345" s="464">
        <v>3</v>
      </c>
      <c r="N345" s="430"/>
      <c r="O345" s="445" t="s">
        <v>5941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1" t="s">
        <v>5927</v>
      </c>
      <c r="I346" s="729" t="s">
        <v>202</v>
      </c>
      <c r="J346" s="731" t="s">
        <v>5928</v>
      </c>
      <c r="K346" s="125" t="s">
        <v>3265</v>
      </c>
      <c r="L346" s="16">
        <v>9080</v>
      </c>
      <c r="M346" s="8">
        <v>2</v>
      </c>
      <c r="N346" s="729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5889</v>
      </c>
      <c r="G347" s="468" t="s">
        <v>5890</v>
      </c>
      <c r="H347" s="462" t="s">
        <v>5891</v>
      </c>
      <c r="I347" s="463" t="s">
        <v>3274</v>
      </c>
      <c r="J347" s="462" t="s">
        <v>5940</v>
      </c>
      <c r="K347" s="125" t="s">
        <v>3265</v>
      </c>
      <c r="L347" s="468" t="s">
        <v>4379</v>
      </c>
      <c r="M347" s="464">
        <v>3</v>
      </c>
      <c r="N347" s="730"/>
      <c r="O347" s="445" t="s">
        <v>5939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5907</v>
      </c>
      <c r="F348" s="463">
        <v>3307</v>
      </c>
      <c r="G348" s="468" t="s">
        <v>1328</v>
      </c>
      <c r="H348" s="462" t="s">
        <v>5908</v>
      </c>
      <c r="I348" s="462" t="s">
        <v>5909</v>
      </c>
      <c r="J348" s="462" t="s">
        <v>686</v>
      </c>
      <c r="K348" s="125" t="s">
        <v>5910</v>
      </c>
      <c r="L348" s="468" t="s">
        <v>5911</v>
      </c>
      <c r="M348" s="464">
        <v>4</v>
      </c>
      <c r="N348" s="729"/>
      <c r="O348" s="445" t="s">
        <v>5938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5907</v>
      </c>
      <c r="F349" s="463">
        <v>3307</v>
      </c>
      <c r="G349" s="468" t="s">
        <v>1328</v>
      </c>
      <c r="H349" s="462" t="s">
        <v>5908</v>
      </c>
      <c r="I349" s="462" t="s">
        <v>5909</v>
      </c>
      <c r="J349" s="462" t="s">
        <v>686</v>
      </c>
      <c r="K349" s="125" t="s">
        <v>5910</v>
      </c>
      <c r="L349" s="468" t="s">
        <v>5911</v>
      </c>
      <c r="M349" s="464">
        <v>4</v>
      </c>
      <c r="N349" s="31"/>
      <c r="O349" s="445" t="s">
        <v>5938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5761</v>
      </c>
      <c r="G352" s="468" t="s">
        <v>5843</v>
      </c>
      <c r="H352" s="462" t="s">
        <v>5842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5889</v>
      </c>
      <c r="G353" s="468" t="s">
        <v>5890</v>
      </c>
      <c r="H353" s="462" t="s">
        <v>5898</v>
      </c>
      <c r="I353" s="463"/>
      <c r="J353" s="462" t="s">
        <v>3074</v>
      </c>
      <c r="K353" s="125" t="s">
        <v>15</v>
      </c>
      <c r="L353" s="468" t="s">
        <v>5925</v>
      </c>
      <c r="M353" s="464">
        <v>1</v>
      </c>
      <c r="N353" s="729"/>
      <c r="O353" s="436" t="s">
        <v>5926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1" t="s">
        <v>5927</v>
      </c>
      <c r="I354" s="729" t="s">
        <v>202</v>
      </c>
      <c r="J354" s="731" t="s">
        <v>5929</v>
      </c>
      <c r="K354" s="125" t="s">
        <v>3265</v>
      </c>
      <c r="L354" s="16">
        <v>9080</v>
      </c>
      <c r="M354" s="8">
        <v>3</v>
      </c>
      <c r="N354" s="729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5944</v>
      </c>
      <c r="D355" s="3" t="s">
        <v>5945</v>
      </c>
      <c r="E355" s="463" t="s">
        <v>5946</v>
      </c>
      <c r="F355" s="463">
        <v>7064</v>
      </c>
      <c r="G355" s="468" t="s">
        <v>5947</v>
      </c>
      <c r="H355" s="731" t="s">
        <v>5948</v>
      </c>
      <c r="I355" s="729"/>
      <c r="J355" s="731" t="s">
        <v>5949</v>
      </c>
      <c r="K355" s="125" t="s">
        <v>15</v>
      </c>
      <c r="L355" s="16" t="s">
        <v>5925</v>
      </c>
      <c r="M355" s="8">
        <v>4</v>
      </c>
      <c r="N355" s="729"/>
      <c r="O355" s="436" t="s">
        <v>5950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5907</v>
      </c>
      <c r="F356" s="463">
        <v>3307</v>
      </c>
      <c r="G356" s="468" t="s">
        <v>1328</v>
      </c>
      <c r="H356" s="462" t="s">
        <v>5908</v>
      </c>
      <c r="I356" s="462" t="s">
        <v>5909</v>
      </c>
      <c r="J356" s="462" t="s">
        <v>686</v>
      </c>
      <c r="K356" s="125" t="s">
        <v>5910</v>
      </c>
      <c r="L356" s="468" t="s">
        <v>5911</v>
      </c>
      <c r="M356" s="464">
        <v>4</v>
      </c>
      <c r="N356" s="430"/>
      <c r="O356" s="445" t="s">
        <v>5938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5798</v>
      </c>
      <c r="I357" s="463" t="s">
        <v>3274</v>
      </c>
      <c r="J357" s="462" t="s">
        <v>5913</v>
      </c>
      <c r="K357" s="125" t="s">
        <v>3265</v>
      </c>
      <c r="L357" s="468" t="s">
        <v>4379</v>
      </c>
      <c r="M357" s="464">
        <v>2</v>
      </c>
      <c r="N357" s="430"/>
      <c r="O357" s="436" t="s">
        <v>5914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5822</v>
      </c>
      <c r="F358" s="463" t="s">
        <v>5995</v>
      </c>
      <c r="G358" s="468" t="s">
        <v>4091</v>
      </c>
      <c r="H358" s="462" t="s">
        <v>6017</v>
      </c>
      <c r="I358" s="463" t="s">
        <v>5915</v>
      </c>
      <c r="J358" s="462" t="s">
        <v>5894</v>
      </c>
      <c r="K358" s="136" t="s">
        <v>3265</v>
      </c>
      <c r="L358" s="468" t="s">
        <v>4550</v>
      </c>
      <c r="M358" s="8">
        <v>2</v>
      </c>
      <c r="N358" s="729"/>
      <c r="O358" s="436" t="s">
        <v>5916</v>
      </c>
      <c r="P358" s="572"/>
    </row>
    <row r="359" spans="1:16" s="17" customFormat="1" ht="33" customHeight="1">
      <c r="A359" s="432"/>
      <c r="B359" s="370">
        <v>46175</v>
      </c>
      <c r="C359" s="3" t="s">
        <v>5944</v>
      </c>
      <c r="D359" s="3" t="s">
        <v>5945</v>
      </c>
      <c r="E359" s="463" t="s">
        <v>5946</v>
      </c>
      <c r="F359" s="463">
        <v>7064</v>
      </c>
      <c r="G359" s="468" t="s">
        <v>5947</v>
      </c>
      <c r="H359" s="731" t="s">
        <v>5948</v>
      </c>
      <c r="I359" s="729"/>
      <c r="J359" s="731" t="s">
        <v>5949</v>
      </c>
      <c r="K359" s="125" t="s">
        <v>15</v>
      </c>
      <c r="L359" s="16" t="s">
        <v>5925</v>
      </c>
      <c r="M359" s="8">
        <v>4</v>
      </c>
      <c r="N359" s="729"/>
      <c r="O359" s="436" t="s">
        <v>5950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5907</v>
      </c>
      <c r="F361" s="463">
        <v>3307</v>
      </c>
      <c r="G361" s="468" t="s">
        <v>1328</v>
      </c>
      <c r="H361" s="462" t="s">
        <v>5908</v>
      </c>
      <c r="I361" s="462" t="s">
        <v>5909</v>
      </c>
      <c r="J361" s="462" t="s">
        <v>686</v>
      </c>
      <c r="K361" s="125" t="s">
        <v>5910</v>
      </c>
      <c r="L361" s="468" t="s">
        <v>5911</v>
      </c>
      <c r="M361" s="464">
        <v>4</v>
      </c>
      <c r="N361" s="729"/>
      <c r="O361" s="445" t="s">
        <v>5938</v>
      </c>
      <c r="P361" s="572"/>
    </row>
    <row r="362" spans="1:16" s="17" customFormat="1" ht="33" customHeight="1">
      <c r="A362" s="432"/>
      <c r="B362" s="401">
        <v>46177</v>
      </c>
      <c r="C362" s="3" t="s">
        <v>5917</v>
      </c>
      <c r="D362" s="3" t="s">
        <v>14</v>
      </c>
      <c r="E362" s="463" t="s">
        <v>5918</v>
      </c>
      <c r="F362" s="463" t="s">
        <v>5919</v>
      </c>
      <c r="G362" s="468" t="s">
        <v>5920</v>
      </c>
      <c r="H362" s="462" t="s">
        <v>5921</v>
      </c>
      <c r="I362" s="463" t="s">
        <v>5922</v>
      </c>
      <c r="J362" s="463" t="s">
        <v>6013</v>
      </c>
      <c r="K362" s="125" t="s">
        <v>5910</v>
      </c>
      <c r="L362" s="468" t="s">
        <v>5924</v>
      </c>
      <c r="M362" s="464">
        <v>4</v>
      </c>
      <c r="N362" s="31"/>
      <c r="O362" s="440" t="s">
        <v>6014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5907</v>
      </c>
      <c r="F363" s="463">
        <v>3307</v>
      </c>
      <c r="G363" s="468" t="s">
        <v>1328</v>
      </c>
      <c r="H363" s="462" t="s">
        <v>5908</v>
      </c>
      <c r="I363" s="462" t="s">
        <v>5909</v>
      </c>
      <c r="J363" s="462" t="s">
        <v>686</v>
      </c>
      <c r="K363" s="125" t="s">
        <v>5910</v>
      </c>
      <c r="L363" s="468" t="s">
        <v>5911</v>
      </c>
      <c r="M363" s="464">
        <v>4</v>
      </c>
      <c r="N363" s="31"/>
      <c r="O363" s="445" t="s">
        <v>5938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5907</v>
      </c>
      <c r="F364" s="463">
        <v>3307</v>
      </c>
      <c r="G364" s="468" t="s">
        <v>1328</v>
      </c>
      <c r="H364" s="462" t="s">
        <v>5908</v>
      </c>
      <c r="I364" s="462" t="s">
        <v>5909</v>
      </c>
      <c r="J364" s="462" t="s">
        <v>686</v>
      </c>
      <c r="K364" s="125" t="s">
        <v>5910</v>
      </c>
      <c r="L364" s="468" t="s">
        <v>5911</v>
      </c>
      <c r="M364" s="464">
        <v>4</v>
      </c>
      <c r="N364" s="31"/>
      <c r="O364" s="445" t="s">
        <v>5938</v>
      </c>
      <c r="P364" s="572"/>
    </row>
    <row r="365" spans="1:16" s="17" customFormat="1" ht="33" customHeight="1">
      <c r="A365" s="432"/>
      <c r="B365" s="370">
        <v>46178</v>
      </c>
      <c r="C365" s="4" t="s">
        <v>5930</v>
      </c>
      <c r="D365" s="4" t="s">
        <v>5931</v>
      </c>
      <c r="E365" s="31" t="s">
        <v>5932</v>
      </c>
      <c r="F365" s="31" t="s">
        <v>5933</v>
      </c>
      <c r="G365" s="16" t="s">
        <v>553</v>
      </c>
      <c r="H365" s="193" t="s">
        <v>5992</v>
      </c>
      <c r="I365" s="31"/>
      <c r="J365" s="731" t="s">
        <v>5937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5930</v>
      </c>
      <c r="D366" s="4" t="s">
        <v>5931</v>
      </c>
      <c r="E366" s="729" t="s">
        <v>5932</v>
      </c>
      <c r="F366" s="729" t="s">
        <v>5933</v>
      </c>
      <c r="G366" s="16" t="s">
        <v>5934</v>
      </c>
      <c r="H366" s="731" t="s">
        <v>5936</v>
      </c>
      <c r="I366" s="729"/>
      <c r="J366" s="731" t="s">
        <v>5937</v>
      </c>
      <c r="K366" s="125" t="s">
        <v>15</v>
      </c>
      <c r="L366" s="16">
        <v>9080</v>
      </c>
      <c r="M366" s="8">
        <v>2</v>
      </c>
      <c r="N366" s="729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5907</v>
      </c>
      <c r="F367" s="463">
        <v>3307</v>
      </c>
      <c r="G367" s="468" t="s">
        <v>1328</v>
      </c>
      <c r="H367" s="462" t="s">
        <v>5908</v>
      </c>
      <c r="I367" s="462" t="s">
        <v>5909</v>
      </c>
      <c r="J367" s="462" t="s">
        <v>686</v>
      </c>
      <c r="K367" s="125" t="s">
        <v>5910</v>
      </c>
      <c r="L367" s="468" t="s">
        <v>5911</v>
      </c>
      <c r="M367" s="464">
        <v>4</v>
      </c>
      <c r="N367" s="31"/>
      <c r="O367" s="445" t="s">
        <v>5938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5827</v>
      </c>
      <c r="I369" s="608"/>
      <c r="J369" s="608" t="s">
        <v>5828</v>
      </c>
      <c r="K369" s="125"/>
      <c r="L369" s="16"/>
      <c r="M369" s="8"/>
      <c r="N369" s="608"/>
      <c r="O369" s="439"/>
      <c r="P369" s="572"/>
    </row>
    <row r="370" spans="1:16" s="484" customFormat="1" ht="33" customHeight="1">
      <c r="A370" s="1052"/>
      <c r="B370" s="198">
        <v>46181</v>
      </c>
      <c r="C370" s="3" t="s">
        <v>163</v>
      </c>
      <c r="D370" s="3" t="s">
        <v>5731</v>
      </c>
      <c r="E370" s="482" t="s">
        <v>5732</v>
      </c>
      <c r="F370" s="463" t="s">
        <v>6041</v>
      </c>
      <c r="G370" s="468" t="s">
        <v>6042</v>
      </c>
      <c r="H370" s="462" t="s">
        <v>6038</v>
      </c>
      <c r="I370" s="463"/>
      <c r="J370" s="463" t="s">
        <v>6036</v>
      </c>
      <c r="K370" s="136" t="s">
        <v>6003</v>
      </c>
      <c r="L370" s="468" t="s">
        <v>5911</v>
      </c>
      <c r="M370" s="464">
        <v>1</v>
      </c>
      <c r="N370" s="463"/>
      <c r="O370" s="466" t="s">
        <v>6039</v>
      </c>
      <c r="P370" s="1053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5907</v>
      </c>
      <c r="F371" s="463">
        <v>3307</v>
      </c>
      <c r="G371" s="468" t="s">
        <v>1328</v>
      </c>
      <c r="H371" s="462" t="s">
        <v>5908</v>
      </c>
      <c r="I371" s="462" t="s">
        <v>5909</v>
      </c>
      <c r="J371" s="462" t="s">
        <v>686</v>
      </c>
      <c r="K371" s="125" t="s">
        <v>5910</v>
      </c>
      <c r="L371" s="468" t="s">
        <v>5911</v>
      </c>
      <c r="M371" s="464">
        <v>4</v>
      </c>
      <c r="N371" s="609"/>
      <c r="O371" s="438"/>
      <c r="P371" s="572"/>
    </row>
    <row r="372" spans="1:16" s="484" customFormat="1" ht="33" customHeight="1">
      <c r="A372" s="1052"/>
      <c r="B372" s="198">
        <v>46182</v>
      </c>
      <c r="C372" s="3" t="s">
        <v>163</v>
      </c>
      <c r="D372" s="3" t="s">
        <v>5731</v>
      </c>
      <c r="E372" s="482" t="s">
        <v>5732</v>
      </c>
      <c r="F372" s="463" t="s">
        <v>6041</v>
      </c>
      <c r="G372" s="468" t="s">
        <v>6042</v>
      </c>
      <c r="H372" s="462" t="s">
        <v>6037</v>
      </c>
      <c r="I372" s="463"/>
      <c r="J372" s="463" t="s">
        <v>6036</v>
      </c>
      <c r="K372" s="136" t="s">
        <v>6003</v>
      </c>
      <c r="L372" s="468" t="s">
        <v>5911</v>
      </c>
      <c r="M372" s="464">
        <v>1</v>
      </c>
      <c r="N372" s="465"/>
      <c r="O372" s="466" t="s">
        <v>6040</v>
      </c>
      <c r="P372" s="1053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5907</v>
      </c>
      <c r="F373" s="463">
        <v>3307</v>
      </c>
      <c r="G373" s="468" t="s">
        <v>1328</v>
      </c>
      <c r="H373" s="462" t="s">
        <v>5908</v>
      </c>
      <c r="I373" s="462" t="s">
        <v>5909</v>
      </c>
      <c r="J373" s="462" t="s">
        <v>686</v>
      </c>
      <c r="K373" s="125" t="s">
        <v>5910</v>
      </c>
      <c r="L373" s="468" t="s">
        <v>5911</v>
      </c>
      <c r="M373" s="464">
        <v>4</v>
      </c>
      <c r="N373" s="729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6035</v>
      </c>
      <c r="F374" s="463">
        <v>3306</v>
      </c>
      <c r="G374" s="468" t="s">
        <v>1328</v>
      </c>
      <c r="H374" s="462" t="s">
        <v>5908</v>
      </c>
      <c r="I374" s="462" t="s">
        <v>5909</v>
      </c>
      <c r="J374" s="462" t="s">
        <v>686</v>
      </c>
      <c r="K374" s="125" t="s">
        <v>5910</v>
      </c>
      <c r="L374" s="468" t="s">
        <v>5911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5912</v>
      </c>
      <c r="F376" s="463">
        <v>3306</v>
      </c>
      <c r="G376" s="468" t="s">
        <v>1328</v>
      </c>
      <c r="H376" s="462" t="s">
        <v>5908</v>
      </c>
      <c r="I376" s="462" t="s">
        <v>5909</v>
      </c>
      <c r="J376" s="462" t="s">
        <v>686</v>
      </c>
      <c r="K376" s="125" t="s">
        <v>5910</v>
      </c>
      <c r="L376" s="468" t="s">
        <v>5911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5899</v>
      </c>
      <c r="E377" s="291" t="s">
        <v>5900</v>
      </c>
      <c r="F377" s="608" t="s">
        <v>5901</v>
      </c>
      <c r="G377" s="16" t="s">
        <v>5902</v>
      </c>
      <c r="H377" s="612" t="s">
        <v>5903</v>
      </c>
      <c r="I377" s="608" t="s">
        <v>5904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5912</v>
      </c>
      <c r="F378" s="463">
        <v>3306</v>
      </c>
      <c r="G378" s="468" t="s">
        <v>1328</v>
      </c>
      <c r="H378" s="462" t="s">
        <v>5908</v>
      </c>
      <c r="I378" s="462" t="s">
        <v>5909</v>
      </c>
      <c r="J378" s="462" t="s">
        <v>686</v>
      </c>
      <c r="K378" s="125" t="s">
        <v>5910</v>
      </c>
      <c r="L378" s="468" t="s">
        <v>5911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5800</v>
      </c>
      <c r="I379" s="316"/>
      <c r="J379" s="238" t="s">
        <v>5840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5905</v>
      </c>
      <c r="G383" s="387" t="s">
        <v>3268</v>
      </c>
      <c r="H383" s="238" t="s">
        <v>4109</v>
      </c>
      <c r="I383" s="316" t="s">
        <v>5906</v>
      </c>
      <c r="J383" s="238"/>
      <c r="K383" s="239" t="s">
        <v>3265</v>
      </c>
      <c r="L383" s="387" t="s">
        <v>4379</v>
      </c>
      <c r="M383" s="757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5731</v>
      </c>
      <c r="E390" s="291" t="s">
        <v>5732</v>
      </c>
      <c r="F390" s="668" t="s">
        <v>5736</v>
      </c>
      <c r="G390" s="16" t="s">
        <v>5735</v>
      </c>
      <c r="H390" s="612" t="s">
        <v>5734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 t="s">
        <v>6000</v>
      </c>
      <c r="D391" s="4" t="s">
        <v>6001</v>
      </c>
      <c r="E391" s="291" t="s">
        <v>5999</v>
      </c>
      <c r="F391" s="729" t="s">
        <v>5996</v>
      </c>
      <c r="G391" s="16" t="s">
        <v>5998</v>
      </c>
      <c r="H391" s="731" t="s">
        <v>5997</v>
      </c>
      <c r="I391" s="729" t="s">
        <v>6005</v>
      </c>
      <c r="J391" s="729" t="s">
        <v>6002</v>
      </c>
      <c r="K391" s="125" t="s">
        <v>6003</v>
      </c>
      <c r="L391" s="16" t="s">
        <v>6004</v>
      </c>
      <c r="M391" s="8">
        <v>4</v>
      </c>
      <c r="N391" s="729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386" activePane="bottomLeft" state="frozen"/>
      <selection pane="bottomLeft" activeCell="I1431" sqref="I143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1" t="s">
        <v>161</v>
      </c>
      <c r="B1" s="881" t="s">
        <v>162</v>
      </c>
      <c r="C1" s="879" t="s">
        <v>1</v>
      </c>
      <c r="D1" s="879" t="s">
        <v>2</v>
      </c>
      <c r="E1" s="879" t="s">
        <v>3</v>
      </c>
      <c r="F1" s="27" t="s">
        <v>54</v>
      </c>
      <c r="G1" s="879" t="s">
        <v>5</v>
      </c>
      <c r="H1" s="879" t="s">
        <v>6</v>
      </c>
      <c r="I1" s="879" t="s">
        <v>7</v>
      </c>
      <c r="J1" s="879" t="s">
        <v>55</v>
      </c>
      <c r="K1" s="883" t="s">
        <v>483</v>
      </c>
      <c r="L1" s="885" t="s">
        <v>56</v>
      </c>
      <c r="M1" s="877" t="s">
        <v>57</v>
      </c>
      <c r="N1" s="879" t="s">
        <v>58</v>
      </c>
    </row>
    <row r="2" spans="1:14" hidden="1">
      <c r="A2" s="882"/>
      <c r="B2" s="882"/>
      <c r="C2" s="880"/>
      <c r="D2" s="880"/>
      <c r="E2" s="880"/>
      <c r="F2" s="28" t="s">
        <v>59</v>
      </c>
      <c r="G2" s="880"/>
      <c r="H2" s="880"/>
      <c r="I2" s="880"/>
      <c r="J2" s="880"/>
      <c r="K2" s="884"/>
      <c r="L2" s="886"/>
      <c r="M2" s="878"/>
      <c r="N2" s="880"/>
    </row>
    <row r="3" spans="1:14" ht="27" hidden="1">
      <c r="A3" s="55">
        <v>1</v>
      </c>
      <c r="B3" s="84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5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4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4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56"/>
      <c r="C9" s="8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56"/>
      <c r="C10" s="8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5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56"/>
      <c r="C12" s="8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56"/>
      <c r="C13" s="8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56"/>
      <c r="C14" s="8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56"/>
      <c r="C15" s="8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56"/>
      <c r="C16" s="8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4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4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4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 hidden="1">
      <c r="A24" s="55">
        <v>4</v>
      </c>
      <c r="B24" s="840" t="s">
        <v>21</v>
      </c>
      <c r="C24" s="83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6" t="s">
        <v>85</v>
      </c>
      <c r="K24" s="863" t="s">
        <v>41</v>
      </c>
      <c r="L24" s="6" t="s">
        <v>15</v>
      </c>
      <c r="M24" s="868">
        <v>180000</v>
      </c>
      <c r="N24" s="45" t="s">
        <v>194</v>
      </c>
    </row>
    <row r="25" spans="1:17" ht="27" hidden="1">
      <c r="A25" s="55">
        <v>4</v>
      </c>
      <c r="B25" s="856"/>
      <c r="C25" s="83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7"/>
      <c r="K25" s="864"/>
      <c r="L25" s="6" t="s">
        <v>15</v>
      </c>
      <c r="M25" s="869"/>
      <c r="N25" s="45" t="s">
        <v>194</v>
      </c>
    </row>
    <row r="26" spans="1:17" hidden="1">
      <c r="A26" s="55">
        <v>4</v>
      </c>
      <c r="B26" s="856"/>
      <c r="C26" s="83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41"/>
      <c r="C27" s="83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4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5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56"/>
      <c r="C32" s="83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56"/>
      <c r="C33" s="83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4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40" t="s">
        <v>20</v>
      </c>
      <c r="C35" s="83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41"/>
      <c r="C36" s="83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40" t="s">
        <v>20</v>
      </c>
      <c r="C37" s="83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41"/>
      <c r="C38" s="83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75"/>
      <c r="C40" s="83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75"/>
      <c r="C41" s="83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6"/>
      <c r="C45" s="8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6"/>
      <c r="C46" s="8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4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5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4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40" t="s">
        <v>64</v>
      </c>
      <c r="C67" s="83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3" t="s">
        <v>435</v>
      </c>
      <c r="L67" s="6" t="s">
        <v>436</v>
      </c>
      <c r="M67" s="868">
        <v>750000</v>
      </c>
      <c r="N67" s="45" t="s">
        <v>446</v>
      </c>
    </row>
    <row r="68" spans="1:15" ht="27" hidden="1">
      <c r="A68" s="55">
        <v>19</v>
      </c>
      <c r="B68" s="856"/>
      <c r="C68" s="8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4"/>
      <c r="L68" s="6" t="s">
        <v>411</v>
      </c>
      <c r="M68" s="869"/>
      <c r="N68" s="45" t="s">
        <v>445</v>
      </c>
    </row>
    <row r="69" spans="1:15" hidden="1">
      <c r="A69" s="55">
        <v>19</v>
      </c>
      <c r="B69" s="856"/>
      <c r="C69" s="83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5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4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4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5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5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5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4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4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5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4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4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4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4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56"/>
      <c r="C83" s="83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56"/>
      <c r="C84" s="83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56"/>
      <c r="C85" s="83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56"/>
      <c r="C86" s="83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5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5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4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4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4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4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56"/>
      <c r="C93" s="83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56"/>
      <c r="C94" s="8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56"/>
      <c r="C95" s="83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5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4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40" t="s">
        <v>21</v>
      </c>
      <c r="C99" s="83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56"/>
      <c r="C100" s="83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5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5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4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4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5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5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4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4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4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57" t="s">
        <v>658</v>
      </c>
      <c r="C110" s="8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58"/>
      <c r="C111" s="8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58"/>
      <c r="C112" s="8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90"/>
      <c r="C113" s="8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58"/>
      <c r="C115" s="8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59"/>
      <c r="C116" s="8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40" t="s">
        <v>20</v>
      </c>
      <c r="C117" s="90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6" t="s">
        <v>168</v>
      </c>
      <c r="K117" s="863" t="s">
        <v>645</v>
      </c>
      <c r="L117" s="57" t="s">
        <v>209</v>
      </c>
      <c r="M117" s="892">
        <f>250000*5</f>
        <v>1250000</v>
      </c>
      <c r="N117" s="840" t="s">
        <v>121</v>
      </c>
    </row>
    <row r="118" spans="1:14" hidden="1">
      <c r="A118" s="101">
        <v>28</v>
      </c>
      <c r="B118" s="856"/>
      <c r="C118" s="8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2"/>
      <c r="K118" s="901"/>
      <c r="L118" s="57" t="s">
        <v>209</v>
      </c>
      <c r="M118" s="893"/>
      <c r="N118" s="856"/>
    </row>
    <row r="119" spans="1:14" hidden="1">
      <c r="A119" s="101">
        <v>28</v>
      </c>
      <c r="B119" s="856"/>
      <c r="C119" s="8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7"/>
      <c r="K119" s="864"/>
      <c r="L119" s="57" t="s">
        <v>209</v>
      </c>
      <c r="M119" s="894"/>
      <c r="N119" s="841"/>
    </row>
    <row r="120" spans="1:14" hidden="1">
      <c r="A120" s="101">
        <v>28</v>
      </c>
      <c r="B120" s="841"/>
      <c r="C120" s="83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57" t="s">
        <v>307</v>
      </c>
      <c r="C122" s="8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58"/>
      <c r="C123" s="8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7" t="s">
        <v>664</v>
      </c>
      <c r="K123" s="865" t="s">
        <v>707</v>
      </c>
      <c r="L123" s="110" t="s">
        <v>324</v>
      </c>
      <c r="M123" s="895" t="s">
        <v>708</v>
      </c>
      <c r="N123" s="110"/>
    </row>
    <row r="124" spans="1:14" hidden="1">
      <c r="A124" s="55">
        <v>29</v>
      </c>
      <c r="B124" s="858"/>
      <c r="C124" s="8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8"/>
      <c r="K124" s="866"/>
      <c r="L124" s="110" t="s">
        <v>324</v>
      </c>
      <c r="M124" s="896"/>
      <c r="N124" s="110"/>
    </row>
    <row r="125" spans="1:14" hidden="1">
      <c r="A125" s="55">
        <v>29</v>
      </c>
      <c r="B125" s="858"/>
      <c r="C125" s="8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9"/>
      <c r="K125" s="867"/>
      <c r="L125" s="110" t="s">
        <v>324</v>
      </c>
      <c r="M125" s="897"/>
      <c r="N125" s="110"/>
    </row>
    <row r="126" spans="1:14" hidden="1">
      <c r="A126" s="55">
        <v>29</v>
      </c>
      <c r="B126" s="859"/>
      <c r="C126" s="85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8"/>
      <c r="C130" s="8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58"/>
      <c r="C131" s="85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8"/>
      <c r="C132" s="8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58"/>
      <c r="C133" s="85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5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40" t="s">
        <v>618</v>
      </c>
      <c r="C135" s="83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6"/>
      <c r="C136" s="8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6"/>
      <c r="C137" s="8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41"/>
      <c r="C138" s="83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6"/>
      <c r="C140" s="83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56"/>
      <c r="C141" s="83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0" t="s">
        <v>735</v>
      </c>
    </row>
    <row r="142" spans="1:14" hidden="1">
      <c r="A142" s="55">
        <v>30</v>
      </c>
      <c r="B142" s="84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4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4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0" t="s">
        <v>20</v>
      </c>
      <c r="C146" s="838" t="s">
        <v>869</v>
      </c>
      <c r="D146" s="863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41"/>
      <c r="C147" s="839"/>
      <c r="D147" s="864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0" t="s">
        <v>123</v>
      </c>
      <c r="C148" s="838" t="s">
        <v>782</v>
      </c>
      <c r="D148" s="863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41"/>
      <c r="C149" s="839"/>
      <c r="D149" s="864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4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5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4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0" t="s">
        <v>247</v>
      </c>
    </row>
    <row r="154" spans="1:14" ht="27" hidden="1">
      <c r="A154" s="55">
        <v>34</v>
      </c>
      <c r="B154" s="856"/>
      <c r="C154" s="83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6"/>
    </row>
    <row r="155" spans="1:14" ht="27" hidden="1">
      <c r="A155" s="55">
        <v>34</v>
      </c>
      <c r="B155" s="856"/>
      <c r="C155" s="83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1"/>
    </row>
    <row r="156" spans="1:14" ht="27" hidden="1">
      <c r="A156" s="55">
        <v>34</v>
      </c>
      <c r="B156" s="856"/>
      <c r="C156" s="83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0" t="s">
        <v>825</v>
      </c>
    </row>
    <row r="157" spans="1:14" ht="27" hidden="1">
      <c r="A157" s="55">
        <v>34</v>
      </c>
      <c r="B157" s="856"/>
      <c r="C157" s="83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6"/>
    </row>
    <row r="158" spans="1:14" ht="27" hidden="1">
      <c r="A158" s="55">
        <v>34</v>
      </c>
      <c r="B158" s="856"/>
      <c r="C158" s="83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6"/>
    </row>
    <row r="159" spans="1:14" ht="27" hidden="1">
      <c r="A159" s="55">
        <v>34</v>
      </c>
      <c r="B159" s="856"/>
      <c r="C159" s="83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6"/>
    </row>
    <row r="160" spans="1:14" ht="27" hidden="1">
      <c r="A160" s="55">
        <v>34</v>
      </c>
      <c r="B160" s="85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6"/>
    </row>
    <row r="161" spans="1:15" ht="27" hidden="1">
      <c r="A161" s="55">
        <v>34</v>
      </c>
      <c r="B161" s="85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1"/>
    </row>
    <row r="162" spans="1:15" ht="27" hidden="1">
      <c r="A162" s="55">
        <v>34</v>
      </c>
      <c r="B162" s="84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4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5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5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13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14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14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15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14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15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14"/>
      <c r="C181" s="83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6" t="s">
        <v>838</v>
      </c>
      <c r="K181" s="863" t="s">
        <v>985</v>
      </c>
      <c r="L181" s="6" t="s">
        <v>910</v>
      </c>
      <c r="M181" s="892">
        <f>180000+200000+200000</f>
        <v>580000</v>
      </c>
      <c r="N181" s="45" t="s">
        <v>806</v>
      </c>
    </row>
    <row r="182" spans="1:14" hidden="1">
      <c r="A182" s="55">
        <v>36</v>
      </c>
      <c r="B182" s="814"/>
      <c r="C182" s="8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7"/>
      <c r="K182" s="864"/>
      <c r="L182" s="6" t="s">
        <v>911</v>
      </c>
      <c r="M182" s="894"/>
      <c r="N182" s="45" t="s">
        <v>806</v>
      </c>
    </row>
    <row r="183" spans="1:14" hidden="1">
      <c r="A183" s="55">
        <v>36</v>
      </c>
      <c r="B183" s="814"/>
      <c r="C183" s="83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14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15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13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14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14"/>
      <c r="C196" s="83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4"/>
      <c r="C197" s="83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14"/>
      <c r="C198" s="83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5"/>
      <c r="C199" s="83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13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14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14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15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13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14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13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14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0" t="s">
        <v>247</v>
      </c>
    </row>
    <row r="226" spans="1:14" hidden="1">
      <c r="A226" s="55">
        <v>44</v>
      </c>
      <c r="B226" s="8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6"/>
    </row>
    <row r="227" spans="1:14" hidden="1">
      <c r="A227" s="55">
        <v>44</v>
      </c>
      <c r="B227" s="8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1"/>
    </row>
    <row r="228" spans="1:14" hidden="1">
      <c r="A228" s="55">
        <v>44</v>
      </c>
      <c r="B228" s="8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14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0" t="s">
        <v>247</v>
      </c>
    </row>
    <row r="250" spans="1:14">
      <c r="A250" s="55">
        <v>48</v>
      </c>
      <c r="B250" s="815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1"/>
    </row>
    <row r="251" spans="1:14">
      <c r="A251" s="55">
        <v>48</v>
      </c>
      <c r="B251" s="8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14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0" t="s">
        <v>247</v>
      </c>
    </row>
    <row r="257" spans="1:14" hidden="1">
      <c r="A257" s="55">
        <v>49</v>
      </c>
      <c r="B257" s="815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1"/>
    </row>
    <row r="258" spans="1:14" ht="40.5">
      <c r="A258" s="55">
        <v>49</v>
      </c>
      <c r="B258" s="8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2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2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24" t="s">
        <v>1103</v>
      </c>
    </row>
    <row r="262" spans="1:14" ht="25.5" hidden="1">
      <c r="A262" s="132">
        <v>49</v>
      </c>
      <c r="B262" s="82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25"/>
    </row>
    <row r="263" spans="1:14" ht="16.5" customHeight="1">
      <c r="A263" s="55">
        <v>50</v>
      </c>
      <c r="B263" s="813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14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14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14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15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26" t="s">
        <v>658</v>
      </c>
      <c r="C268" s="82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27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28"/>
      <c r="C270" s="82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13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14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14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14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4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50" t="s">
        <v>1196</v>
      </c>
      <c r="B278" s="851"/>
      <c r="C278" s="851"/>
      <c r="D278" s="851"/>
      <c r="E278" s="851"/>
      <c r="F278" s="851"/>
      <c r="G278" s="851"/>
      <c r="H278" s="851"/>
      <c r="I278" s="851"/>
      <c r="J278" s="851"/>
      <c r="K278" s="851"/>
      <c r="L278" s="851"/>
      <c r="M278" s="851"/>
      <c r="N278" s="852"/>
    </row>
    <row r="279" spans="1:15" ht="16.5" hidden="1" customHeight="1">
      <c r="A279" s="55">
        <v>1</v>
      </c>
      <c r="B279" s="813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15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13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4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14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6" t="s">
        <v>1174</v>
      </c>
      <c r="K283" s="848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14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7"/>
      <c r="K284" s="849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53" t="s">
        <v>123</v>
      </c>
      <c r="C287" s="82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54"/>
      <c r="C288" s="82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26" t="s">
        <v>64</v>
      </c>
      <c r="C289" s="82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27"/>
      <c r="C290" s="84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27"/>
      <c r="C291" s="84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24" t="s">
        <v>638</v>
      </c>
      <c r="K291" s="842" t="s">
        <v>671</v>
      </c>
      <c r="L291" s="148" t="s">
        <v>309</v>
      </c>
      <c r="M291" s="833" t="s">
        <v>672</v>
      </c>
      <c r="N291" s="148" t="s">
        <v>723</v>
      </c>
    </row>
    <row r="292" spans="1:15" hidden="1">
      <c r="A292" s="55">
        <v>2</v>
      </c>
      <c r="B292" s="827"/>
      <c r="C292" s="84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25"/>
      <c r="K292" s="843"/>
      <c r="L292" s="148" t="s">
        <v>309</v>
      </c>
      <c r="M292" s="834"/>
      <c r="N292" s="148" t="s">
        <v>723</v>
      </c>
    </row>
    <row r="293" spans="1:15" hidden="1">
      <c r="A293" s="55">
        <v>2</v>
      </c>
      <c r="B293" s="827"/>
      <c r="C293" s="84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27"/>
      <c r="C294" s="82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2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13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14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15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13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4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14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14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15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13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15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26" t="s">
        <v>307</v>
      </c>
      <c r="C313" s="82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28"/>
      <c r="C314" s="82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13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14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15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13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15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13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14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15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13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14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14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15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13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14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14"/>
      <c r="C349" s="83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15"/>
      <c r="C350" s="83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2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2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2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2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2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2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2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2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2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26" t="s">
        <v>307</v>
      </c>
      <c r="C375" s="128" t="s">
        <v>1531</v>
      </c>
      <c r="D375" s="824" t="s">
        <v>306</v>
      </c>
      <c r="E375" s="824" t="s">
        <v>322</v>
      </c>
      <c r="F375" s="824" t="s">
        <v>307</v>
      </c>
      <c r="G375" s="829">
        <v>4266</v>
      </c>
      <c r="H375" s="824" t="s">
        <v>640</v>
      </c>
      <c r="I375" s="829" t="s">
        <v>1533</v>
      </c>
      <c r="J375" s="824" t="s">
        <v>1534</v>
      </c>
      <c r="K375" s="831" t="s">
        <v>692</v>
      </c>
      <c r="L375" s="824" t="s">
        <v>324</v>
      </c>
      <c r="M375" s="833" t="s">
        <v>1535</v>
      </c>
      <c r="N375" s="824" t="s">
        <v>425</v>
      </c>
    </row>
    <row r="376" spans="1:19" hidden="1">
      <c r="A376" s="199" t="s">
        <v>1539</v>
      </c>
      <c r="B376" s="827"/>
      <c r="C376" s="129" t="s">
        <v>1532</v>
      </c>
      <c r="D376" s="825"/>
      <c r="E376" s="825"/>
      <c r="F376" s="825"/>
      <c r="G376" s="830"/>
      <c r="H376" s="825"/>
      <c r="I376" s="830"/>
      <c r="J376" s="825"/>
      <c r="K376" s="832"/>
      <c r="L376" s="825"/>
      <c r="M376" s="834"/>
      <c r="N376" s="825"/>
    </row>
    <row r="377" spans="1:19">
      <c r="A377" s="199" t="s">
        <v>1539</v>
      </c>
      <c r="B377" s="827"/>
      <c r="C377" s="128" t="s">
        <v>1536</v>
      </c>
      <c r="D377" s="824" t="s">
        <v>306</v>
      </c>
      <c r="E377" s="824" t="s">
        <v>322</v>
      </c>
      <c r="F377" s="824" t="s">
        <v>307</v>
      </c>
      <c r="G377" s="829">
        <v>3306</v>
      </c>
      <c r="H377" s="824" t="s">
        <v>1153</v>
      </c>
      <c r="I377" s="829" t="s">
        <v>1538</v>
      </c>
      <c r="J377" s="824" t="s">
        <v>1534</v>
      </c>
      <c r="K377" s="831" t="s">
        <v>692</v>
      </c>
      <c r="L377" s="824" t="s">
        <v>324</v>
      </c>
      <c r="M377" s="833" t="s">
        <v>1535</v>
      </c>
      <c r="N377" s="824" t="s">
        <v>425</v>
      </c>
    </row>
    <row r="378" spans="1:19" hidden="1">
      <c r="A378" s="199" t="s">
        <v>1539</v>
      </c>
      <c r="B378" s="828"/>
      <c r="C378" s="129" t="s">
        <v>1537</v>
      </c>
      <c r="D378" s="825"/>
      <c r="E378" s="825"/>
      <c r="F378" s="825"/>
      <c r="G378" s="830"/>
      <c r="H378" s="825"/>
      <c r="I378" s="830"/>
      <c r="J378" s="825"/>
      <c r="K378" s="832"/>
      <c r="L378" s="825"/>
      <c r="M378" s="834"/>
      <c r="N378" s="825"/>
    </row>
    <row r="379" spans="1:19" ht="27" hidden="1" customHeight="1">
      <c r="A379" s="123">
        <v>15</v>
      </c>
      <c r="B379" s="8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1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1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1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1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1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1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1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1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1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1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1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1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1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1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06" t="s">
        <v>1782</v>
      </c>
      <c r="C403" s="226" t="s">
        <v>1748</v>
      </c>
      <c r="D403" s="818" t="s">
        <v>306</v>
      </c>
      <c r="E403" s="818" t="s">
        <v>322</v>
      </c>
      <c r="F403" s="818" t="s">
        <v>307</v>
      </c>
      <c r="G403" s="820">
        <v>3306</v>
      </c>
      <c r="H403" s="818" t="s">
        <v>1153</v>
      </c>
      <c r="I403" s="820" t="s">
        <v>1749</v>
      </c>
      <c r="J403" s="818" t="s">
        <v>664</v>
      </c>
      <c r="K403" s="822" t="s">
        <v>1288</v>
      </c>
      <c r="L403" s="818" t="s">
        <v>324</v>
      </c>
      <c r="M403" s="816" t="s">
        <v>1750</v>
      </c>
      <c r="N403" s="818" t="s">
        <v>665</v>
      </c>
    </row>
    <row r="404" spans="1:14" hidden="1">
      <c r="A404" s="123">
        <v>18</v>
      </c>
      <c r="B404" s="807"/>
      <c r="C404" s="226" t="s">
        <v>1751</v>
      </c>
      <c r="D404" s="819"/>
      <c r="E404" s="819"/>
      <c r="F404" s="819"/>
      <c r="G404" s="821"/>
      <c r="H404" s="819"/>
      <c r="I404" s="821"/>
      <c r="J404" s="819"/>
      <c r="K404" s="823"/>
      <c r="L404" s="819"/>
      <c r="M404" s="817"/>
      <c r="N404" s="819"/>
    </row>
    <row r="405" spans="1:14" ht="22.5" hidden="1">
      <c r="A405" s="123">
        <v>18</v>
      </c>
      <c r="B405" s="80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07"/>
      <c r="C406" s="226" t="s">
        <v>1755</v>
      </c>
      <c r="D406" s="818" t="s">
        <v>306</v>
      </c>
      <c r="E406" s="818" t="s">
        <v>322</v>
      </c>
      <c r="F406" s="818" t="s">
        <v>307</v>
      </c>
      <c r="G406" s="820" t="s">
        <v>1756</v>
      </c>
      <c r="H406" s="818" t="s">
        <v>347</v>
      </c>
      <c r="I406" s="820" t="s">
        <v>1154</v>
      </c>
      <c r="J406" s="818" t="s">
        <v>664</v>
      </c>
      <c r="K406" s="818" t="s">
        <v>1757</v>
      </c>
      <c r="L406" s="818" t="s">
        <v>324</v>
      </c>
      <c r="M406" s="816" t="s">
        <v>1758</v>
      </c>
      <c r="N406" s="818" t="s">
        <v>665</v>
      </c>
    </row>
    <row r="407" spans="1:14" hidden="1">
      <c r="A407" s="123">
        <v>18</v>
      </c>
      <c r="B407" s="807"/>
      <c r="C407" s="226" t="s">
        <v>1759</v>
      </c>
      <c r="D407" s="819"/>
      <c r="E407" s="819"/>
      <c r="F407" s="819"/>
      <c r="G407" s="821"/>
      <c r="H407" s="819"/>
      <c r="I407" s="821"/>
      <c r="J407" s="819"/>
      <c r="K407" s="819"/>
      <c r="L407" s="819"/>
      <c r="M407" s="817"/>
      <c r="N407" s="819"/>
    </row>
    <row r="408" spans="1:14" ht="16.5" hidden="1" customHeight="1">
      <c r="A408" s="123">
        <v>18</v>
      </c>
      <c r="B408" s="807"/>
      <c r="C408" s="228" t="s">
        <v>1760</v>
      </c>
      <c r="D408" s="818" t="s">
        <v>306</v>
      </c>
      <c r="E408" s="818" t="s">
        <v>322</v>
      </c>
      <c r="F408" s="818" t="s">
        <v>307</v>
      </c>
      <c r="G408" s="820" t="s">
        <v>1761</v>
      </c>
      <c r="H408" s="818" t="s">
        <v>329</v>
      </c>
      <c r="I408" s="820" t="s">
        <v>1762</v>
      </c>
      <c r="J408" s="818" t="s">
        <v>664</v>
      </c>
      <c r="K408" s="818" t="s">
        <v>1763</v>
      </c>
      <c r="L408" s="818" t="s">
        <v>324</v>
      </c>
      <c r="M408" s="816" t="s">
        <v>1764</v>
      </c>
      <c r="N408" s="818" t="s">
        <v>1765</v>
      </c>
    </row>
    <row r="409" spans="1:14" hidden="1">
      <c r="A409" s="123">
        <v>18</v>
      </c>
      <c r="B409" s="808"/>
      <c r="C409" s="226" t="s">
        <v>1766</v>
      </c>
      <c r="D409" s="819"/>
      <c r="E409" s="819"/>
      <c r="F409" s="819"/>
      <c r="G409" s="821"/>
      <c r="H409" s="819"/>
      <c r="I409" s="821"/>
      <c r="J409" s="819"/>
      <c r="K409" s="819"/>
      <c r="L409" s="819"/>
      <c r="M409" s="817"/>
      <c r="N409" s="819"/>
    </row>
    <row r="410" spans="1:14" ht="16.5" customHeight="1">
      <c r="A410" s="123">
        <v>18</v>
      </c>
      <c r="B410" s="806" t="s">
        <v>253</v>
      </c>
      <c r="C410" s="903" t="s">
        <v>1767</v>
      </c>
      <c r="D410" s="818" t="s">
        <v>311</v>
      </c>
      <c r="E410" s="818" t="s">
        <v>320</v>
      </c>
      <c r="F410" s="818" t="s">
        <v>709</v>
      </c>
      <c r="G410" s="818" t="s">
        <v>1768</v>
      </c>
      <c r="H410" s="903" t="s">
        <v>1769</v>
      </c>
      <c r="I410" s="227" t="s">
        <v>1770</v>
      </c>
      <c r="J410" s="818"/>
      <c r="K410" s="905" t="s">
        <v>1771</v>
      </c>
      <c r="L410" s="818" t="s">
        <v>309</v>
      </c>
      <c r="M410" s="816" t="s">
        <v>1764</v>
      </c>
      <c r="N410" s="818" t="s">
        <v>1772</v>
      </c>
    </row>
    <row r="411" spans="1:14" hidden="1">
      <c r="A411" s="123">
        <v>18</v>
      </c>
      <c r="B411" s="807"/>
      <c r="C411" s="904"/>
      <c r="D411" s="819"/>
      <c r="E411" s="819"/>
      <c r="F411" s="819"/>
      <c r="G411" s="819"/>
      <c r="H411" s="904"/>
      <c r="I411" s="227" t="s">
        <v>1773</v>
      </c>
      <c r="J411" s="819"/>
      <c r="K411" s="906"/>
      <c r="L411" s="819"/>
      <c r="M411" s="817"/>
      <c r="N411" s="819"/>
    </row>
    <row r="412" spans="1:14" ht="22.5" hidden="1">
      <c r="A412" s="123">
        <v>18</v>
      </c>
      <c r="B412" s="80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07"/>
      <c r="C413" s="903" t="s">
        <v>1776</v>
      </c>
      <c r="D413" s="903" t="s">
        <v>700</v>
      </c>
      <c r="E413" s="818" t="s">
        <v>675</v>
      </c>
      <c r="F413" s="903" t="s">
        <v>1777</v>
      </c>
      <c r="G413" s="903" t="s">
        <v>1778</v>
      </c>
      <c r="H413" s="903" t="s">
        <v>662</v>
      </c>
      <c r="I413" s="227" t="s">
        <v>1779</v>
      </c>
      <c r="J413" s="818" t="s">
        <v>638</v>
      </c>
      <c r="K413" s="818" t="s">
        <v>731</v>
      </c>
      <c r="L413" s="818" t="s">
        <v>309</v>
      </c>
      <c r="M413" s="816" t="s">
        <v>1780</v>
      </c>
      <c r="N413" s="818" t="s">
        <v>1781</v>
      </c>
    </row>
    <row r="414" spans="1:14" hidden="1">
      <c r="A414" s="123">
        <v>18</v>
      </c>
      <c r="B414" s="808"/>
      <c r="C414" s="904"/>
      <c r="D414" s="904"/>
      <c r="E414" s="819"/>
      <c r="F414" s="904"/>
      <c r="G414" s="904"/>
      <c r="H414" s="904"/>
      <c r="I414" s="26"/>
      <c r="J414" s="819"/>
      <c r="K414" s="819"/>
      <c r="L414" s="819"/>
      <c r="M414" s="817"/>
      <c r="N414" s="819"/>
    </row>
    <row r="415" spans="1:14" ht="16.5" hidden="1" customHeight="1">
      <c r="A415" s="123">
        <v>19</v>
      </c>
      <c r="B415" s="806" t="s">
        <v>20</v>
      </c>
      <c r="C415" s="148" t="s">
        <v>1794</v>
      </c>
      <c r="D415" s="824" t="s">
        <v>306</v>
      </c>
      <c r="E415" s="824" t="s">
        <v>322</v>
      </c>
      <c r="F415" s="824" t="s">
        <v>307</v>
      </c>
      <c r="G415" s="829" t="s">
        <v>1796</v>
      </c>
      <c r="H415" s="824" t="s">
        <v>1797</v>
      </c>
      <c r="I415" s="829" t="s">
        <v>1792</v>
      </c>
      <c r="J415" s="824" t="s">
        <v>664</v>
      </c>
      <c r="K415" s="148" t="s">
        <v>1520</v>
      </c>
      <c r="L415" s="824" t="s">
        <v>324</v>
      </c>
      <c r="M415" s="833" t="s">
        <v>1799</v>
      </c>
      <c r="N415" s="824" t="s">
        <v>665</v>
      </c>
    </row>
    <row r="416" spans="1:14" hidden="1">
      <c r="A416" s="123">
        <v>19</v>
      </c>
      <c r="B416" s="807"/>
      <c r="C416" s="148" t="s">
        <v>1795</v>
      </c>
      <c r="D416" s="825"/>
      <c r="E416" s="825"/>
      <c r="F416" s="825"/>
      <c r="G416" s="830"/>
      <c r="H416" s="825"/>
      <c r="I416" s="830"/>
      <c r="J416" s="825"/>
      <c r="K416" s="148" t="s">
        <v>1798</v>
      </c>
      <c r="L416" s="825"/>
      <c r="M416" s="834"/>
      <c r="N416" s="825"/>
    </row>
    <row r="417" spans="1:14" hidden="1">
      <c r="A417" s="123">
        <v>19</v>
      </c>
      <c r="B417" s="807"/>
      <c r="C417" s="148" t="s">
        <v>1800</v>
      </c>
      <c r="D417" s="824" t="s">
        <v>306</v>
      </c>
      <c r="E417" s="824" t="s">
        <v>322</v>
      </c>
      <c r="F417" s="824" t="s">
        <v>307</v>
      </c>
      <c r="G417" s="829" t="s">
        <v>1801</v>
      </c>
      <c r="H417" s="824" t="s">
        <v>1802</v>
      </c>
      <c r="I417" s="829" t="s">
        <v>1803</v>
      </c>
      <c r="J417" s="824" t="s">
        <v>664</v>
      </c>
      <c r="K417" s="842" t="s">
        <v>1155</v>
      </c>
      <c r="L417" s="824" t="s">
        <v>324</v>
      </c>
      <c r="M417" s="833" t="s">
        <v>1804</v>
      </c>
      <c r="N417" s="824" t="s">
        <v>665</v>
      </c>
    </row>
    <row r="418" spans="1:14" hidden="1">
      <c r="A418" s="123">
        <v>19</v>
      </c>
      <c r="B418" s="808"/>
      <c r="C418" s="148" t="s">
        <v>1795</v>
      </c>
      <c r="D418" s="825"/>
      <c r="E418" s="825"/>
      <c r="F418" s="825"/>
      <c r="G418" s="830"/>
      <c r="H418" s="825"/>
      <c r="I418" s="830"/>
      <c r="J418" s="825"/>
      <c r="K418" s="843"/>
      <c r="L418" s="825"/>
      <c r="M418" s="834"/>
      <c r="N418" s="825"/>
    </row>
    <row r="419" spans="1:14" ht="16.5" hidden="1" customHeight="1">
      <c r="A419" s="123">
        <v>19</v>
      </c>
      <c r="B419" s="806" t="s">
        <v>21</v>
      </c>
      <c r="C419" s="857" t="s">
        <v>1805</v>
      </c>
      <c r="D419" s="857" t="s">
        <v>700</v>
      </c>
      <c r="E419" s="824" t="s">
        <v>675</v>
      </c>
      <c r="F419" s="857" t="s">
        <v>1806</v>
      </c>
      <c r="G419" s="857" t="s">
        <v>1807</v>
      </c>
      <c r="H419" s="857" t="s">
        <v>662</v>
      </c>
      <c r="I419" s="829" t="s">
        <v>1808</v>
      </c>
      <c r="J419" s="824"/>
      <c r="K419" s="907" t="s">
        <v>1809</v>
      </c>
      <c r="L419" s="824" t="s">
        <v>309</v>
      </c>
      <c r="M419" s="833" t="s">
        <v>1810</v>
      </c>
      <c r="N419" s="149" t="s">
        <v>1811</v>
      </c>
    </row>
    <row r="420" spans="1:14" hidden="1">
      <c r="A420" s="123">
        <v>19</v>
      </c>
      <c r="B420" s="807"/>
      <c r="C420" s="859"/>
      <c r="D420" s="859"/>
      <c r="E420" s="825"/>
      <c r="F420" s="859"/>
      <c r="G420" s="859"/>
      <c r="H420" s="859"/>
      <c r="I420" s="830"/>
      <c r="J420" s="825"/>
      <c r="K420" s="908"/>
      <c r="L420" s="825"/>
      <c r="M420" s="834"/>
      <c r="N420" s="149" t="s">
        <v>1812</v>
      </c>
    </row>
    <row r="421" spans="1:14">
      <c r="A421" s="123">
        <v>19</v>
      </c>
      <c r="B421" s="807"/>
      <c r="C421" s="909" t="s">
        <v>1813</v>
      </c>
      <c r="D421" s="857" t="s">
        <v>700</v>
      </c>
      <c r="E421" s="824" t="s">
        <v>320</v>
      </c>
      <c r="F421" s="824" t="s">
        <v>337</v>
      </c>
      <c r="G421" s="857" t="s">
        <v>353</v>
      </c>
      <c r="H421" s="857" t="s">
        <v>1814</v>
      </c>
      <c r="I421" s="829" t="s">
        <v>1815</v>
      </c>
      <c r="J421" s="824" t="s">
        <v>638</v>
      </c>
      <c r="K421" s="911" t="s">
        <v>692</v>
      </c>
      <c r="L421" s="824" t="s">
        <v>309</v>
      </c>
      <c r="M421" s="833" t="s">
        <v>1816</v>
      </c>
      <c r="N421" s="148" t="s">
        <v>1817</v>
      </c>
    </row>
    <row r="422" spans="1:14" hidden="1">
      <c r="A422" s="123">
        <v>19</v>
      </c>
      <c r="B422" s="807"/>
      <c r="C422" s="910"/>
      <c r="D422" s="859"/>
      <c r="E422" s="825"/>
      <c r="F422" s="825"/>
      <c r="G422" s="859"/>
      <c r="H422" s="859"/>
      <c r="I422" s="830"/>
      <c r="J422" s="825"/>
      <c r="K422" s="912"/>
      <c r="L422" s="825"/>
      <c r="M422" s="834"/>
      <c r="N422" s="148" t="s">
        <v>1818</v>
      </c>
    </row>
    <row r="423" spans="1:14">
      <c r="A423" s="123">
        <v>19</v>
      </c>
      <c r="B423" s="80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7"/>
      <c r="C424" s="857" t="s">
        <v>1820</v>
      </c>
      <c r="D424" s="857" t="s">
        <v>700</v>
      </c>
      <c r="E424" s="824" t="s">
        <v>320</v>
      </c>
      <c r="F424" s="824" t="s">
        <v>709</v>
      </c>
      <c r="G424" s="824" t="s">
        <v>1768</v>
      </c>
      <c r="H424" s="857" t="s">
        <v>1821</v>
      </c>
      <c r="I424" s="149" t="s">
        <v>1822</v>
      </c>
      <c r="J424" s="824" t="s">
        <v>638</v>
      </c>
      <c r="K424" s="824" t="s">
        <v>692</v>
      </c>
      <c r="L424" s="824" t="s">
        <v>309</v>
      </c>
      <c r="M424" s="833" t="s">
        <v>1535</v>
      </c>
      <c r="N424" s="829" t="s">
        <v>1824</v>
      </c>
    </row>
    <row r="425" spans="1:14" hidden="1">
      <c r="A425" s="123">
        <v>19</v>
      </c>
      <c r="B425" s="807"/>
      <c r="C425" s="859"/>
      <c r="D425" s="859"/>
      <c r="E425" s="825"/>
      <c r="F425" s="825"/>
      <c r="G425" s="825"/>
      <c r="H425" s="859"/>
      <c r="I425" s="149" t="s">
        <v>1823</v>
      </c>
      <c r="J425" s="825"/>
      <c r="K425" s="825"/>
      <c r="L425" s="825"/>
      <c r="M425" s="834"/>
      <c r="N425" s="830"/>
    </row>
    <row r="426" spans="1:14" hidden="1">
      <c r="A426" s="123">
        <v>19</v>
      </c>
      <c r="B426" s="80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0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0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0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0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0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0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0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0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0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0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0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0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0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0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0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0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0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0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0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0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0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6" t="s">
        <v>2078</v>
      </c>
      <c r="C452" s="243" t="s">
        <v>1906</v>
      </c>
      <c r="D452" s="802" t="s">
        <v>306</v>
      </c>
      <c r="E452" s="802" t="s">
        <v>322</v>
      </c>
      <c r="F452" s="802" t="s">
        <v>307</v>
      </c>
      <c r="G452" s="802">
        <v>3306</v>
      </c>
      <c r="H452" s="802" t="s">
        <v>1153</v>
      </c>
      <c r="I452" s="802" t="s">
        <v>1907</v>
      </c>
      <c r="J452" s="802" t="s">
        <v>1111</v>
      </c>
      <c r="K452" s="802" t="s">
        <v>692</v>
      </c>
      <c r="L452" s="802" t="s">
        <v>324</v>
      </c>
      <c r="M452" s="811" t="s">
        <v>1908</v>
      </c>
      <c r="N452" s="802" t="s">
        <v>665</v>
      </c>
    </row>
    <row r="453" spans="1:14" hidden="1">
      <c r="A453" s="123">
        <v>23</v>
      </c>
      <c r="B453" s="807"/>
      <c r="C453" s="243" t="s">
        <v>1909</v>
      </c>
      <c r="D453" s="803"/>
      <c r="E453" s="803"/>
      <c r="F453" s="803"/>
      <c r="G453" s="803"/>
      <c r="H453" s="803"/>
      <c r="I453" s="803"/>
      <c r="J453" s="803"/>
      <c r="K453" s="803"/>
      <c r="L453" s="803"/>
      <c r="M453" s="812"/>
      <c r="N453" s="803"/>
    </row>
    <row r="454" spans="1:14" hidden="1">
      <c r="A454" s="123">
        <v>23</v>
      </c>
      <c r="B454" s="807"/>
      <c r="C454" s="243" t="s">
        <v>1910</v>
      </c>
      <c r="D454" s="802" t="s">
        <v>306</v>
      </c>
      <c r="E454" s="802" t="s">
        <v>322</v>
      </c>
      <c r="F454" s="802" t="s">
        <v>307</v>
      </c>
      <c r="G454" s="804" t="s">
        <v>1418</v>
      </c>
      <c r="H454" s="802" t="s">
        <v>1911</v>
      </c>
      <c r="I454" s="804" t="s">
        <v>1154</v>
      </c>
      <c r="J454" s="802" t="s">
        <v>664</v>
      </c>
      <c r="K454" s="913" t="s">
        <v>1763</v>
      </c>
      <c r="L454" s="802" t="s">
        <v>324</v>
      </c>
      <c r="M454" s="811" t="s">
        <v>1535</v>
      </c>
      <c r="N454" s="802" t="s">
        <v>665</v>
      </c>
    </row>
    <row r="455" spans="1:14" hidden="1">
      <c r="A455" s="123">
        <v>23</v>
      </c>
      <c r="B455" s="807"/>
      <c r="C455" s="243" t="s">
        <v>1909</v>
      </c>
      <c r="D455" s="803"/>
      <c r="E455" s="803"/>
      <c r="F455" s="803"/>
      <c r="G455" s="805"/>
      <c r="H455" s="803"/>
      <c r="I455" s="805"/>
      <c r="J455" s="803"/>
      <c r="K455" s="914"/>
      <c r="L455" s="803"/>
      <c r="M455" s="812"/>
      <c r="N455" s="803"/>
    </row>
    <row r="456" spans="1:14" hidden="1">
      <c r="A456" s="123">
        <v>23</v>
      </c>
      <c r="B456" s="80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07"/>
      <c r="C457" s="243" t="s">
        <v>1917</v>
      </c>
      <c r="D457" s="802" t="s">
        <v>306</v>
      </c>
      <c r="E457" s="802" t="s">
        <v>322</v>
      </c>
      <c r="F457" s="802" t="s">
        <v>307</v>
      </c>
      <c r="G457" s="804">
        <v>4267</v>
      </c>
      <c r="H457" s="802" t="s">
        <v>640</v>
      </c>
      <c r="I457" s="804" t="s">
        <v>1154</v>
      </c>
      <c r="J457" s="802" t="s">
        <v>664</v>
      </c>
      <c r="K457" s="913" t="s">
        <v>1763</v>
      </c>
      <c r="L457" s="802" t="s">
        <v>324</v>
      </c>
      <c r="M457" s="811" t="s">
        <v>1535</v>
      </c>
      <c r="N457" s="802" t="s">
        <v>665</v>
      </c>
    </row>
    <row r="458" spans="1:14" hidden="1">
      <c r="A458" s="123">
        <v>23</v>
      </c>
      <c r="B458" s="807"/>
      <c r="C458" s="243" t="s">
        <v>1918</v>
      </c>
      <c r="D458" s="803"/>
      <c r="E458" s="803"/>
      <c r="F458" s="803"/>
      <c r="G458" s="805"/>
      <c r="H458" s="803"/>
      <c r="I458" s="805"/>
      <c r="J458" s="803"/>
      <c r="K458" s="914"/>
      <c r="L458" s="803"/>
      <c r="M458" s="812"/>
      <c r="N458" s="803"/>
    </row>
    <row r="459" spans="1:14" hidden="1">
      <c r="A459" s="123">
        <v>23</v>
      </c>
      <c r="B459" s="807"/>
      <c r="C459" s="243" t="s">
        <v>1917</v>
      </c>
      <c r="D459" s="802" t="s">
        <v>306</v>
      </c>
      <c r="E459" s="802" t="s">
        <v>322</v>
      </c>
      <c r="F459" s="802" t="s">
        <v>307</v>
      </c>
      <c r="G459" s="804" t="s">
        <v>1919</v>
      </c>
      <c r="H459" s="802" t="s">
        <v>662</v>
      </c>
      <c r="I459" s="804" t="s">
        <v>1920</v>
      </c>
      <c r="J459" s="802" t="s">
        <v>349</v>
      </c>
      <c r="K459" s="915" t="s">
        <v>1916</v>
      </c>
      <c r="L459" s="802" t="s">
        <v>324</v>
      </c>
      <c r="M459" s="811" t="s">
        <v>1535</v>
      </c>
      <c r="N459" s="802" t="s">
        <v>425</v>
      </c>
    </row>
    <row r="460" spans="1:14" hidden="1">
      <c r="A460" s="123">
        <v>23</v>
      </c>
      <c r="B460" s="808"/>
      <c r="C460" s="244" t="s">
        <v>1918</v>
      </c>
      <c r="D460" s="803"/>
      <c r="E460" s="803"/>
      <c r="F460" s="803"/>
      <c r="G460" s="805"/>
      <c r="H460" s="803"/>
      <c r="I460" s="805"/>
      <c r="J460" s="803"/>
      <c r="K460" s="916"/>
      <c r="L460" s="803"/>
      <c r="M460" s="812"/>
      <c r="N460" s="803"/>
    </row>
    <row r="461" spans="1:14" hidden="1">
      <c r="A461" s="123">
        <v>23</v>
      </c>
      <c r="B461" s="80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07"/>
      <c r="C462" s="802" t="s">
        <v>1921</v>
      </c>
      <c r="D462" s="802" t="s">
        <v>311</v>
      </c>
      <c r="E462" s="802" t="s">
        <v>675</v>
      </c>
      <c r="F462" s="802" t="s">
        <v>1926</v>
      </c>
      <c r="G462" s="802" t="s">
        <v>1927</v>
      </c>
      <c r="H462" s="809" t="s">
        <v>347</v>
      </c>
      <c r="I462" s="242" t="s">
        <v>1928</v>
      </c>
      <c r="J462" s="802"/>
      <c r="K462" s="804" t="s">
        <v>1924</v>
      </c>
      <c r="L462" s="802" t="s">
        <v>309</v>
      </c>
      <c r="M462" s="811" t="s">
        <v>1828</v>
      </c>
      <c r="N462" s="804" t="s">
        <v>1925</v>
      </c>
    </row>
    <row r="463" spans="1:14" hidden="1">
      <c r="A463" s="123">
        <v>23</v>
      </c>
      <c r="B463" s="807"/>
      <c r="C463" s="803"/>
      <c r="D463" s="803"/>
      <c r="E463" s="803"/>
      <c r="F463" s="803"/>
      <c r="G463" s="803"/>
      <c r="H463" s="810"/>
      <c r="I463" s="242" t="s">
        <v>1929</v>
      </c>
      <c r="J463" s="803"/>
      <c r="K463" s="805"/>
      <c r="L463" s="803"/>
      <c r="M463" s="812"/>
      <c r="N463" s="805"/>
    </row>
    <row r="464" spans="1:14" ht="24" hidden="1">
      <c r="A464" s="123">
        <v>23</v>
      </c>
      <c r="B464" s="80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0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0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0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0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0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0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0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0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0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0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0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0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0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0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0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0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0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0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0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0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0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0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0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0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0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0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0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0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0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0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0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0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0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0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0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0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0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0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0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0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0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0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0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0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0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0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0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0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0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0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0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0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0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0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0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0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0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0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0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0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0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0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0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0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0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0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0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0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0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0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0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0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0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0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0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0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0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0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0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0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0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0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0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0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0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0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0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0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0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0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0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0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0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0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0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0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0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0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0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0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0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0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0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0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0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0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0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0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0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0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0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0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0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0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0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0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1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1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1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1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2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0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0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0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0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0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0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0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0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0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0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0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0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0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0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7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0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0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0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0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0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0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0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0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0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0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0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0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0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0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0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0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0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0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17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0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0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0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0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0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0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0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0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0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0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0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0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07"/>
      <c r="C687" s="148" t="s">
        <v>2726</v>
      </c>
      <c r="D687" s="824" t="s">
        <v>306</v>
      </c>
      <c r="E687" s="824" t="s">
        <v>322</v>
      </c>
      <c r="F687" s="824" t="s">
        <v>307</v>
      </c>
      <c r="G687" s="829" t="s">
        <v>2719</v>
      </c>
      <c r="H687" s="824" t="s">
        <v>1047</v>
      </c>
      <c r="I687" s="829" t="s">
        <v>704</v>
      </c>
      <c r="J687" s="824" t="s">
        <v>664</v>
      </c>
      <c r="K687" s="921" t="s">
        <v>1763</v>
      </c>
      <c r="L687" s="824"/>
      <c r="M687" s="833" t="s">
        <v>458</v>
      </c>
      <c r="N687" s="824" t="s">
        <v>665</v>
      </c>
    </row>
    <row r="688" spans="1:14" hidden="1">
      <c r="A688" s="123">
        <v>8</v>
      </c>
      <c r="B688" s="807"/>
      <c r="C688" s="148" t="s">
        <v>2727</v>
      </c>
      <c r="D688" s="825"/>
      <c r="E688" s="825"/>
      <c r="F688" s="825"/>
      <c r="G688" s="830"/>
      <c r="H688" s="825"/>
      <c r="I688" s="830"/>
      <c r="J688" s="825"/>
      <c r="K688" s="922"/>
      <c r="L688" s="825"/>
      <c r="M688" s="834"/>
      <c r="N688" s="825"/>
    </row>
    <row r="689" spans="1:14" hidden="1">
      <c r="A689" s="123">
        <v>8</v>
      </c>
      <c r="B689" s="80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07"/>
      <c r="C690" s="148" t="s">
        <v>2730</v>
      </c>
      <c r="D690" s="824" t="s">
        <v>306</v>
      </c>
      <c r="E690" s="824" t="s">
        <v>322</v>
      </c>
      <c r="F690" s="824" t="s">
        <v>307</v>
      </c>
      <c r="G690" s="829" t="s">
        <v>2731</v>
      </c>
      <c r="H690" s="824" t="s">
        <v>640</v>
      </c>
      <c r="I690" s="829" t="s">
        <v>668</v>
      </c>
      <c r="J690" s="824" t="s">
        <v>349</v>
      </c>
      <c r="K690" s="923" t="s">
        <v>2732</v>
      </c>
      <c r="L690" s="824"/>
      <c r="M690" s="833" t="s">
        <v>2769</v>
      </c>
      <c r="N690" s="824" t="s">
        <v>425</v>
      </c>
    </row>
    <row r="691" spans="1:14" hidden="1">
      <c r="A691" s="123">
        <v>8</v>
      </c>
      <c r="B691" s="808"/>
      <c r="C691" s="148" t="s">
        <v>2723</v>
      </c>
      <c r="D691" s="825"/>
      <c r="E691" s="825"/>
      <c r="F691" s="825"/>
      <c r="G691" s="830"/>
      <c r="H691" s="825"/>
      <c r="I691" s="830"/>
      <c r="J691" s="825"/>
      <c r="K691" s="924"/>
      <c r="L691" s="825"/>
      <c r="M691" s="834"/>
      <c r="N691" s="825"/>
    </row>
    <row r="692" spans="1:14" hidden="1">
      <c r="A692" s="123">
        <v>8</v>
      </c>
      <c r="B692" s="80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07"/>
      <c r="C693" s="824" t="s">
        <v>2768</v>
      </c>
      <c r="D693" s="824" t="s">
        <v>311</v>
      </c>
      <c r="E693" s="824" t="s">
        <v>675</v>
      </c>
      <c r="F693" s="149" t="s">
        <v>1806</v>
      </c>
      <c r="G693" s="829" t="s">
        <v>689</v>
      </c>
      <c r="H693" s="829" t="s">
        <v>662</v>
      </c>
      <c r="I693" s="829" t="s">
        <v>2739</v>
      </c>
      <c r="J693" s="829"/>
      <c r="K693" s="829" t="s">
        <v>698</v>
      </c>
      <c r="L693" s="824" t="s">
        <v>309</v>
      </c>
      <c r="M693" s="833" t="s">
        <v>672</v>
      </c>
      <c r="N693" s="824" t="s">
        <v>2740</v>
      </c>
    </row>
    <row r="694" spans="1:14" hidden="1">
      <c r="A694" s="123">
        <v>8</v>
      </c>
      <c r="B694" s="808"/>
      <c r="C694" s="825"/>
      <c r="D694" s="825"/>
      <c r="E694" s="825"/>
      <c r="F694" s="149" t="s">
        <v>2738</v>
      </c>
      <c r="G694" s="830"/>
      <c r="H694" s="830"/>
      <c r="I694" s="830"/>
      <c r="J694" s="830"/>
      <c r="K694" s="830"/>
      <c r="L694" s="825"/>
      <c r="M694" s="834"/>
      <c r="N694" s="855"/>
    </row>
    <row r="695" spans="1:14" hidden="1">
      <c r="A695" s="123">
        <v>9</v>
      </c>
      <c r="B695" s="80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0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07"/>
      <c r="C697" s="243" t="s">
        <v>2745</v>
      </c>
      <c r="D697" s="802" t="s">
        <v>306</v>
      </c>
      <c r="E697" s="802" t="s">
        <v>322</v>
      </c>
      <c r="F697" s="802" t="s">
        <v>307</v>
      </c>
      <c r="G697" s="804" t="s">
        <v>2746</v>
      </c>
      <c r="H697" s="802" t="s">
        <v>405</v>
      </c>
      <c r="I697" s="804" t="s">
        <v>2747</v>
      </c>
      <c r="J697" s="802" t="s">
        <v>664</v>
      </c>
      <c r="K697" s="925" t="s">
        <v>1757</v>
      </c>
      <c r="L697" s="802"/>
      <c r="M697" s="811">
        <v>750000</v>
      </c>
      <c r="N697" s="802" t="s">
        <v>665</v>
      </c>
    </row>
    <row r="698" spans="1:14" hidden="1">
      <c r="A698" s="123">
        <v>9</v>
      </c>
      <c r="B698" s="807"/>
      <c r="C698" s="243" t="s">
        <v>2748</v>
      </c>
      <c r="D698" s="803"/>
      <c r="E698" s="803"/>
      <c r="F698" s="803"/>
      <c r="G698" s="805"/>
      <c r="H698" s="803"/>
      <c r="I698" s="805"/>
      <c r="J698" s="803"/>
      <c r="K698" s="926"/>
      <c r="L698" s="803"/>
      <c r="M698" s="812"/>
      <c r="N698" s="803"/>
    </row>
    <row r="699" spans="1:14" hidden="1">
      <c r="A699" s="123">
        <v>9</v>
      </c>
      <c r="B699" s="807"/>
      <c r="C699" s="243" t="s">
        <v>2745</v>
      </c>
      <c r="D699" s="802" t="s">
        <v>306</v>
      </c>
      <c r="E699" s="802" t="s">
        <v>322</v>
      </c>
      <c r="F699" s="802" t="s">
        <v>307</v>
      </c>
      <c r="G699" s="804" t="s">
        <v>2749</v>
      </c>
      <c r="H699" s="802" t="s">
        <v>662</v>
      </c>
      <c r="I699" s="804" t="s">
        <v>668</v>
      </c>
      <c r="J699" s="802" t="s">
        <v>349</v>
      </c>
      <c r="K699" s="927" t="s">
        <v>2732</v>
      </c>
      <c r="L699" s="802"/>
      <c r="M699" s="811">
        <v>1000000</v>
      </c>
      <c r="N699" s="802" t="s">
        <v>425</v>
      </c>
    </row>
    <row r="700" spans="1:14" hidden="1">
      <c r="A700" s="123">
        <v>9</v>
      </c>
      <c r="B700" s="807"/>
      <c r="C700" s="243" t="s">
        <v>2750</v>
      </c>
      <c r="D700" s="803"/>
      <c r="E700" s="803"/>
      <c r="F700" s="803"/>
      <c r="G700" s="805"/>
      <c r="H700" s="803"/>
      <c r="I700" s="805"/>
      <c r="J700" s="803"/>
      <c r="K700" s="928"/>
      <c r="L700" s="803"/>
      <c r="M700" s="812"/>
      <c r="N700" s="803"/>
    </row>
    <row r="701" spans="1:14">
      <c r="A701" s="123">
        <v>9</v>
      </c>
      <c r="B701" s="80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0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0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0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0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0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0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0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0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0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0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0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0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0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0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0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0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0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0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0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0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07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0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29" t="s">
        <v>2821</v>
      </c>
    </row>
    <row r="734" spans="1:14" ht="27">
      <c r="A734" s="123">
        <v>15</v>
      </c>
      <c r="B734" s="80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30"/>
    </row>
    <row r="735" spans="1:14" hidden="1">
      <c r="A735" s="123">
        <v>15</v>
      </c>
      <c r="B735" s="80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0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0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0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0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0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0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08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0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0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0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06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0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0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0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0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0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0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0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0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0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0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0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0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0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0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08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0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0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0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0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0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0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0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0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0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0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0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0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0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0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0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0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0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0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0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0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0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0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0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0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0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0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6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07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7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8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0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0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0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0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0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0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0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0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0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9">
        <v>28</v>
      </c>
      <c r="B820" s="80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0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0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0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0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0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0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0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0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0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0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0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0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0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0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06" t="s">
        <v>3097</v>
      </c>
      <c r="C835" s="148" t="s">
        <v>3079</v>
      </c>
      <c r="D835" s="824" t="s">
        <v>306</v>
      </c>
      <c r="E835" s="824" t="s">
        <v>322</v>
      </c>
      <c r="F835" s="824" t="s">
        <v>307</v>
      </c>
      <c r="G835" s="829" t="s">
        <v>3051</v>
      </c>
      <c r="H835" s="824" t="s">
        <v>1993</v>
      </c>
      <c r="I835" s="829" t="s">
        <v>3052</v>
      </c>
      <c r="J835" s="824" t="s">
        <v>664</v>
      </c>
      <c r="K835" s="148" t="s">
        <v>3081</v>
      </c>
      <c r="L835" s="824"/>
      <c r="M835" s="932" t="s">
        <v>3082</v>
      </c>
      <c r="N835" s="148" t="s">
        <v>3083</v>
      </c>
    </row>
    <row r="836" spans="1:14" hidden="1">
      <c r="A836" s="123">
        <v>29</v>
      </c>
      <c r="B836" s="807"/>
      <c r="C836" s="148" t="s">
        <v>3080</v>
      </c>
      <c r="D836" s="855"/>
      <c r="E836" s="855"/>
      <c r="F836" s="855"/>
      <c r="G836" s="931"/>
      <c r="H836" s="855"/>
      <c r="I836" s="931"/>
      <c r="J836" s="855"/>
      <c r="K836" s="148" t="s">
        <v>707</v>
      </c>
      <c r="L836" s="855"/>
      <c r="M836" s="933"/>
      <c r="N836" s="148"/>
    </row>
    <row r="837" spans="1:14" hidden="1">
      <c r="A837" s="123">
        <v>29</v>
      </c>
      <c r="B837" s="807"/>
      <c r="C837" s="148"/>
      <c r="D837" s="825"/>
      <c r="E837" s="825"/>
      <c r="F837" s="825"/>
      <c r="G837" s="830"/>
      <c r="H837" s="825"/>
      <c r="I837" s="830"/>
      <c r="J837" s="825"/>
      <c r="K837" s="148"/>
      <c r="L837" s="825"/>
      <c r="M837" s="934"/>
      <c r="N837" s="148" t="s">
        <v>3084</v>
      </c>
    </row>
    <row r="838" spans="1:14" hidden="1">
      <c r="A838" s="123">
        <v>29</v>
      </c>
      <c r="B838" s="80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0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6" t="s">
        <v>21</v>
      </c>
      <c r="C840" s="111" t="s">
        <v>3087</v>
      </c>
      <c r="D840" s="824" t="s">
        <v>311</v>
      </c>
      <c r="E840" s="824" t="s">
        <v>320</v>
      </c>
      <c r="F840" s="829" t="s">
        <v>2601</v>
      </c>
      <c r="G840" s="829" t="s">
        <v>3059</v>
      </c>
      <c r="H840" s="829" t="s">
        <v>3060</v>
      </c>
      <c r="I840" s="829" t="s">
        <v>3061</v>
      </c>
      <c r="J840" s="829" t="s">
        <v>702</v>
      </c>
      <c r="K840" s="829" t="s">
        <v>3062</v>
      </c>
      <c r="L840" s="824" t="s">
        <v>309</v>
      </c>
      <c r="M840" s="932" t="s">
        <v>1816</v>
      </c>
      <c r="N840" s="824" t="s">
        <v>3088</v>
      </c>
    </row>
    <row r="841" spans="1:14" hidden="1">
      <c r="A841" s="123">
        <v>29</v>
      </c>
      <c r="B841" s="807"/>
      <c r="C841" s="111" t="s">
        <v>3065</v>
      </c>
      <c r="D841" s="825"/>
      <c r="E841" s="825"/>
      <c r="F841" s="830"/>
      <c r="G841" s="830"/>
      <c r="H841" s="830"/>
      <c r="I841" s="830"/>
      <c r="J841" s="830"/>
      <c r="K841" s="830"/>
      <c r="L841" s="825"/>
      <c r="M841" s="934"/>
      <c r="N841" s="825"/>
    </row>
    <row r="842" spans="1:14" hidden="1">
      <c r="A842" s="123">
        <v>29</v>
      </c>
      <c r="B842" s="80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07"/>
      <c r="C844" s="111" t="s">
        <v>3079</v>
      </c>
      <c r="D844" s="824" t="s">
        <v>311</v>
      </c>
      <c r="E844" s="824" t="s">
        <v>320</v>
      </c>
      <c r="F844" s="829" t="s">
        <v>3068</v>
      </c>
      <c r="G844" s="829" t="s">
        <v>1919</v>
      </c>
      <c r="H844" s="829" t="s">
        <v>3069</v>
      </c>
      <c r="I844" s="149" t="s">
        <v>3090</v>
      </c>
      <c r="J844" s="829"/>
      <c r="K844" s="829" t="s">
        <v>3070</v>
      </c>
      <c r="L844" s="824" t="s">
        <v>309</v>
      </c>
      <c r="M844" s="935" t="s">
        <v>3092</v>
      </c>
      <c r="N844" s="824" t="s">
        <v>1206</v>
      </c>
    </row>
    <row r="845" spans="1:14" hidden="1">
      <c r="A845" s="123">
        <v>29</v>
      </c>
      <c r="B845" s="807"/>
      <c r="C845" s="111" t="s">
        <v>3089</v>
      </c>
      <c r="D845" s="825"/>
      <c r="E845" s="825"/>
      <c r="F845" s="830"/>
      <c r="G845" s="830"/>
      <c r="H845" s="830"/>
      <c r="I845" s="149" t="s">
        <v>3091</v>
      </c>
      <c r="J845" s="830"/>
      <c r="K845" s="830"/>
      <c r="L845" s="825"/>
      <c r="M845" s="936"/>
      <c r="N845" s="825"/>
    </row>
    <row r="846" spans="1:14">
      <c r="A846" s="123">
        <v>29</v>
      </c>
      <c r="B846" s="807"/>
      <c r="C846" s="111" t="s">
        <v>3079</v>
      </c>
      <c r="D846" s="824" t="s">
        <v>311</v>
      </c>
      <c r="E846" s="824" t="s">
        <v>320</v>
      </c>
      <c r="F846" s="829" t="s">
        <v>2601</v>
      </c>
      <c r="G846" s="829" t="s">
        <v>3059</v>
      </c>
      <c r="H846" s="829" t="s">
        <v>3060</v>
      </c>
      <c r="I846" s="829" t="s">
        <v>3071</v>
      </c>
      <c r="J846" s="829" t="s">
        <v>702</v>
      </c>
      <c r="K846" s="829" t="s">
        <v>1054</v>
      </c>
      <c r="L846" s="824" t="s">
        <v>309</v>
      </c>
      <c r="M846" s="932" t="s">
        <v>3094</v>
      </c>
      <c r="N846" s="824" t="s">
        <v>3095</v>
      </c>
    </row>
    <row r="847" spans="1:14" hidden="1">
      <c r="A847" s="123">
        <v>29</v>
      </c>
      <c r="B847" s="807"/>
      <c r="C847" s="111"/>
      <c r="D847" s="855"/>
      <c r="E847" s="855"/>
      <c r="F847" s="931"/>
      <c r="G847" s="931"/>
      <c r="H847" s="931"/>
      <c r="I847" s="931"/>
      <c r="J847" s="931"/>
      <c r="K847" s="931"/>
      <c r="L847" s="855"/>
      <c r="M847" s="933"/>
      <c r="N847" s="855"/>
    </row>
    <row r="848" spans="1:14" hidden="1">
      <c r="A848" s="123">
        <v>29</v>
      </c>
      <c r="B848" s="807"/>
      <c r="C848" s="111" t="s">
        <v>3093</v>
      </c>
      <c r="D848" s="825"/>
      <c r="E848" s="825"/>
      <c r="F848" s="830"/>
      <c r="G848" s="830"/>
      <c r="H848" s="830"/>
      <c r="I848" s="830"/>
      <c r="J848" s="830"/>
      <c r="K848" s="830"/>
      <c r="L848" s="825"/>
      <c r="M848" s="934"/>
      <c r="N848" s="825"/>
    </row>
    <row r="849" spans="1:14">
      <c r="A849" s="123">
        <v>29</v>
      </c>
      <c r="B849" s="807"/>
      <c r="C849" s="111" t="s">
        <v>3096</v>
      </c>
      <c r="D849" s="824" t="s">
        <v>311</v>
      </c>
      <c r="E849" s="824" t="s">
        <v>320</v>
      </c>
      <c r="F849" s="829" t="s">
        <v>337</v>
      </c>
      <c r="G849" s="829" t="s">
        <v>3072</v>
      </c>
      <c r="H849" s="829" t="s">
        <v>354</v>
      </c>
      <c r="I849" s="829" t="s">
        <v>310</v>
      </c>
      <c r="J849" s="829" t="s">
        <v>638</v>
      </c>
      <c r="K849" s="829" t="s">
        <v>3073</v>
      </c>
      <c r="L849" s="824" t="s">
        <v>309</v>
      </c>
      <c r="M849" s="932" t="s">
        <v>1816</v>
      </c>
      <c r="N849" s="824" t="s">
        <v>3095</v>
      </c>
    </row>
    <row r="850" spans="1:14" hidden="1">
      <c r="A850" s="123">
        <v>29</v>
      </c>
      <c r="B850" s="808"/>
      <c r="C850" s="111" t="s">
        <v>3089</v>
      </c>
      <c r="D850" s="825"/>
      <c r="E850" s="825"/>
      <c r="F850" s="830"/>
      <c r="G850" s="830"/>
      <c r="H850" s="830"/>
      <c r="I850" s="830"/>
      <c r="J850" s="830"/>
      <c r="K850" s="830"/>
      <c r="L850" s="825"/>
      <c r="M850" s="934"/>
      <c r="N850" s="825"/>
    </row>
    <row r="851" spans="1:14" hidden="1">
      <c r="A851" s="123">
        <v>30</v>
      </c>
      <c r="B851" s="93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hidden="1">
      <c r="A852" s="123">
        <v>30</v>
      </c>
      <c r="B852" s="94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40"/>
      <c r="C853" s="148" t="s">
        <v>3106</v>
      </c>
      <c r="D853" s="824" t="s">
        <v>306</v>
      </c>
      <c r="E853" s="824" t="s">
        <v>322</v>
      </c>
      <c r="F853" s="824" t="s">
        <v>307</v>
      </c>
      <c r="G853" s="829" t="s">
        <v>3051</v>
      </c>
      <c r="H853" s="824" t="s">
        <v>1993</v>
      </c>
      <c r="I853" s="829" t="s">
        <v>3108</v>
      </c>
      <c r="J853" s="824" t="s">
        <v>664</v>
      </c>
      <c r="K853" s="148" t="s">
        <v>3109</v>
      </c>
      <c r="L853" s="824"/>
      <c r="M853" s="833" t="s">
        <v>3110</v>
      </c>
      <c r="N853" s="824" t="s">
        <v>665</v>
      </c>
    </row>
    <row r="854" spans="1:14" hidden="1">
      <c r="A854" s="123">
        <v>30</v>
      </c>
      <c r="B854" s="940"/>
      <c r="C854" s="148" t="s">
        <v>3107</v>
      </c>
      <c r="D854" s="825"/>
      <c r="E854" s="825"/>
      <c r="F854" s="825"/>
      <c r="G854" s="830"/>
      <c r="H854" s="825"/>
      <c r="I854" s="830"/>
      <c r="J854" s="825"/>
      <c r="K854" s="148" t="s">
        <v>655</v>
      </c>
      <c r="L854" s="825"/>
      <c r="M854" s="834"/>
      <c r="N854" s="825"/>
    </row>
    <row r="855" spans="1:14" hidden="1">
      <c r="A855" s="123">
        <v>30</v>
      </c>
      <c r="B855" s="94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06" t="s">
        <v>3116</v>
      </c>
      <c r="C856" s="937" t="s">
        <v>3117</v>
      </c>
      <c r="D856" s="824" t="s">
        <v>311</v>
      </c>
      <c r="E856" s="824" t="s">
        <v>320</v>
      </c>
      <c r="F856" s="829" t="s">
        <v>2601</v>
      </c>
      <c r="G856" s="829" t="s">
        <v>2749</v>
      </c>
      <c r="H856" s="829" t="s">
        <v>347</v>
      </c>
      <c r="I856" s="829" t="s">
        <v>3118</v>
      </c>
      <c r="J856" s="829" t="s">
        <v>638</v>
      </c>
      <c r="K856" s="829" t="s">
        <v>698</v>
      </c>
      <c r="L856" s="824" t="s">
        <v>309</v>
      </c>
      <c r="M856" s="833" t="s">
        <v>1810</v>
      </c>
      <c r="N856" s="148" t="s">
        <v>3119</v>
      </c>
    </row>
    <row r="857" spans="1:14" hidden="1">
      <c r="A857" s="123">
        <v>30</v>
      </c>
      <c r="B857" s="807"/>
      <c r="C857" s="938"/>
      <c r="D857" s="825"/>
      <c r="E857" s="825"/>
      <c r="F857" s="830"/>
      <c r="G857" s="830"/>
      <c r="H857" s="830"/>
      <c r="I857" s="830"/>
      <c r="J857" s="830"/>
      <c r="K857" s="830"/>
      <c r="L857" s="825"/>
      <c r="M857" s="834"/>
      <c r="N857" s="148" t="s">
        <v>3120</v>
      </c>
    </row>
    <row r="858" spans="1:14" ht="16.5" customHeight="1">
      <c r="A858" s="123">
        <v>30</v>
      </c>
      <c r="B858" s="807"/>
      <c r="C858" s="937" t="s">
        <v>3117</v>
      </c>
      <c r="D858" s="824" t="s">
        <v>311</v>
      </c>
      <c r="E858" s="824" t="s">
        <v>320</v>
      </c>
      <c r="F858" s="829" t="s">
        <v>709</v>
      </c>
      <c r="G858" s="149" t="s">
        <v>3121</v>
      </c>
      <c r="H858" s="829" t="s">
        <v>640</v>
      </c>
      <c r="I858" s="829" t="s">
        <v>3122</v>
      </c>
      <c r="J858" s="829"/>
      <c r="K858" s="829" t="s">
        <v>692</v>
      </c>
      <c r="L858" s="824" t="s">
        <v>309</v>
      </c>
      <c r="M858" s="833" t="s">
        <v>1535</v>
      </c>
      <c r="N858" s="824" t="s">
        <v>1772</v>
      </c>
    </row>
    <row r="859" spans="1:14" hidden="1">
      <c r="A859" s="123">
        <v>30</v>
      </c>
      <c r="B859" s="807"/>
      <c r="C859" s="938"/>
      <c r="D859" s="825"/>
      <c r="E859" s="825"/>
      <c r="F859" s="830"/>
      <c r="G859" s="149">
        <v>2651</v>
      </c>
      <c r="H859" s="830"/>
      <c r="I859" s="830"/>
      <c r="J859" s="830"/>
      <c r="K859" s="830"/>
      <c r="L859" s="825"/>
      <c r="M859" s="834"/>
      <c r="N859" s="825"/>
    </row>
    <row r="860" spans="1:14" hidden="1">
      <c r="A860" s="123">
        <v>30</v>
      </c>
      <c r="B860" s="807"/>
      <c r="C860" s="937" t="s">
        <v>3123</v>
      </c>
      <c r="D860" s="824" t="s">
        <v>311</v>
      </c>
      <c r="E860" s="824" t="s">
        <v>320</v>
      </c>
      <c r="F860" s="829" t="s">
        <v>720</v>
      </c>
      <c r="G860" s="829" t="s">
        <v>1756</v>
      </c>
      <c r="H860" s="829" t="s">
        <v>347</v>
      </c>
      <c r="I860" s="149" t="s">
        <v>3124</v>
      </c>
      <c r="J860" s="829"/>
      <c r="K860" s="829" t="s">
        <v>3126</v>
      </c>
      <c r="L860" s="824" t="s">
        <v>309</v>
      </c>
      <c r="M860" s="833" t="s">
        <v>1933</v>
      </c>
      <c r="N860" s="824" t="s">
        <v>1206</v>
      </c>
    </row>
    <row r="861" spans="1:14" hidden="1">
      <c r="A861" s="123">
        <v>30</v>
      </c>
      <c r="B861" s="807"/>
      <c r="C861" s="938"/>
      <c r="D861" s="825"/>
      <c r="E861" s="825"/>
      <c r="F861" s="830"/>
      <c r="G861" s="830"/>
      <c r="H861" s="830"/>
      <c r="I861" s="149" t="s">
        <v>3125</v>
      </c>
      <c r="J861" s="830"/>
      <c r="K861" s="830"/>
      <c r="L861" s="825"/>
      <c r="M861" s="834"/>
      <c r="N861" s="825"/>
    </row>
    <row r="862" spans="1:14" hidden="1">
      <c r="A862" s="123">
        <v>30</v>
      </c>
      <c r="B862" s="807"/>
      <c r="C862" s="111" t="s">
        <v>3127</v>
      </c>
      <c r="D862" s="824" t="s">
        <v>311</v>
      </c>
      <c r="E862" s="824" t="s">
        <v>320</v>
      </c>
      <c r="F862" s="829" t="s">
        <v>690</v>
      </c>
      <c r="G862" s="829" t="s">
        <v>3066</v>
      </c>
      <c r="H862" s="829" t="s">
        <v>354</v>
      </c>
      <c r="I862" s="829" t="s">
        <v>3129</v>
      </c>
      <c r="J862" s="829" t="s">
        <v>638</v>
      </c>
      <c r="K862" s="829" t="s">
        <v>655</v>
      </c>
      <c r="L862" s="824" t="s">
        <v>309</v>
      </c>
      <c r="M862" s="833" t="s">
        <v>1535</v>
      </c>
      <c r="N862" s="824" t="s">
        <v>1206</v>
      </c>
    </row>
    <row r="863" spans="1:14" hidden="1">
      <c r="A863" s="123">
        <v>30</v>
      </c>
      <c r="B863" s="807"/>
      <c r="C863" s="111" t="s">
        <v>3128</v>
      </c>
      <c r="D863" s="825"/>
      <c r="E863" s="825"/>
      <c r="F863" s="830"/>
      <c r="G863" s="830"/>
      <c r="H863" s="830"/>
      <c r="I863" s="830"/>
      <c r="J863" s="830"/>
      <c r="K863" s="830"/>
      <c r="L863" s="825"/>
      <c r="M863" s="834"/>
      <c r="N863" s="825"/>
    </row>
    <row r="864" spans="1:14">
      <c r="A864" s="123">
        <v>30</v>
      </c>
      <c r="B864" s="807"/>
      <c r="C864" s="111" t="s">
        <v>3130</v>
      </c>
      <c r="D864" s="824" t="s">
        <v>311</v>
      </c>
      <c r="E864" s="824" t="s">
        <v>320</v>
      </c>
      <c r="F864" s="829" t="s">
        <v>337</v>
      </c>
      <c r="G864" s="829" t="s">
        <v>3072</v>
      </c>
      <c r="H864" s="829" t="s">
        <v>354</v>
      </c>
      <c r="I864" s="829" t="s">
        <v>3131</v>
      </c>
      <c r="J864" s="829" t="s">
        <v>638</v>
      </c>
      <c r="K864" s="829" t="s">
        <v>713</v>
      </c>
      <c r="L864" s="824" t="s">
        <v>309</v>
      </c>
      <c r="M864" s="833" t="s">
        <v>1810</v>
      </c>
      <c r="N864" s="824" t="s">
        <v>1206</v>
      </c>
    </row>
    <row r="865" spans="1:14" hidden="1">
      <c r="A865" s="123">
        <v>30</v>
      </c>
      <c r="B865" s="807"/>
      <c r="C865" s="111" t="s">
        <v>3107</v>
      </c>
      <c r="D865" s="825"/>
      <c r="E865" s="825"/>
      <c r="F865" s="830"/>
      <c r="G865" s="830"/>
      <c r="H865" s="830"/>
      <c r="I865" s="830"/>
      <c r="J865" s="830"/>
      <c r="K865" s="830"/>
      <c r="L865" s="825"/>
      <c r="M865" s="834"/>
      <c r="N865" s="825"/>
    </row>
    <row r="866" spans="1:14" ht="25.5" hidden="1">
      <c r="A866" s="123">
        <v>30</v>
      </c>
      <c r="B866" s="80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07"/>
      <c r="C867" s="937" t="s">
        <v>3111</v>
      </c>
      <c r="D867" s="824" t="s">
        <v>311</v>
      </c>
      <c r="E867" s="824" t="s">
        <v>675</v>
      </c>
      <c r="F867" s="829" t="s">
        <v>660</v>
      </c>
      <c r="G867" s="829" t="s">
        <v>661</v>
      </c>
      <c r="H867" s="829" t="s">
        <v>662</v>
      </c>
      <c r="I867" s="149" t="s">
        <v>3134</v>
      </c>
      <c r="J867" s="829" t="s">
        <v>638</v>
      </c>
      <c r="K867" s="829" t="s">
        <v>731</v>
      </c>
      <c r="L867" s="824" t="s">
        <v>309</v>
      </c>
      <c r="M867" s="833" t="s">
        <v>1828</v>
      </c>
      <c r="N867" s="824" t="s">
        <v>3136</v>
      </c>
    </row>
    <row r="868" spans="1:14" hidden="1">
      <c r="A868" s="123">
        <v>30</v>
      </c>
      <c r="B868" s="808"/>
      <c r="C868" s="938"/>
      <c r="D868" s="825"/>
      <c r="E868" s="825"/>
      <c r="F868" s="830"/>
      <c r="G868" s="830"/>
      <c r="H868" s="830"/>
      <c r="I868" s="149" t="s">
        <v>3135</v>
      </c>
      <c r="J868" s="830"/>
      <c r="K868" s="830"/>
      <c r="L868" s="825"/>
      <c r="M868" s="834"/>
      <c r="N868" s="825"/>
    </row>
    <row r="869" spans="1:14" hidden="1">
      <c r="A869" s="123">
        <v>31</v>
      </c>
      <c r="B869" s="80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07"/>
      <c r="C870" s="148" t="s">
        <v>3140</v>
      </c>
      <c r="D870" s="824" t="s">
        <v>306</v>
      </c>
      <c r="E870" s="824" t="s">
        <v>322</v>
      </c>
      <c r="F870" s="824" t="s">
        <v>307</v>
      </c>
      <c r="G870" s="829">
        <v>1566</v>
      </c>
      <c r="H870" s="824" t="s">
        <v>1911</v>
      </c>
      <c r="I870" s="829" t="s">
        <v>3142</v>
      </c>
      <c r="J870" s="824" t="s">
        <v>664</v>
      </c>
      <c r="K870" s="824" t="s">
        <v>3143</v>
      </c>
      <c r="L870" s="824"/>
      <c r="M870" s="833" t="s">
        <v>3144</v>
      </c>
      <c r="N870" s="824" t="s">
        <v>665</v>
      </c>
    </row>
    <row r="871" spans="1:14" hidden="1">
      <c r="A871" s="123">
        <v>31</v>
      </c>
      <c r="B871" s="807"/>
      <c r="C871" s="148" t="s">
        <v>3141</v>
      </c>
      <c r="D871" s="825"/>
      <c r="E871" s="825"/>
      <c r="F871" s="825"/>
      <c r="G871" s="830"/>
      <c r="H871" s="825"/>
      <c r="I871" s="830"/>
      <c r="J871" s="825"/>
      <c r="K871" s="825"/>
      <c r="L871" s="825"/>
      <c r="M871" s="834"/>
      <c r="N871" s="825"/>
    </row>
    <row r="872" spans="1:14" hidden="1">
      <c r="A872" s="123">
        <v>31</v>
      </c>
      <c r="B872" s="80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07"/>
      <c r="C873" s="390" t="s">
        <v>3140</v>
      </c>
      <c r="D873" s="824" t="s">
        <v>306</v>
      </c>
      <c r="E873" s="824" t="s">
        <v>322</v>
      </c>
      <c r="F873" s="824" t="s">
        <v>307</v>
      </c>
      <c r="G873" s="829" t="s">
        <v>3147</v>
      </c>
      <c r="H873" s="824" t="s">
        <v>3148</v>
      </c>
      <c r="I873" s="829" t="s">
        <v>332</v>
      </c>
      <c r="J873" s="824" t="s">
        <v>1534</v>
      </c>
      <c r="K873" s="824" t="s">
        <v>1157</v>
      </c>
      <c r="L873" s="824"/>
      <c r="M873" s="833" t="s">
        <v>3149</v>
      </c>
      <c r="N873" s="824" t="s">
        <v>425</v>
      </c>
    </row>
    <row r="874" spans="1:14" hidden="1">
      <c r="A874" s="123">
        <v>31</v>
      </c>
      <c r="B874" s="808"/>
      <c r="C874" s="390" t="s">
        <v>3146</v>
      </c>
      <c r="D874" s="825"/>
      <c r="E874" s="825"/>
      <c r="F874" s="825"/>
      <c r="G874" s="830"/>
      <c r="H874" s="825"/>
      <c r="I874" s="830"/>
      <c r="J874" s="825"/>
      <c r="K874" s="825"/>
      <c r="L874" s="825"/>
      <c r="M874" s="834"/>
      <c r="N874" s="825"/>
    </row>
    <row r="875" spans="1:14" hidden="1">
      <c r="A875" s="123">
        <v>31</v>
      </c>
      <c r="B875" s="80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07"/>
      <c r="C876" s="824" t="s">
        <v>3128</v>
      </c>
      <c r="D876" s="824" t="s">
        <v>311</v>
      </c>
      <c r="E876" s="824" t="s">
        <v>675</v>
      </c>
      <c r="F876" s="829" t="s">
        <v>660</v>
      </c>
      <c r="G876" s="829" t="s">
        <v>661</v>
      </c>
      <c r="H876" s="829" t="s">
        <v>662</v>
      </c>
      <c r="I876" s="149" t="s">
        <v>3134</v>
      </c>
      <c r="J876" s="829"/>
      <c r="K876" s="829" t="s">
        <v>698</v>
      </c>
      <c r="L876" s="824" t="s">
        <v>309</v>
      </c>
      <c r="M876" s="833" t="s">
        <v>3139</v>
      </c>
      <c r="N876" s="824" t="s">
        <v>3152</v>
      </c>
    </row>
    <row r="877" spans="1:14" hidden="1">
      <c r="A877" s="123">
        <v>31</v>
      </c>
      <c r="B877" s="807"/>
      <c r="C877" s="825"/>
      <c r="D877" s="825"/>
      <c r="E877" s="825"/>
      <c r="F877" s="830"/>
      <c r="G877" s="830"/>
      <c r="H877" s="830"/>
      <c r="I877" s="149" t="s">
        <v>3135</v>
      </c>
      <c r="J877" s="830"/>
      <c r="K877" s="830"/>
      <c r="L877" s="825"/>
      <c r="M877" s="834"/>
      <c r="N877" s="825"/>
    </row>
    <row r="878" spans="1:14" ht="16.5" hidden="1" customHeight="1">
      <c r="A878" s="123">
        <v>31</v>
      </c>
      <c r="B878" s="807"/>
      <c r="C878" s="148" t="s">
        <v>3153</v>
      </c>
      <c r="D878" s="824" t="s">
        <v>311</v>
      </c>
      <c r="E878" s="824" t="s">
        <v>320</v>
      </c>
      <c r="F878" s="829" t="s">
        <v>3068</v>
      </c>
      <c r="G878" s="829" t="s">
        <v>1919</v>
      </c>
      <c r="H878" s="829" t="s">
        <v>3069</v>
      </c>
      <c r="I878" s="829" t="s">
        <v>3154</v>
      </c>
      <c r="J878" s="829"/>
      <c r="K878" s="829" t="s">
        <v>3155</v>
      </c>
      <c r="L878" s="824" t="s">
        <v>309</v>
      </c>
      <c r="M878" s="833" t="s">
        <v>3156</v>
      </c>
      <c r="N878" s="824" t="s">
        <v>3151</v>
      </c>
    </row>
    <row r="879" spans="1:14" hidden="1">
      <c r="A879" s="123">
        <v>31</v>
      </c>
      <c r="B879" s="807"/>
      <c r="C879" s="148" t="s">
        <v>3111</v>
      </c>
      <c r="D879" s="825"/>
      <c r="E879" s="825"/>
      <c r="F879" s="830"/>
      <c r="G879" s="830"/>
      <c r="H879" s="830"/>
      <c r="I879" s="830"/>
      <c r="J879" s="830"/>
      <c r="K879" s="830"/>
      <c r="L879" s="825"/>
      <c r="M879" s="834"/>
      <c r="N879" s="825"/>
    </row>
    <row r="880" spans="1:14" hidden="1">
      <c r="A880" s="123">
        <v>31</v>
      </c>
      <c r="B880" s="80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07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0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07"/>
      <c r="C883" s="111" t="s">
        <v>3166</v>
      </c>
      <c r="D883" s="824" t="s">
        <v>311</v>
      </c>
      <c r="E883" s="824" t="s">
        <v>320</v>
      </c>
      <c r="F883" s="829" t="s">
        <v>337</v>
      </c>
      <c r="G883" s="829" t="s">
        <v>3168</v>
      </c>
      <c r="H883" s="829" t="s">
        <v>3169</v>
      </c>
      <c r="I883" s="829" t="s">
        <v>3170</v>
      </c>
      <c r="J883" s="829" t="s">
        <v>3171</v>
      </c>
      <c r="K883" s="829" t="s">
        <v>3172</v>
      </c>
      <c r="L883" s="824" t="s">
        <v>309</v>
      </c>
      <c r="M883" s="833" t="s">
        <v>3173</v>
      </c>
      <c r="N883" s="824" t="s">
        <v>3136</v>
      </c>
    </row>
    <row r="884" spans="1:14" hidden="1">
      <c r="A884" s="123">
        <v>31</v>
      </c>
      <c r="B884" s="808"/>
      <c r="C884" s="111" t="s">
        <v>3167</v>
      </c>
      <c r="D884" s="825"/>
      <c r="E884" s="825"/>
      <c r="F884" s="830"/>
      <c r="G884" s="830"/>
      <c r="H884" s="830"/>
      <c r="I884" s="830"/>
      <c r="J884" s="830"/>
      <c r="K884" s="830"/>
      <c r="L884" s="825"/>
      <c r="M884" s="834"/>
      <c r="N884" s="825"/>
    </row>
    <row r="885" spans="1:14" ht="27" hidden="1">
      <c r="A885" s="123">
        <v>32</v>
      </c>
      <c r="B885" s="94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hidden="1">
      <c r="A886" s="123">
        <v>32</v>
      </c>
      <c r="B886" s="94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hidden="1">
      <c r="A887" s="123">
        <v>32</v>
      </c>
      <c r="B887" s="94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hidden="1">
      <c r="A888" s="123">
        <v>32</v>
      </c>
      <c r="B888" s="94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4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4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4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4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hidden="1">
      <c r="A893" s="123">
        <v>33</v>
      </c>
      <c r="B893" s="94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hidden="1">
      <c r="A894" s="123">
        <v>33</v>
      </c>
      <c r="B894" s="94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4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4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4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4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hidden="1">
      <c r="A899" s="123">
        <v>34</v>
      </c>
      <c r="B899" s="8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1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1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1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1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1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1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hidden="1">
      <c r="A911" s="123">
        <v>35</v>
      </c>
      <c r="B911" s="81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1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1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1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1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1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1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1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1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hidden="1">
      <c r="A927" s="123">
        <v>36</v>
      </c>
      <c r="B927" s="80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0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0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0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0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01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1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hidden="1">
      <c r="A934" s="123">
        <v>36</v>
      </c>
      <c r="B934" s="801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1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1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801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hidden="1">
      <c r="A939" s="123">
        <v>37</v>
      </c>
      <c r="B939" s="80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0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0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0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01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1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01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1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hidden="1">
      <c r="A947" s="123">
        <v>37</v>
      </c>
      <c r="B947" s="801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801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1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1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801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1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1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1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0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01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01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01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01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01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01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1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801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1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1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1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01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1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1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1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01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01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01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1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1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hidden="1">
      <c r="A976" s="123">
        <v>40</v>
      </c>
      <c r="B976" s="80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0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0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1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1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01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01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1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1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01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0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1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1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0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0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0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0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01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01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01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0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0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01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1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1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01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01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1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01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1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0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0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0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1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01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1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1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01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01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01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1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01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1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01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0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01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0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01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0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0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1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01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1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01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1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1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1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1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01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0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01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0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01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1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01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01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01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1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01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01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1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01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01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01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01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0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01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01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01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1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1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1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1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01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01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1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1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01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01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1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01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1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01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01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01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01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01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01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01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1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1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01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1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1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1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01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1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1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01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01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1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01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1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1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1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1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1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01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01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01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01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01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1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1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01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1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1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1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01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01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01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01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1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1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01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1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1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1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1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801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hidden="1">
      <c r="A1118" s="123">
        <v>50</v>
      </c>
      <c r="B1118" s="801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hidden="1">
      <c r="A1119" s="123">
        <v>50</v>
      </c>
      <c r="B1119" s="801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01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01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01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01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1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01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1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01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01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01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01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1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01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01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01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01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01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01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1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01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01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01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01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01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01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1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01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01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1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01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1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01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1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01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01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01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01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01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1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1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01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1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01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1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01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1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01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1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1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1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1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01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01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01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01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01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1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801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hidden="1">
      <c r="A1178" s="123">
        <v>53</v>
      </c>
      <c r="B1178" s="801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801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1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801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1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801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01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01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801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hidden="1">
      <c r="A1187" s="123">
        <v>1</v>
      </c>
      <c r="B1187" s="801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801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hidden="1">
      <c r="A1191" s="123">
        <v>2</v>
      </c>
      <c r="B1191" s="7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hidden="1">
      <c r="A1192" s="123">
        <v>2</v>
      </c>
      <c r="B1192" s="7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hidden="1">
      <c r="A1193" s="123">
        <v>2</v>
      </c>
      <c r="B1193" s="7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5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hidden="1">
      <c r="A1204" s="123">
        <v>2</v>
      </c>
      <c r="B1204" s="7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85"/>
      <c r="C1208" s="793" t="s">
        <v>5007</v>
      </c>
      <c r="D1208" s="786" t="s">
        <v>311</v>
      </c>
      <c r="E1208" s="786" t="s">
        <v>675</v>
      </c>
      <c r="F1208" s="793" t="s">
        <v>337</v>
      </c>
      <c r="G1208" s="793" t="s">
        <v>353</v>
      </c>
      <c r="H1208" s="793" t="s">
        <v>5008</v>
      </c>
      <c r="I1208" s="486" t="s">
        <v>5009</v>
      </c>
      <c r="J1208" s="793" t="s">
        <v>638</v>
      </c>
      <c r="K1208" s="793" t="s">
        <v>713</v>
      </c>
      <c r="L1208" s="786" t="s">
        <v>309</v>
      </c>
      <c r="M1208" s="796">
        <v>250000</v>
      </c>
      <c r="N1208" s="786" t="s">
        <v>4990</v>
      </c>
    </row>
    <row r="1209" spans="1:14" hidden="1">
      <c r="A1209" s="123">
        <v>2</v>
      </c>
      <c r="B1209" s="785"/>
      <c r="C1209" s="793"/>
      <c r="D1209" s="786"/>
      <c r="E1209" s="786"/>
      <c r="F1209" s="793"/>
      <c r="G1209" s="793"/>
      <c r="H1209" s="793"/>
      <c r="I1209" s="486" t="s">
        <v>5010</v>
      </c>
      <c r="J1209" s="793"/>
      <c r="K1209" s="793"/>
      <c r="L1209" s="786"/>
      <c r="M1209" s="796"/>
      <c r="N1209" s="786"/>
    </row>
    <row r="1210" spans="1:14" hidden="1">
      <c r="A1210" s="123">
        <v>2</v>
      </c>
      <c r="B1210" s="7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hidden="1">
      <c r="A1213" s="123">
        <v>3</v>
      </c>
      <c r="B1213" s="7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hidden="1">
      <c r="A1214" s="123">
        <v>3</v>
      </c>
      <c r="B1214" s="7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hidden="1">
      <c r="A1215" s="123">
        <v>3</v>
      </c>
      <c r="B1215" s="7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85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85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5"/>
      <c r="C1222" s="793" t="s">
        <v>5033</v>
      </c>
      <c r="D1222" s="786" t="s">
        <v>311</v>
      </c>
      <c r="E1222" s="786" t="s">
        <v>675</v>
      </c>
      <c r="F1222" s="149" t="s">
        <v>5034</v>
      </c>
      <c r="G1222" s="149" t="s">
        <v>5036</v>
      </c>
      <c r="H1222" s="793" t="s">
        <v>347</v>
      </c>
      <c r="I1222" s="149" t="s">
        <v>5038</v>
      </c>
      <c r="J1222" s="793"/>
      <c r="K1222" s="793" t="s">
        <v>705</v>
      </c>
      <c r="L1222" s="786" t="s">
        <v>309</v>
      </c>
      <c r="M1222" s="796">
        <v>500000</v>
      </c>
      <c r="N1222" s="786" t="s">
        <v>5032</v>
      </c>
    </row>
    <row r="1223" spans="1:14" hidden="1">
      <c r="A1223" s="123">
        <v>3</v>
      </c>
      <c r="B1223" s="785"/>
      <c r="C1223" s="793"/>
      <c r="D1223" s="786"/>
      <c r="E1223" s="786"/>
      <c r="F1223" s="149" t="s">
        <v>5035</v>
      </c>
      <c r="G1223" s="149" t="s">
        <v>5037</v>
      </c>
      <c r="H1223" s="793"/>
      <c r="I1223" s="149" t="s">
        <v>5039</v>
      </c>
      <c r="J1223" s="793"/>
      <c r="K1223" s="793"/>
      <c r="L1223" s="786"/>
      <c r="M1223" s="796"/>
      <c r="N1223" s="786"/>
    </row>
    <row r="1224" spans="1:14" hidden="1">
      <c r="A1224" s="123">
        <v>3</v>
      </c>
      <c r="B1224" s="7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hidden="1">
      <c r="A1230" s="123">
        <v>4</v>
      </c>
      <c r="B1230" s="7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hidden="1">
      <c r="A1231" s="123">
        <v>4</v>
      </c>
      <c r="B1231" s="7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hidden="1">
      <c r="A1232" s="123">
        <v>4</v>
      </c>
      <c r="B1232" s="7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hidden="1">
      <c r="A1244" s="123">
        <v>5</v>
      </c>
      <c r="B1244" s="7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hidden="1">
      <c r="A1245" s="123">
        <v>5</v>
      </c>
      <c r="B1245" s="7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hidden="1">
      <c r="A1246" s="123">
        <v>5</v>
      </c>
      <c r="B1246" s="7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85"/>
      <c r="C1250" s="793" t="s">
        <v>5098</v>
      </c>
      <c r="D1250" s="786" t="s">
        <v>311</v>
      </c>
      <c r="E1250" s="786" t="s">
        <v>675</v>
      </c>
      <c r="F1250" s="786" t="s">
        <v>4986</v>
      </c>
      <c r="G1250" s="786">
        <v>1017</v>
      </c>
      <c r="H1250" s="786" t="s">
        <v>347</v>
      </c>
      <c r="I1250" s="149" t="s">
        <v>5099</v>
      </c>
      <c r="J1250" s="793"/>
      <c r="K1250" s="793" t="s">
        <v>692</v>
      </c>
      <c r="L1250" s="786" t="s">
        <v>309</v>
      </c>
      <c r="M1250" s="796">
        <v>500000</v>
      </c>
      <c r="N1250" s="786" t="s">
        <v>5032</v>
      </c>
    </row>
    <row r="1251" spans="1:14" hidden="1">
      <c r="A1251" s="123">
        <v>5</v>
      </c>
      <c r="B1251" s="785"/>
      <c r="C1251" s="793"/>
      <c r="D1251" s="786"/>
      <c r="E1251" s="786"/>
      <c r="F1251" s="786"/>
      <c r="G1251" s="786"/>
      <c r="H1251" s="786"/>
      <c r="I1251" s="149" t="s">
        <v>5100</v>
      </c>
      <c r="J1251" s="793"/>
      <c r="K1251" s="793"/>
      <c r="L1251" s="786"/>
      <c r="M1251" s="796"/>
      <c r="N1251" s="786"/>
    </row>
    <row r="1252" spans="1:14">
      <c r="A1252" s="123">
        <v>5</v>
      </c>
      <c r="B1252" s="7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5"/>
      <c r="C1254" s="793" t="s">
        <v>5103</v>
      </c>
      <c r="D1254" s="786" t="s">
        <v>311</v>
      </c>
      <c r="E1254" s="786" t="s">
        <v>675</v>
      </c>
      <c r="F1254" s="793" t="s">
        <v>5070</v>
      </c>
      <c r="G1254" s="793">
        <v>3006</v>
      </c>
      <c r="H1254" s="793" t="s">
        <v>347</v>
      </c>
      <c r="I1254" s="486" t="s">
        <v>5104</v>
      </c>
      <c r="J1254" s="793"/>
      <c r="K1254" s="793" t="s">
        <v>705</v>
      </c>
      <c r="L1254" s="786" t="s">
        <v>309</v>
      </c>
      <c r="M1254" s="796">
        <v>500000</v>
      </c>
      <c r="N1254" s="786" t="s">
        <v>5032</v>
      </c>
    </row>
    <row r="1255" spans="1:14" hidden="1">
      <c r="A1255" s="123">
        <v>5</v>
      </c>
      <c r="B1255" s="785"/>
      <c r="C1255" s="793"/>
      <c r="D1255" s="786"/>
      <c r="E1255" s="786"/>
      <c r="F1255" s="793"/>
      <c r="G1255" s="793"/>
      <c r="H1255" s="793"/>
      <c r="I1255" s="486" t="s">
        <v>5105</v>
      </c>
      <c r="J1255" s="793"/>
      <c r="K1255" s="793"/>
      <c r="L1255" s="786"/>
      <c r="M1255" s="796"/>
      <c r="N1255" s="786"/>
    </row>
    <row r="1256" spans="1:14" hidden="1">
      <c r="A1256" s="123">
        <v>5</v>
      </c>
      <c r="B1256" s="785"/>
      <c r="C1256" s="793" t="s">
        <v>5103</v>
      </c>
      <c r="D1256" s="786" t="s">
        <v>311</v>
      </c>
      <c r="E1256" s="786" t="s">
        <v>675</v>
      </c>
      <c r="F1256" s="793" t="s">
        <v>5070</v>
      </c>
      <c r="G1256" s="793">
        <v>3006</v>
      </c>
      <c r="H1256" s="793" t="s">
        <v>347</v>
      </c>
      <c r="I1256" s="486" t="s">
        <v>5104</v>
      </c>
      <c r="J1256" s="793"/>
      <c r="K1256" s="793" t="s">
        <v>4936</v>
      </c>
      <c r="L1256" s="786" t="s">
        <v>309</v>
      </c>
      <c r="M1256" s="796">
        <v>600000</v>
      </c>
      <c r="N1256" s="786" t="s">
        <v>5032</v>
      </c>
    </row>
    <row r="1257" spans="1:14" hidden="1">
      <c r="A1257" s="123">
        <v>5</v>
      </c>
      <c r="B1257" s="785"/>
      <c r="C1257" s="793"/>
      <c r="D1257" s="786"/>
      <c r="E1257" s="786"/>
      <c r="F1257" s="793"/>
      <c r="G1257" s="793"/>
      <c r="H1257" s="793"/>
      <c r="I1257" s="486" t="s">
        <v>5105</v>
      </c>
      <c r="J1257" s="793"/>
      <c r="K1257" s="793"/>
      <c r="L1257" s="786"/>
      <c r="M1257" s="796"/>
      <c r="N1257" s="786"/>
    </row>
    <row r="1258" spans="1:14">
      <c r="A1258" s="123">
        <v>5</v>
      </c>
      <c r="B1258" s="7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hidden="1">
      <c r="A1259" s="123">
        <v>6</v>
      </c>
      <c r="B1259" s="7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hidden="1">
      <c r="A1260" s="123">
        <v>6</v>
      </c>
      <c r="B1260" s="7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hidden="1">
      <c r="A1261" s="123">
        <v>6</v>
      </c>
      <c r="B1261" s="7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hidden="1">
      <c r="A1262" s="123">
        <v>6</v>
      </c>
      <c r="B1262" s="7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85"/>
      <c r="C1268" s="793" t="s">
        <v>5122</v>
      </c>
      <c r="D1268" s="786" t="s">
        <v>311</v>
      </c>
      <c r="E1268" s="786" t="s">
        <v>675</v>
      </c>
      <c r="F1268" s="149" t="s">
        <v>5123</v>
      </c>
      <c r="G1268" s="485" t="s">
        <v>5125</v>
      </c>
      <c r="H1268" s="391" t="s">
        <v>347</v>
      </c>
      <c r="I1268" s="793" t="s">
        <v>5128</v>
      </c>
      <c r="J1268" s="793" t="s">
        <v>638</v>
      </c>
      <c r="K1268" s="793" t="s">
        <v>692</v>
      </c>
      <c r="L1268" s="786" t="s">
        <v>309</v>
      </c>
      <c r="M1268" s="796">
        <v>500000</v>
      </c>
      <c r="N1268" s="786" t="s">
        <v>1772</v>
      </c>
    </row>
    <row r="1269" spans="1:14" hidden="1">
      <c r="A1269" s="123">
        <v>6</v>
      </c>
      <c r="B1269" s="785"/>
      <c r="C1269" s="793"/>
      <c r="D1269" s="786"/>
      <c r="E1269" s="786"/>
      <c r="F1269" s="149" t="s">
        <v>5124</v>
      </c>
      <c r="G1269" s="485" t="s">
        <v>5126</v>
      </c>
      <c r="H1269" s="391" t="s">
        <v>5127</v>
      </c>
      <c r="I1269" s="793"/>
      <c r="J1269" s="793"/>
      <c r="K1269" s="793"/>
      <c r="L1269" s="786"/>
      <c r="M1269" s="796"/>
      <c r="N1269" s="786"/>
    </row>
    <row r="1270" spans="1:14" ht="24" hidden="1">
      <c r="A1270" s="123">
        <v>6</v>
      </c>
      <c r="B1270" s="785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5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hidden="1">
      <c r="A1273" s="123">
        <v>7</v>
      </c>
      <c r="B1273" s="7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hidden="1">
      <c r="A1274" s="123">
        <v>7</v>
      </c>
      <c r="B1274" s="7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hidden="1">
      <c r="A1281" s="123">
        <v>8</v>
      </c>
      <c r="B1281" s="785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hidden="1">
      <c r="A1283" s="123">
        <v>8</v>
      </c>
      <c r="B1283" s="785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hidden="1">
      <c r="A1284" s="123">
        <v>8</v>
      </c>
      <c r="B1284" s="785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85"/>
      <c r="C1289" s="792" t="s">
        <v>5158</v>
      </c>
      <c r="D1289" s="794" t="s">
        <v>311</v>
      </c>
      <c r="E1289" s="794" t="s">
        <v>675</v>
      </c>
      <c r="F1289" s="516" t="s">
        <v>5123</v>
      </c>
      <c r="G1289" s="517" t="s">
        <v>5125</v>
      </c>
      <c r="H1289" s="517" t="s">
        <v>347</v>
      </c>
      <c r="I1289" s="792" t="s">
        <v>5128</v>
      </c>
      <c r="J1289" s="792"/>
      <c r="K1289" s="792" t="s">
        <v>692</v>
      </c>
      <c r="L1289" s="794" t="s">
        <v>309</v>
      </c>
      <c r="M1289" s="795">
        <v>500000</v>
      </c>
      <c r="N1289" s="786" t="s">
        <v>5032</v>
      </c>
    </row>
    <row r="1290" spans="1:14" ht="19.5" hidden="1">
      <c r="A1290" s="123">
        <v>8</v>
      </c>
      <c r="B1290" s="785"/>
      <c r="C1290" s="793"/>
      <c r="D1290" s="786"/>
      <c r="E1290" s="786"/>
      <c r="F1290" s="149" t="s">
        <v>5124</v>
      </c>
      <c r="G1290" s="485" t="s">
        <v>5126</v>
      </c>
      <c r="H1290" s="487" t="s">
        <v>5127</v>
      </c>
      <c r="I1290" s="793"/>
      <c r="J1290" s="793"/>
      <c r="K1290" s="793"/>
      <c r="L1290" s="786"/>
      <c r="M1290" s="796"/>
      <c r="N1290" s="786"/>
    </row>
    <row r="1291" spans="1:14">
      <c r="A1291" s="123">
        <v>8</v>
      </c>
      <c r="B1291" s="785"/>
      <c r="C1291" s="792" t="s">
        <v>5159</v>
      </c>
      <c r="D1291" s="794" t="s">
        <v>311</v>
      </c>
      <c r="E1291" s="794" t="s">
        <v>320</v>
      </c>
      <c r="F1291" s="799" t="s">
        <v>709</v>
      </c>
      <c r="G1291" s="792" t="s">
        <v>3098</v>
      </c>
      <c r="H1291" s="792" t="s">
        <v>3099</v>
      </c>
      <c r="I1291" s="516" t="s">
        <v>5312</v>
      </c>
      <c r="J1291" s="792" t="s">
        <v>638</v>
      </c>
      <c r="K1291" s="792" t="s">
        <v>713</v>
      </c>
      <c r="L1291" s="794" t="s">
        <v>309</v>
      </c>
      <c r="M1291" s="795">
        <v>250000</v>
      </c>
      <c r="N1291" s="786" t="s">
        <v>5032</v>
      </c>
    </row>
    <row r="1292" spans="1:14" hidden="1">
      <c r="A1292" s="123">
        <v>8</v>
      </c>
      <c r="B1292" s="785"/>
      <c r="C1292" s="793"/>
      <c r="D1292" s="786"/>
      <c r="E1292" s="786"/>
      <c r="F1292" s="800"/>
      <c r="G1292" s="793"/>
      <c r="H1292" s="793"/>
      <c r="I1292" s="149" t="s">
        <v>5160</v>
      </c>
      <c r="J1292" s="793"/>
      <c r="K1292" s="793"/>
      <c r="L1292" s="786"/>
      <c r="M1292" s="796"/>
      <c r="N1292" s="786"/>
    </row>
    <row r="1293" spans="1:14">
      <c r="A1293" s="123">
        <v>8</v>
      </c>
      <c r="B1293" s="785"/>
      <c r="C1293" s="792" t="s">
        <v>5161</v>
      </c>
      <c r="D1293" s="794" t="s">
        <v>311</v>
      </c>
      <c r="E1293" s="794" t="s">
        <v>320</v>
      </c>
      <c r="F1293" s="792" t="s">
        <v>337</v>
      </c>
      <c r="G1293" s="792" t="s">
        <v>3168</v>
      </c>
      <c r="H1293" s="792" t="s">
        <v>3057</v>
      </c>
      <c r="I1293" s="516" t="s">
        <v>5313</v>
      </c>
      <c r="J1293" s="792" t="s">
        <v>638</v>
      </c>
      <c r="K1293" s="792" t="s">
        <v>692</v>
      </c>
      <c r="L1293" s="794" t="s">
        <v>309</v>
      </c>
      <c r="M1293" s="795">
        <v>500000</v>
      </c>
      <c r="N1293" s="786" t="s">
        <v>1206</v>
      </c>
    </row>
    <row r="1294" spans="1:14" hidden="1">
      <c r="A1294" s="123">
        <v>8</v>
      </c>
      <c r="B1294" s="785"/>
      <c r="C1294" s="793"/>
      <c r="D1294" s="786"/>
      <c r="E1294" s="786"/>
      <c r="F1294" s="793"/>
      <c r="G1294" s="793"/>
      <c r="H1294" s="793"/>
      <c r="I1294" s="149" t="s">
        <v>5162</v>
      </c>
      <c r="J1294" s="793"/>
      <c r="K1294" s="793"/>
      <c r="L1294" s="786"/>
      <c r="M1294" s="796"/>
      <c r="N1294" s="786"/>
    </row>
    <row r="1295" spans="1:14" hidden="1">
      <c r="A1295" s="123">
        <v>9</v>
      </c>
      <c r="B1295" s="7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5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5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hidden="1">
      <c r="A1299" s="123">
        <v>9</v>
      </c>
      <c r="B1299" s="785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hidden="1">
      <c r="A1300" s="123">
        <v>9</v>
      </c>
      <c r="B1300" s="785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hidden="1">
      <c r="A1301" s="123">
        <v>9</v>
      </c>
      <c r="B1301" s="785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85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85"/>
      <c r="C1304" s="792" t="s">
        <v>5175</v>
      </c>
      <c r="D1304" s="794" t="s">
        <v>311</v>
      </c>
      <c r="E1304" s="794" t="s">
        <v>320</v>
      </c>
      <c r="F1304" s="792" t="s">
        <v>337</v>
      </c>
      <c r="G1304" s="792" t="s">
        <v>3168</v>
      </c>
      <c r="H1304" s="792" t="s">
        <v>3057</v>
      </c>
      <c r="I1304" s="520" t="s">
        <v>5176</v>
      </c>
      <c r="J1304" s="792" t="s">
        <v>638</v>
      </c>
      <c r="K1304" s="792" t="s">
        <v>713</v>
      </c>
      <c r="L1304" s="794" t="s">
        <v>309</v>
      </c>
      <c r="M1304" s="795">
        <v>250000</v>
      </c>
      <c r="N1304" s="786" t="s">
        <v>5032</v>
      </c>
    </row>
    <row r="1305" spans="1:14" hidden="1">
      <c r="A1305" s="123">
        <v>9</v>
      </c>
      <c r="B1305" s="785"/>
      <c r="C1305" s="793"/>
      <c r="D1305" s="786"/>
      <c r="E1305" s="786"/>
      <c r="F1305" s="793"/>
      <c r="G1305" s="793"/>
      <c r="H1305" s="793"/>
      <c r="I1305" s="486" t="s">
        <v>5177</v>
      </c>
      <c r="J1305" s="793"/>
      <c r="K1305" s="793"/>
      <c r="L1305" s="786"/>
      <c r="M1305" s="796"/>
      <c r="N1305" s="786"/>
    </row>
    <row r="1306" spans="1:14">
      <c r="A1306" s="123">
        <v>9</v>
      </c>
      <c r="B1306" s="785"/>
      <c r="C1306" s="792" t="s">
        <v>5175</v>
      </c>
      <c r="D1306" s="794" t="s">
        <v>311</v>
      </c>
      <c r="E1306" s="794" t="s">
        <v>320</v>
      </c>
      <c r="F1306" s="792" t="s">
        <v>5178</v>
      </c>
      <c r="G1306" s="516" t="s">
        <v>689</v>
      </c>
      <c r="H1306" s="792" t="s">
        <v>5180</v>
      </c>
      <c r="I1306" s="516" t="s">
        <v>5315</v>
      </c>
      <c r="J1306" s="792"/>
      <c r="K1306" s="792" t="s">
        <v>713</v>
      </c>
      <c r="L1306" s="794" t="s">
        <v>309</v>
      </c>
      <c r="M1306" s="795">
        <v>250000</v>
      </c>
      <c r="N1306" s="786" t="s">
        <v>5032</v>
      </c>
    </row>
    <row r="1307" spans="1:14" hidden="1">
      <c r="A1307" s="123">
        <v>9</v>
      </c>
      <c r="B1307" s="785"/>
      <c r="C1307" s="793"/>
      <c r="D1307" s="786"/>
      <c r="E1307" s="786"/>
      <c r="F1307" s="793"/>
      <c r="G1307" s="149" t="s">
        <v>5179</v>
      </c>
      <c r="H1307" s="793"/>
      <c r="I1307" s="149" t="s">
        <v>5181</v>
      </c>
      <c r="J1307" s="793"/>
      <c r="K1307" s="793"/>
      <c r="L1307" s="786"/>
      <c r="M1307" s="796"/>
      <c r="N1307" s="786"/>
    </row>
    <row r="1308" spans="1:14" hidden="1">
      <c r="A1308" s="123">
        <v>9</v>
      </c>
      <c r="B1308" s="7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85"/>
      <c r="C1309" s="792" t="s">
        <v>5183</v>
      </c>
      <c r="D1309" s="794" t="s">
        <v>311</v>
      </c>
      <c r="E1309" s="794" t="s">
        <v>320</v>
      </c>
      <c r="F1309" s="792" t="s">
        <v>337</v>
      </c>
      <c r="G1309" s="516" t="s">
        <v>3401</v>
      </c>
      <c r="H1309" s="792" t="s">
        <v>5029</v>
      </c>
      <c r="I1309" s="792" t="s">
        <v>5316</v>
      </c>
      <c r="J1309" s="792"/>
      <c r="K1309" s="792" t="s">
        <v>692</v>
      </c>
      <c r="L1309" s="794" t="s">
        <v>309</v>
      </c>
      <c r="M1309" s="795">
        <v>500000</v>
      </c>
      <c r="N1309" s="786" t="s">
        <v>5032</v>
      </c>
    </row>
    <row r="1310" spans="1:14" hidden="1">
      <c r="A1310" s="123">
        <v>9</v>
      </c>
      <c r="B1310" s="785"/>
      <c r="C1310" s="793"/>
      <c r="D1310" s="786"/>
      <c r="E1310" s="786"/>
      <c r="F1310" s="793"/>
      <c r="G1310" s="149" t="s">
        <v>5184</v>
      </c>
      <c r="H1310" s="793"/>
      <c r="I1310" s="793"/>
      <c r="J1310" s="793"/>
      <c r="K1310" s="793"/>
      <c r="L1310" s="786"/>
      <c r="M1310" s="796"/>
      <c r="N1310" s="786"/>
    </row>
    <row r="1311" spans="1:14" ht="24" hidden="1">
      <c r="A1311" s="123">
        <v>9</v>
      </c>
      <c r="B1311" s="7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85"/>
      <c r="C1312" s="792" t="s">
        <v>5187</v>
      </c>
      <c r="D1312" s="794" t="s">
        <v>311</v>
      </c>
      <c r="E1312" s="794" t="s">
        <v>675</v>
      </c>
      <c r="F1312" s="792" t="s">
        <v>5188</v>
      </c>
      <c r="G1312" s="517" t="s">
        <v>1919</v>
      </c>
      <c r="H1312" s="792" t="s">
        <v>347</v>
      </c>
      <c r="I1312" s="792" t="s">
        <v>5319</v>
      </c>
      <c r="J1312" s="792"/>
      <c r="K1312" s="792" t="s">
        <v>692</v>
      </c>
      <c r="L1312" s="794" t="s">
        <v>309</v>
      </c>
      <c r="M1312" s="797">
        <v>500000</v>
      </c>
      <c r="N1312" s="786" t="s">
        <v>1925</v>
      </c>
    </row>
    <row r="1313" spans="1:14" hidden="1">
      <c r="A1313" s="123">
        <v>9</v>
      </c>
      <c r="B1313" s="785"/>
      <c r="C1313" s="793"/>
      <c r="D1313" s="786"/>
      <c r="E1313" s="786"/>
      <c r="F1313" s="793"/>
      <c r="G1313" s="485" t="s">
        <v>5189</v>
      </c>
      <c r="H1313" s="793"/>
      <c r="I1313" s="793"/>
      <c r="J1313" s="793"/>
      <c r="K1313" s="793"/>
      <c r="L1313" s="786"/>
      <c r="M1313" s="798"/>
      <c r="N1313" s="786"/>
    </row>
    <row r="1314" spans="1:14" hidden="1">
      <c r="A1314" s="123">
        <v>10</v>
      </c>
      <c r="B1314" s="785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5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hidden="1">
      <c r="A1316" s="123">
        <v>10</v>
      </c>
      <c r="B1316" s="785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hidden="1">
      <c r="A1317" s="123">
        <v>10</v>
      </c>
      <c r="B1317" s="785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85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5"/>
      <c r="C1321" s="793" t="s">
        <v>5201</v>
      </c>
      <c r="D1321" s="786" t="s">
        <v>311</v>
      </c>
      <c r="E1321" s="786" t="s">
        <v>320</v>
      </c>
      <c r="F1321" s="793" t="s">
        <v>337</v>
      </c>
      <c r="G1321" s="793" t="s">
        <v>3168</v>
      </c>
      <c r="H1321" s="793" t="s">
        <v>3057</v>
      </c>
      <c r="I1321" s="486" t="s">
        <v>5176</v>
      </c>
      <c r="J1321" s="793" t="s">
        <v>638</v>
      </c>
      <c r="K1321" s="793" t="s">
        <v>705</v>
      </c>
      <c r="L1321" s="786" t="s">
        <v>309</v>
      </c>
      <c r="M1321" s="796">
        <v>500000</v>
      </c>
      <c r="N1321" s="786" t="s">
        <v>1206</v>
      </c>
    </row>
    <row r="1322" spans="1:14" hidden="1">
      <c r="A1322" s="123">
        <v>10</v>
      </c>
      <c r="B1322" s="785"/>
      <c r="C1322" s="793"/>
      <c r="D1322" s="786"/>
      <c r="E1322" s="786"/>
      <c r="F1322" s="793"/>
      <c r="G1322" s="793"/>
      <c r="H1322" s="793"/>
      <c r="I1322" s="486" t="s">
        <v>5177</v>
      </c>
      <c r="J1322" s="793"/>
      <c r="K1322" s="793"/>
      <c r="L1322" s="786"/>
      <c r="M1322" s="796"/>
      <c r="N1322" s="786"/>
    </row>
    <row r="1323" spans="1:14" hidden="1">
      <c r="A1323" s="123">
        <v>10</v>
      </c>
      <c r="B1323" s="7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85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5"/>
      <c r="C1326" s="793" t="s">
        <v>5202</v>
      </c>
      <c r="D1326" s="786" t="s">
        <v>311</v>
      </c>
      <c r="E1326" s="786" t="s">
        <v>320</v>
      </c>
      <c r="F1326" s="793" t="s">
        <v>337</v>
      </c>
      <c r="G1326" s="793" t="s">
        <v>3168</v>
      </c>
      <c r="H1326" s="793" t="s">
        <v>3057</v>
      </c>
      <c r="I1326" s="486" t="s">
        <v>5176</v>
      </c>
      <c r="J1326" s="793"/>
      <c r="K1326" s="793" t="s">
        <v>705</v>
      </c>
      <c r="L1326" s="786" t="s">
        <v>309</v>
      </c>
      <c r="M1326" s="796">
        <v>500000</v>
      </c>
      <c r="N1326" s="786" t="s">
        <v>1206</v>
      </c>
    </row>
    <row r="1327" spans="1:14" hidden="1">
      <c r="A1327" s="123">
        <v>10</v>
      </c>
      <c r="B1327" s="785"/>
      <c r="C1327" s="793"/>
      <c r="D1327" s="786"/>
      <c r="E1327" s="786"/>
      <c r="F1327" s="793"/>
      <c r="G1327" s="793"/>
      <c r="H1327" s="793"/>
      <c r="I1327" s="486" t="s">
        <v>5177</v>
      </c>
      <c r="J1327" s="793"/>
      <c r="K1327" s="793"/>
      <c r="L1327" s="786"/>
      <c r="M1327" s="796"/>
      <c r="N1327" s="786"/>
    </row>
    <row r="1328" spans="1:14" ht="25.5" hidden="1">
      <c r="A1328" s="123">
        <v>10</v>
      </c>
      <c r="B1328" s="7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85"/>
      <c r="C1329" s="792" t="s">
        <v>5209</v>
      </c>
      <c r="D1329" s="794" t="s">
        <v>311</v>
      </c>
      <c r="E1329" s="794" t="s">
        <v>675</v>
      </c>
      <c r="F1329" s="516" t="s">
        <v>5210</v>
      </c>
      <c r="G1329" s="792" t="s">
        <v>5212</v>
      </c>
      <c r="H1329" s="792" t="s">
        <v>662</v>
      </c>
      <c r="I1329" s="792" t="s">
        <v>5321</v>
      </c>
      <c r="J1329" s="792" t="s">
        <v>638</v>
      </c>
      <c r="K1329" s="792" t="s">
        <v>713</v>
      </c>
      <c r="L1329" s="794" t="s">
        <v>309</v>
      </c>
      <c r="M1329" s="795">
        <v>250000</v>
      </c>
      <c r="N1329" s="786" t="s">
        <v>5032</v>
      </c>
    </row>
    <row r="1330" spans="1:14" hidden="1">
      <c r="A1330" s="123">
        <v>10</v>
      </c>
      <c r="B1330" s="785"/>
      <c r="C1330" s="793"/>
      <c r="D1330" s="786"/>
      <c r="E1330" s="786"/>
      <c r="F1330" s="149" t="s">
        <v>5211</v>
      </c>
      <c r="G1330" s="793"/>
      <c r="H1330" s="793"/>
      <c r="I1330" s="793"/>
      <c r="J1330" s="793"/>
      <c r="K1330" s="793"/>
      <c r="L1330" s="786"/>
      <c r="M1330" s="796"/>
      <c r="N1330" s="786"/>
    </row>
    <row r="1331" spans="1:14">
      <c r="A1331" s="123">
        <v>10</v>
      </c>
      <c r="B1331" s="785"/>
      <c r="C1331" s="792" t="s">
        <v>5213</v>
      </c>
      <c r="D1331" s="794" t="s">
        <v>311</v>
      </c>
      <c r="E1331" s="794" t="s">
        <v>675</v>
      </c>
      <c r="F1331" s="792" t="s">
        <v>5214</v>
      </c>
      <c r="G1331" s="517" t="s">
        <v>5126</v>
      </c>
      <c r="H1331" s="787" t="s">
        <v>347</v>
      </c>
      <c r="I1331" s="516" t="s">
        <v>5322</v>
      </c>
      <c r="J1331" s="792"/>
      <c r="K1331" s="792" t="s">
        <v>692</v>
      </c>
      <c r="L1331" s="794" t="s">
        <v>309</v>
      </c>
      <c r="M1331" s="795">
        <v>500000</v>
      </c>
      <c r="N1331" s="786" t="s">
        <v>5032</v>
      </c>
    </row>
    <row r="1332" spans="1:14" hidden="1">
      <c r="A1332" s="123">
        <v>10</v>
      </c>
      <c r="B1332" s="785"/>
      <c r="C1332" s="793"/>
      <c r="D1332" s="786"/>
      <c r="E1332" s="786"/>
      <c r="F1332" s="793"/>
      <c r="G1332" s="485" t="s">
        <v>5215</v>
      </c>
      <c r="H1332" s="788"/>
      <c r="I1332" s="149" t="s">
        <v>5217</v>
      </c>
      <c r="J1332" s="793"/>
      <c r="K1332" s="793"/>
      <c r="L1332" s="786"/>
      <c r="M1332" s="796"/>
      <c r="N1332" s="786"/>
    </row>
    <row r="1333" spans="1:14" hidden="1">
      <c r="A1333" s="123">
        <v>11</v>
      </c>
      <c r="B1333" s="785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5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hidden="1">
      <c r="A1335" s="123">
        <v>11</v>
      </c>
      <c r="B1335" s="785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hidden="1">
      <c r="A1336" s="123">
        <v>11</v>
      </c>
      <c r="B1336" s="785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hidden="1">
      <c r="A1337" s="123">
        <v>11</v>
      </c>
      <c r="B1337" s="785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85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85" t="s">
        <v>5163</v>
      </c>
      <c r="C1339" s="787" t="s">
        <v>5218</v>
      </c>
      <c r="D1339" s="789" t="s">
        <v>311</v>
      </c>
      <c r="E1339" s="789" t="s">
        <v>675</v>
      </c>
      <c r="F1339" s="787" t="s">
        <v>5214</v>
      </c>
      <c r="G1339" s="520" t="s">
        <v>5126</v>
      </c>
      <c r="H1339" s="787" t="s">
        <v>347</v>
      </c>
      <c r="I1339" s="520" t="s">
        <v>5216</v>
      </c>
      <c r="J1339" s="787"/>
      <c r="K1339" s="787" t="s">
        <v>692</v>
      </c>
      <c r="L1339" s="789" t="s">
        <v>309</v>
      </c>
      <c r="M1339" s="790">
        <v>500000</v>
      </c>
      <c r="N1339" s="788" t="s">
        <v>5225</v>
      </c>
    </row>
    <row r="1340" spans="1:14" hidden="1">
      <c r="A1340" s="123">
        <v>11</v>
      </c>
      <c r="B1340" s="785"/>
      <c r="C1340" s="788"/>
      <c r="D1340" s="783"/>
      <c r="E1340" s="783"/>
      <c r="F1340" s="788"/>
      <c r="G1340" s="486" t="s">
        <v>5215</v>
      </c>
      <c r="H1340" s="788"/>
      <c r="I1340" s="486" t="s">
        <v>5217</v>
      </c>
      <c r="J1340" s="788"/>
      <c r="K1340" s="788"/>
      <c r="L1340" s="783"/>
      <c r="M1340" s="791"/>
      <c r="N1340" s="788"/>
    </row>
    <row r="1341" spans="1:14">
      <c r="A1341" s="123">
        <v>11</v>
      </c>
      <c r="B1341" s="785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5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85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hidden="1">
      <c r="A1344" s="123">
        <v>12</v>
      </c>
      <c r="B1344" s="785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85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85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hidden="1">
      <c r="A1347" s="123">
        <v>12</v>
      </c>
      <c r="B1347" s="785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hidden="1">
      <c r="A1348" s="123">
        <v>12</v>
      </c>
      <c r="B1348" s="785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hidden="1">
      <c r="A1349" s="123">
        <v>12</v>
      </c>
      <c r="B1349" s="785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5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5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5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5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85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5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5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5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hidden="1">
      <c r="A1358" s="123">
        <v>13</v>
      </c>
      <c r="B1358" s="785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hidden="1">
      <c r="A1359" s="123">
        <v>13</v>
      </c>
      <c r="B1359" s="78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85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85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5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85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5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5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5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85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5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hidden="1">
      <c r="A1369" s="123">
        <v>14</v>
      </c>
      <c r="B1369" s="78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83" t="s">
        <v>5443</v>
      </c>
    </row>
    <row r="1370" spans="1:14">
      <c r="A1370" s="123">
        <v>14</v>
      </c>
      <c r="B1370" s="78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83"/>
    </row>
    <row r="1371" spans="1:14" hidden="1">
      <c r="A1371" s="123">
        <v>14</v>
      </c>
      <c r="B1371" s="78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hidden="1">
      <c r="A1372" s="123">
        <v>14</v>
      </c>
      <c r="B1372" s="78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8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8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hidden="1">
      <c r="A1375" s="123">
        <v>14</v>
      </c>
      <c r="B1375" s="78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8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8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8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8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8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8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8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801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hidden="1">
      <c r="A1384" s="123">
        <v>15</v>
      </c>
      <c r="B1384" s="801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1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1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801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hidden="1">
      <c r="A1388" s="123">
        <v>15</v>
      </c>
      <c r="B1388" s="801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801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1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1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1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1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1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1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801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1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hidden="1">
      <c r="A1398" s="123">
        <v>16</v>
      </c>
      <c r="B1398" s="801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801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hidden="1">
      <c r="A1400" s="123">
        <v>16</v>
      </c>
      <c r="B1400" s="801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hidden="1">
      <c r="A1401" s="123">
        <v>16</v>
      </c>
      <c r="B1401" s="801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801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hidden="1">
      <c r="A1403" s="123">
        <v>16</v>
      </c>
      <c r="B1403" s="801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hidden="1">
      <c r="A1404" s="123">
        <v>16</v>
      </c>
      <c r="B1404" s="801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5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hidden="1">
      <c r="A1406" s="616">
        <v>17</v>
      </c>
      <c r="B1406" s="785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hidden="1">
      <c r="A1407" s="616">
        <v>17</v>
      </c>
      <c r="B1407" s="785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hidden="1">
      <c r="A1408" s="616">
        <v>17</v>
      </c>
      <c r="B1408" s="785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61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5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06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07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hidden="1">
      <c r="A1412" s="616">
        <v>17</v>
      </c>
      <c r="B1412" s="807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hidden="1">
      <c r="A1413" s="616">
        <v>17</v>
      </c>
      <c r="B1413" s="807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hidden="1">
      <c r="A1414" s="616">
        <v>17</v>
      </c>
      <c r="B1414" s="808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hidden="1">
      <c r="A1415" s="616">
        <v>18</v>
      </c>
      <c r="B1415" s="785" t="s">
        <v>5697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7"/>
    </row>
    <row r="1416" spans="1:14" hidden="1">
      <c r="A1416" s="616">
        <v>18</v>
      </c>
      <c r="B1416" s="785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7"/>
    </row>
    <row r="1417" spans="1:14" hidden="1">
      <c r="A1417" s="616">
        <v>18</v>
      </c>
      <c r="B1417" s="785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hidden="1">
      <c r="A1418" s="616">
        <v>18</v>
      </c>
      <c r="B1418" s="785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85" t="s">
        <v>5698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5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5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5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5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5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hidden="1">
      <c r="A1425" s="616">
        <v>19</v>
      </c>
      <c r="B1425" s="951" t="s">
        <v>5777</v>
      </c>
      <c r="C1425" s="676" t="s">
        <v>5766</v>
      </c>
      <c r="D1425" s="673" t="s">
        <v>306</v>
      </c>
      <c r="E1425" s="673" t="s">
        <v>322</v>
      </c>
      <c r="F1425" s="676" t="s">
        <v>5400</v>
      </c>
      <c r="G1425" s="676" t="s">
        <v>5767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8">
        <v>750000</v>
      </c>
      <c r="N1425" s="714"/>
    </row>
    <row r="1426" spans="1:14" hidden="1">
      <c r="A1426" s="616">
        <v>19</v>
      </c>
      <c r="B1426" s="951"/>
      <c r="C1426" s="676" t="s">
        <v>5768</v>
      </c>
      <c r="D1426" s="673" t="s">
        <v>306</v>
      </c>
      <c r="E1426" s="673" t="s">
        <v>322</v>
      </c>
      <c r="F1426" s="676" t="s">
        <v>5400</v>
      </c>
      <c r="G1426" s="716" t="s">
        <v>5778</v>
      </c>
      <c r="H1426" s="676" t="s">
        <v>1047</v>
      </c>
      <c r="I1426" s="692" t="s">
        <v>5769</v>
      </c>
      <c r="J1426" s="673" t="s">
        <v>1534</v>
      </c>
      <c r="K1426" s="673" t="s">
        <v>5770</v>
      </c>
      <c r="L1426" s="673"/>
      <c r="M1426" s="708">
        <v>1500000</v>
      </c>
      <c r="N1426" s="714"/>
    </row>
    <row r="1427" spans="1:14" hidden="1">
      <c r="A1427" s="616">
        <v>19</v>
      </c>
      <c r="B1427" s="951"/>
      <c r="C1427" s="676" t="s">
        <v>5771</v>
      </c>
      <c r="D1427" s="673" t="s">
        <v>306</v>
      </c>
      <c r="E1427" s="673" t="s">
        <v>322</v>
      </c>
      <c r="F1427" s="676" t="s">
        <v>5400</v>
      </c>
      <c r="G1427" s="676" t="s">
        <v>5767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8">
        <v>500000</v>
      </c>
      <c r="N1427" s="714"/>
    </row>
    <row r="1428" spans="1:14" hidden="1">
      <c r="A1428" s="616">
        <v>19</v>
      </c>
      <c r="B1428" s="951"/>
      <c r="C1428" s="676" t="s">
        <v>5772</v>
      </c>
      <c r="D1428" s="673" t="s">
        <v>306</v>
      </c>
      <c r="E1428" s="673" t="s">
        <v>322</v>
      </c>
      <c r="F1428" s="676" t="s">
        <v>5400</v>
      </c>
      <c r="G1428" s="676" t="s">
        <v>5773</v>
      </c>
      <c r="H1428" s="676" t="s">
        <v>5774</v>
      </c>
      <c r="I1428" s="692" t="s">
        <v>5775</v>
      </c>
      <c r="J1428" s="673" t="s">
        <v>664</v>
      </c>
      <c r="K1428" s="673" t="s">
        <v>5776</v>
      </c>
      <c r="L1428" s="673"/>
      <c r="M1428" s="708">
        <v>1000000</v>
      </c>
      <c r="N1428" s="676"/>
    </row>
    <row r="1429" spans="1:14" ht="22.5">
      <c r="A1429" s="616">
        <v>19</v>
      </c>
      <c r="B1429" s="951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9">
        <v>550000</v>
      </c>
      <c r="N1429" s="673" t="s">
        <v>5704</v>
      </c>
    </row>
    <row r="1430" spans="1:14" hidden="1">
      <c r="A1430" s="616">
        <v>19</v>
      </c>
      <c r="B1430" s="951"/>
      <c r="C1430" s="691">
        <v>46153</v>
      </c>
      <c r="D1430" s="646" t="s">
        <v>24</v>
      </c>
      <c r="E1430" s="646" t="s">
        <v>14</v>
      </c>
      <c r="F1430" s="685" t="s">
        <v>5711</v>
      </c>
      <c r="G1430" s="685" t="s">
        <v>1968</v>
      </c>
      <c r="H1430" s="648" t="s">
        <v>142</v>
      </c>
      <c r="I1430" s="686" t="s">
        <v>5710</v>
      </c>
      <c r="J1430" s="685" t="s">
        <v>5473</v>
      </c>
      <c r="K1430" s="685" t="s">
        <v>3074</v>
      </c>
      <c r="L1430" s="646" t="s">
        <v>181</v>
      </c>
      <c r="M1430" s="709">
        <v>400000</v>
      </c>
      <c r="N1430" s="673"/>
    </row>
    <row r="1431" spans="1:14">
      <c r="A1431" s="616">
        <v>19</v>
      </c>
      <c r="B1431" s="951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9">
        <v>500000</v>
      </c>
      <c r="N1431" s="673"/>
    </row>
    <row r="1432" spans="1:14">
      <c r="A1432" s="616">
        <v>19</v>
      </c>
      <c r="B1432" s="951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9">
        <v>500000</v>
      </c>
      <c r="N1432" s="715"/>
    </row>
    <row r="1433" spans="1:14" ht="24" hidden="1">
      <c r="A1433" s="746">
        <v>20</v>
      </c>
      <c r="B1433" s="806" t="s">
        <v>5887</v>
      </c>
      <c r="C1433" s="677" t="s">
        <v>5868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5869</v>
      </c>
      <c r="J1433" s="673" t="s">
        <v>1534</v>
      </c>
      <c r="K1433" s="678" t="s">
        <v>5870</v>
      </c>
      <c r="L1433" s="678"/>
      <c r="M1433" s="721">
        <v>1500000</v>
      </c>
      <c r="N1433" s="714"/>
    </row>
    <row r="1434" spans="1:14" hidden="1">
      <c r="A1434" s="746">
        <v>20</v>
      </c>
      <c r="B1434" s="807"/>
      <c r="C1434" s="677" t="s">
        <v>5871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21">
        <v>250000</v>
      </c>
      <c r="N1434" s="714"/>
    </row>
    <row r="1435" spans="1:14" ht="24" hidden="1">
      <c r="A1435" s="746">
        <v>20</v>
      </c>
      <c r="B1435" s="807"/>
      <c r="C1435" s="677" t="s">
        <v>5872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5873</v>
      </c>
      <c r="J1435" s="673" t="s">
        <v>5447</v>
      </c>
      <c r="K1435" s="678" t="s">
        <v>1100</v>
      </c>
      <c r="L1435" s="678"/>
      <c r="M1435" s="721">
        <v>500000</v>
      </c>
      <c r="N1435" s="714"/>
    </row>
    <row r="1436" spans="1:14" hidden="1">
      <c r="A1436" s="746">
        <v>20</v>
      </c>
      <c r="B1436" s="807"/>
      <c r="C1436" s="677" t="s">
        <v>5874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5875</v>
      </c>
      <c r="J1436" s="679" t="s">
        <v>1111</v>
      </c>
      <c r="K1436" s="679" t="s">
        <v>3105</v>
      </c>
      <c r="L1436" s="678"/>
      <c r="M1436" s="721">
        <v>250000</v>
      </c>
      <c r="N1436" s="714"/>
    </row>
    <row r="1437" spans="1:14" ht="24" hidden="1">
      <c r="A1437" s="746">
        <v>20</v>
      </c>
      <c r="B1437" s="808"/>
      <c r="C1437" s="677" t="s">
        <v>5876</v>
      </c>
      <c r="D1437" s="666" t="s">
        <v>306</v>
      </c>
      <c r="E1437" s="666" t="s">
        <v>322</v>
      </c>
      <c r="F1437" s="677" t="s">
        <v>5400</v>
      </c>
      <c r="G1437" s="677" t="s">
        <v>5773</v>
      </c>
      <c r="H1437" s="677" t="s">
        <v>1047</v>
      </c>
      <c r="I1437" s="679" t="s">
        <v>5873</v>
      </c>
      <c r="J1437" s="673" t="s">
        <v>5447</v>
      </c>
      <c r="K1437" s="678" t="s">
        <v>1100</v>
      </c>
      <c r="L1437" s="678"/>
      <c r="M1437" s="721">
        <v>500000</v>
      </c>
      <c r="N1437" s="676"/>
    </row>
    <row r="1438" spans="1:14">
      <c r="A1438" s="746">
        <v>20</v>
      </c>
      <c r="B1438" s="806" t="s">
        <v>21</v>
      </c>
      <c r="C1438" s="677" t="s">
        <v>5877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5878</v>
      </c>
      <c r="J1438" s="677" t="s">
        <v>5879</v>
      </c>
      <c r="K1438" s="677" t="s">
        <v>713</v>
      </c>
      <c r="L1438" s="678" t="s">
        <v>309</v>
      </c>
      <c r="M1438" s="721">
        <v>250000</v>
      </c>
      <c r="N1438" s="673" t="s">
        <v>5880</v>
      </c>
    </row>
    <row r="1439" spans="1:14">
      <c r="A1439" s="746">
        <v>20</v>
      </c>
      <c r="B1439" s="807"/>
      <c r="C1439" s="946" t="s">
        <v>5871</v>
      </c>
      <c r="D1439" s="947" t="s">
        <v>311</v>
      </c>
      <c r="E1439" s="947" t="s">
        <v>320</v>
      </c>
      <c r="F1439" s="948" t="s">
        <v>5188</v>
      </c>
      <c r="G1439" s="692" t="s">
        <v>1919</v>
      </c>
      <c r="H1439" s="948" t="s">
        <v>347</v>
      </c>
      <c r="I1439" s="948" t="s">
        <v>5881</v>
      </c>
      <c r="J1439" s="948"/>
      <c r="K1439" s="948" t="s">
        <v>692</v>
      </c>
      <c r="L1439" s="947" t="s">
        <v>309</v>
      </c>
      <c r="M1439" s="949">
        <v>500000</v>
      </c>
      <c r="N1439" s="950"/>
    </row>
    <row r="1440" spans="1:14" hidden="1">
      <c r="A1440" s="746">
        <v>20</v>
      </c>
      <c r="B1440" s="807"/>
      <c r="C1440" s="946"/>
      <c r="D1440" s="947"/>
      <c r="E1440" s="947"/>
      <c r="F1440" s="948"/>
      <c r="G1440" s="692" t="s">
        <v>5189</v>
      </c>
      <c r="H1440" s="948"/>
      <c r="I1440" s="948"/>
      <c r="J1440" s="948"/>
      <c r="K1440" s="948"/>
      <c r="L1440" s="947"/>
      <c r="M1440" s="949"/>
      <c r="N1440" s="950"/>
    </row>
    <row r="1441" spans="1:14" ht="24" hidden="1">
      <c r="A1441" s="746">
        <v>20</v>
      </c>
      <c r="B1441" s="808"/>
      <c r="C1441" s="677" t="s">
        <v>5882</v>
      </c>
      <c r="D1441" s="678" t="s">
        <v>311</v>
      </c>
      <c r="E1441" s="678" t="s">
        <v>320</v>
      </c>
      <c r="F1441" s="677" t="s">
        <v>5883</v>
      </c>
      <c r="G1441" s="677">
        <v>124001</v>
      </c>
      <c r="H1441" s="677" t="s">
        <v>5884</v>
      </c>
      <c r="I1441" s="677" t="s">
        <v>5885</v>
      </c>
      <c r="J1441" s="677" t="s">
        <v>5886</v>
      </c>
      <c r="K1441" s="677" t="s">
        <v>3192</v>
      </c>
      <c r="L1441" s="678" t="s">
        <v>309</v>
      </c>
      <c r="M1441" s="721">
        <v>300000</v>
      </c>
      <c r="N1441" s="673"/>
    </row>
    <row r="1442" spans="1:14">
      <c r="A1442" s="746">
        <v>21</v>
      </c>
      <c r="B1442" s="945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5761</v>
      </c>
      <c r="H1442" s="664" t="s">
        <v>18</v>
      </c>
      <c r="I1442" s="726" t="s">
        <v>5784</v>
      </c>
      <c r="J1442" s="661"/>
      <c r="K1442" s="726" t="s">
        <v>5830</v>
      </c>
      <c r="L1442" s="678"/>
      <c r="M1442" s="721">
        <v>500000</v>
      </c>
      <c r="N1442" s="26"/>
    </row>
    <row r="1443" spans="1:14" hidden="1">
      <c r="A1443" s="746">
        <v>21</v>
      </c>
      <c r="B1443" s="945"/>
      <c r="C1443" s="672">
        <v>46165</v>
      </c>
      <c r="D1443" s="660" t="s">
        <v>19</v>
      </c>
      <c r="E1443" s="660" t="s">
        <v>25</v>
      </c>
      <c r="F1443" s="677" t="s">
        <v>5849</v>
      </c>
      <c r="G1443" s="677" t="s">
        <v>5850</v>
      </c>
      <c r="H1443" s="677" t="s">
        <v>5851</v>
      </c>
      <c r="I1443" s="679" t="s">
        <v>5852</v>
      </c>
      <c r="J1443" s="678"/>
      <c r="K1443" s="678" t="s">
        <v>5853</v>
      </c>
      <c r="L1443" s="678"/>
      <c r="M1443" s="721">
        <v>250000</v>
      </c>
      <c r="N1443" s="26"/>
    </row>
    <row r="1444" spans="1:14" ht="24" hidden="1">
      <c r="A1444" s="746">
        <v>21</v>
      </c>
      <c r="B1444" s="945"/>
      <c r="C1444" s="672" t="s">
        <v>5857</v>
      </c>
      <c r="D1444" s="660" t="s">
        <v>19</v>
      </c>
      <c r="E1444" s="660" t="s">
        <v>25</v>
      </c>
      <c r="F1444" s="677" t="s">
        <v>5849</v>
      </c>
      <c r="G1444" s="677" t="s">
        <v>5854</v>
      </c>
      <c r="H1444" s="677" t="s">
        <v>5855</v>
      </c>
      <c r="I1444" s="679" t="s">
        <v>5856</v>
      </c>
      <c r="J1444" s="678"/>
      <c r="K1444" s="678" t="s">
        <v>3101</v>
      </c>
      <c r="L1444" s="678"/>
      <c r="M1444" s="721">
        <f>250000*2</f>
        <v>500000</v>
      </c>
      <c r="N1444" s="26"/>
    </row>
    <row r="1445" spans="1:14" ht="24" hidden="1">
      <c r="A1445" s="746">
        <v>21</v>
      </c>
      <c r="B1445" s="945"/>
      <c r="C1445" s="672" t="s">
        <v>5857</v>
      </c>
      <c r="D1445" s="660" t="s">
        <v>19</v>
      </c>
      <c r="E1445" s="660" t="s">
        <v>25</v>
      </c>
      <c r="F1445" s="677" t="s">
        <v>5849</v>
      </c>
      <c r="G1445" s="677" t="s">
        <v>5865</v>
      </c>
      <c r="H1445" s="677" t="s">
        <v>5866</v>
      </c>
      <c r="I1445" s="679" t="s">
        <v>5867</v>
      </c>
      <c r="J1445" s="678"/>
      <c r="K1445" s="678" t="s">
        <v>3101</v>
      </c>
      <c r="L1445" s="678"/>
      <c r="M1445" s="721">
        <f>250000*2</f>
        <v>500000</v>
      </c>
      <c r="N1445" s="26"/>
    </row>
    <row r="1446" spans="1:14" ht="24" hidden="1">
      <c r="A1446" s="746">
        <v>21</v>
      </c>
      <c r="B1446" s="945"/>
      <c r="C1446" s="672" t="s">
        <v>5862</v>
      </c>
      <c r="D1446" s="660" t="s">
        <v>19</v>
      </c>
      <c r="E1446" s="660" t="s">
        <v>25</v>
      </c>
      <c r="F1446" s="677" t="s">
        <v>5849</v>
      </c>
      <c r="G1446" s="661" t="s">
        <v>5858</v>
      </c>
      <c r="H1446" s="664" t="s">
        <v>5860</v>
      </c>
      <c r="I1446" s="726" t="s">
        <v>5864</v>
      </c>
      <c r="J1446" s="661"/>
      <c r="K1446" s="726" t="s">
        <v>5863</v>
      </c>
      <c r="L1446" s="678"/>
      <c r="M1446" s="721">
        <f t="shared" ref="M1446:M1447" si="11">250000*2</f>
        <v>500000</v>
      </c>
      <c r="N1446" s="26"/>
    </row>
    <row r="1447" spans="1:14" hidden="1">
      <c r="A1447" s="746">
        <v>21</v>
      </c>
      <c r="B1447" s="945"/>
      <c r="C1447" s="672">
        <v>46171</v>
      </c>
      <c r="D1447" s="660" t="s">
        <v>19</v>
      </c>
      <c r="E1447" s="660" t="s">
        <v>25</v>
      </c>
      <c r="F1447" s="677" t="s">
        <v>5849</v>
      </c>
      <c r="G1447" s="661" t="s">
        <v>5858</v>
      </c>
      <c r="H1447" s="677" t="s">
        <v>5859</v>
      </c>
      <c r="I1447" s="679" t="s">
        <v>5861</v>
      </c>
      <c r="J1447" s="678"/>
      <c r="K1447" s="726" t="s">
        <v>5863</v>
      </c>
      <c r="L1447" s="678"/>
      <c r="M1447" s="721">
        <f t="shared" si="11"/>
        <v>500000</v>
      </c>
      <c r="N1447" s="26"/>
    </row>
    <row r="1448" spans="1:14">
      <c r="A1448" s="762">
        <v>21</v>
      </c>
      <c r="B1448" s="945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5835</v>
      </c>
      <c r="J1448" s="681"/>
      <c r="K1448" s="681" t="s">
        <v>3447</v>
      </c>
      <c r="L1448" s="678" t="s">
        <v>15</v>
      </c>
      <c r="M1448" s="722">
        <v>500000</v>
      </c>
      <c r="N1448" s="26"/>
    </row>
    <row r="1449" spans="1:14" hidden="1">
      <c r="A1449" s="762">
        <v>21</v>
      </c>
      <c r="B1449" s="945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22">
        <v>300000</v>
      </c>
      <c r="N1449" s="26"/>
    </row>
    <row r="1450" spans="1:14">
      <c r="A1450" s="762">
        <v>21</v>
      </c>
      <c r="B1450" s="945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5835</v>
      </c>
      <c r="J1450" s="681"/>
      <c r="K1450" s="681" t="s">
        <v>3447</v>
      </c>
      <c r="L1450" s="678" t="s">
        <v>15</v>
      </c>
      <c r="M1450" s="722">
        <v>500000</v>
      </c>
      <c r="N1450" s="26"/>
    </row>
    <row r="1451" spans="1:14" hidden="1">
      <c r="A1451" s="762">
        <v>21</v>
      </c>
      <c r="B1451" s="945"/>
      <c r="C1451" s="672">
        <v>46170</v>
      </c>
      <c r="D1451" s="660" t="s">
        <v>21</v>
      </c>
      <c r="E1451" s="660" t="s">
        <v>17</v>
      </c>
      <c r="F1451" s="726" t="s">
        <v>1893</v>
      </c>
      <c r="G1451" s="726" t="s">
        <v>1323</v>
      </c>
      <c r="H1451" s="664" t="s">
        <v>1391</v>
      </c>
      <c r="I1451" s="726" t="s">
        <v>5798</v>
      </c>
      <c r="J1451" s="661" t="s">
        <v>90</v>
      </c>
      <c r="K1451" s="726" t="s">
        <v>2828</v>
      </c>
      <c r="L1451" s="678" t="s">
        <v>15</v>
      </c>
      <c r="M1451" s="722">
        <v>250000</v>
      </c>
      <c r="N1451" s="26"/>
    </row>
    <row r="1452" spans="1:14" hidden="1">
      <c r="A1452" s="762">
        <v>21</v>
      </c>
      <c r="B1452" s="945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5761</v>
      </c>
      <c r="H1452" s="664" t="s">
        <v>5843</v>
      </c>
      <c r="I1452" s="726" t="s">
        <v>5842</v>
      </c>
      <c r="J1452" s="661" t="s">
        <v>90</v>
      </c>
      <c r="K1452" s="661" t="s">
        <v>2828</v>
      </c>
      <c r="L1452" s="678" t="s">
        <v>15</v>
      </c>
      <c r="M1452" s="722">
        <v>250000</v>
      </c>
      <c r="N1452" s="26"/>
    </row>
    <row r="1453" spans="1:14" hidden="1">
      <c r="A1453" s="762">
        <v>22</v>
      </c>
      <c r="B1453" s="770" t="s">
        <v>20</v>
      </c>
      <c r="C1453" s="689">
        <v>46172</v>
      </c>
      <c r="D1453" s="660" t="s">
        <v>5951</v>
      </c>
      <c r="E1453" s="660" t="s">
        <v>5952</v>
      </c>
      <c r="F1453" s="661" t="s">
        <v>5953</v>
      </c>
      <c r="G1453" s="661" t="s">
        <v>5954</v>
      </c>
      <c r="H1453" s="664" t="s">
        <v>5955</v>
      </c>
      <c r="I1453" s="728" t="s">
        <v>5956</v>
      </c>
      <c r="J1453" s="661" t="s">
        <v>5961</v>
      </c>
      <c r="K1453" s="728" t="s">
        <v>5957</v>
      </c>
      <c r="L1453" s="678"/>
      <c r="M1453" s="747">
        <v>250000</v>
      </c>
      <c r="N1453" s="772" t="s">
        <v>5959</v>
      </c>
    </row>
    <row r="1454" spans="1:14" hidden="1">
      <c r="A1454" s="762">
        <v>22</v>
      </c>
      <c r="B1454" s="771"/>
      <c r="C1454" s="689">
        <v>46172</v>
      </c>
      <c r="D1454" s="660" t="s">
        <v>5951</v>
      </c>
      <c r="E1454" s="660" t="s">
        <v>5952</v>
      </c>
      <c r="F1454" s="661" t="s">
        <v>5953</v>
      </c>
      <c r="G1454" s="718">
        <v>1517</v>
      </c>
      <c r="H1454" s="718" t="s">
        <v>5958</v>
      </c>
      <c r="I1454" s="719" t="s">
        <v>5975</v>
      </c>
      <c r="J1454" s="740" t="s">
        <v>5962</v>
      </c>
      <c r="K1454" s="728" t="s">
        <v>5957</v>
      </c>
      <c r="L1454" s="678"/>
      <c r="M1454" s="747">
        <v>250000</v>
      </c>
      <c r="N1454" s="773"/>
    </row>
    <row r="1455" spans="1:14" hidden="1">
      <c r="A1455" s="762">
        <v>22</v>
      </c>
      <c r="B1455" s="771"/>
      <c r="C1455" s="689" t="s">
        <v>5968</v>
      </c>
      <c r="D1455" s="660" t="s">
        <v>5951</v>
      </c>
      <c r="E1455" s="660" t="s">
        <v>5952</v>
      </c>
      <c r="F1455" s="661" t="s">
        <v>5953</v>
      </c>
      <c r="G1455" s="718" t="s">
        <v>5969</v>
      </c>
      <c r="H1455" s="718" t="s">
        <v>5970</v>
      </c>
      <c r="I1455" s="719" t="s">
        <v>5971</v>
      </c>
      <c r="J1455" s="740" t="s">
        <v>5972</v>
      </c>
      <c r="K1455" s="720" t="s">
        <v>5973</v>
      </c>
      <c r="L1455" s="678"/>
      <c r="M1455" s="747">
        <f>250000*4</f>
        <v>1000000</v>
      </c>
      <c r="N1455" s="741"/>
    </row>
    <row r="1456" spans="1:14" hidden="1">
      <c r="A1456" s="762">
        <v>22</v>
      </c>
      <c r="B1456" s="771"/>
      <c r="C1456" s="689" t="s">
        <v>5976</v>
      </c>
      <c r="D1456" s="660" t="s">
        <v>5951</v>
      </c>
      <c r="E1456" s="660" t="s">
        <v>5952</v>
      </c>
      <c r="F1456" s="661" t="s">
        <v>5953</v>
      </c>
      <c r="G1456" s="718">
        <v>1517</v>
      </c>
      <c r="H1456" s="718" t="s">
        <v>5958</v>
      </c>
      <c r="I1456" s="719" t="s">
        <v>5974</v>
      </c>
      <c r="J1456" s="740" t="s">
        <v>5965</v>
      </c>
      <c r="K1456" s="720" t="s">
        <v>5966</v>
      </c>
      <c r="L1456" s="678"/>
      <c r="M1456" s="747">
        <f>250000*2</f>
        <v>500000</v>
      </c>
      <c r="N1456" s="741"/>
    </row>
    <row r="1457" spans="1:14" hidden="1">
      <c r="A1457" s="762">
        <v>22</v>
      </c>
      <c r="B1457" s="771"/>
      <c r="C1457" s="689" t="s">
        <v>5967</v>
      </c>
      <c r="D1457" s="660" t="s">
        <v>5951</v>
      </c>
      <c r="E1457" s="660" t="s">
        <v>5952</v>
      </c>
      <c r="F1457" s="661" t="s">
        <v>5953</v>
      </c>
      <c r="G1457" s="718">
        <v>7062</v>
      </c>
      <c r="H1457" s="718" t="s">
        <v>5963</v>
      </c>
      <c r="I1457" s="719" t="s">
        <v>5964</v>
      </c>
      <c r="J1457" s="740" t="s">
        <v>5965</v>
      </c>
      <c r="K1457" s="720" t="s">
        <v>5966</v>
      </c>
      <c r="L1457" s="678"/>
      <c r="M1457" s="747">
        <v>500000</v>
      </c>
      <c r="N1457" s="741"/>
    </row>
    <row r="1458" spans="1:14" hidden="1">
      <c r="A1458" s="762">
        <v>22</v>
      </c>
      <c r="B1458" s="771"/>
      <c r="C1458" s="689" t="s">
        <v>5967</v>
      </c>
      <c r="D1458" s="660" t="s">
        <v>5951</v>
      </c>
      <c r="E1458" s="660" t="s">
        <v>5952</v>
      </c>
      <c r="F1458" s="661" t="s">
        <v>5953</v>
      </c>
      <c r="G1458" s="661" t="s">
        <v>5977</v>
      </c>
      <c r="H1458" s="718" t="s">
        <v>5978</v>
      </c>
      <c r="I1458" s="719" t="s">
        <v>5980</v>
      </c>
      <c r="J1458" s="740" t="s">
        <v>5979</v>
      </c>
      <c r="K1458" s="720" t="s">
        <v>5966</v>
      </c>
      <c r="L1458" s="678"/>
      <c r="M1458" s="747">
        <v>500000</v>
      </c>
      <c r="N1458" s="742"/>
    </row>
    <row r="1459" spans="1:14" hidden="1">
      <c r="A1459" s="762">
        <v>22</v>
      </c>
      <c r="B1459" s="770" t="s">
        <v>21</v>
      </c>
      <c r="C1459" s="672">
        <v>46174</v>
      </c>
      <c r="D1459" s="660" t="s">
        <v>5984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8" t="s">
        <v>5844</v>
      </c>
      <c r="J1459" s="775" t="s">
        <v>3274</v>
      </c>
      <c r="K1459" s="775" t="s">
        <v>3454</v>
      </c>
      <c r="L1459" s="678" t="s">
        <v>3265</v>
      </c>
      <c r="M1459" s="777">
        <v>250000</v>
      </c>
      <c r="N1459" s="743" t="s">
        <v>5982</v>
      </c>
    </row>
    <row r="1460" spans="1:14" hidden="1">
      <c r="A1460" s="762">
        <v>22</v>
      </c>
      <c r="B1460" s="771"/>
      <c r="C1460" s="672">
        <v>46174</v>
      </c>
      <c r="D1460" s="660" t="s">
        <v>5984</v>
      </c>
      <c r="E1460" s="660" t="s">
        <v>14</v>
      </c>
      <c r="F1460" s="661" t="s">
        <v>211</v>
      </c>
      <c r="G1460" s="661" t="s">
        <v>5761</v>
      </c>
      <c r="H1460" s="664" t="s">
        <v>5843</v>
      </c>
      <c r="I1460" s="728" t="s">
        <v>5842</v>
      </c>
      <c r="J1460" s="776"/>
      <c r="K1460" s="776"/>
      <c r="L1460" s="678" t="s">
        <v>3265</v>
      </c>
      <c r="M1460" s="778"/>
      <c r="N1460" s="743" t="s">
        <v>5983</v>
      </c>
    </row>
    <row r="1461" spans="1:14">
      <c r="A1461" s="762">
        <v>22</v>
      </c>
      <c r="B1461" s="771"/>
      <c r="C1461" s="672">
        <v>46175</v>
      </c>
      <c r="D1461" s="660" t="s">
        <v>21</v>
      </c>
      <c r="E1461" s="660" t="s">
        <v>17</v>
      </c>
      <c r="F1461" s="728" t="s">
        <v>1893</v>
      </c>
      <c r="G1461" s="728" t="s">
        <v>1323</v>
      </c>
      <c r="H1461" s="664" t="s">
        <v>1391</v>
      </c>
      <c r="I1461" s="728" t="s">
        <v>5798</v>
      </c>
      <c r="J1461" s="661" t="s">
        <v>3274</v>
      </c>
      <c r="K1461" s="728" t="s">
        <v>5913</v>
      </c>
      <c r="L1461" s="678" t="s">
        <v>3265</v>
      </c>
      <c r="M1461" s="722">
        <v>250000</v>
      </c>
      <c r="N1461" s="743" t="s">
        <v>5985</v>
      </c>
    </row>
    <row r="1462" spans="1:14" hidden="1">
      <c r="A1462" s="762">
        <v>22</v>
      </c>
      <c r="B1462" s="771"/>
      <c r="C1462" s="672">
        <v>46175</v>
      </c>
      <c r="D1462" s="660" t="s">
        <v>2064</v>
      </c>
      <c r="E1462" s="660" t="s">
        <v>3264</v>
      </c>
      <c r="F1462" s="728" t="s">
        <v>5981</v>
      </c>
      <c r="G1462" s="661" t="s">
        <v>5804</v>
      </c>
      <c r="H1462" s="664" t="s">
        <v>4091</v>
      </c>
      <c r="I1462" s="591" t="s">
        <v>5993</v>
      </c>
      <c r="J1462" s="661" t="s">
        <v>5915</v>
      </c>
      <c r="K1462" s="728" t="s">
        <v>5894</v>
      </c>
      <c r="L1462" s="660" t="s">
        <v>3265</v>
      </c>
      <c r="M1462" s="722">
        <v>250000</v>
      </c>
      <c r="N1462" s="743" t="s">
        <v>5994</v>
      </c>
    </row>
    <row r="1463" spans="1:14" hidden="1">
      <c r="A1463" s="762">
        <v>22</v>
      </c>
      <c r="B1463" s="771"/>
      <c r="C1463" s="689">
        <v>46177</v>
      </c>
      <c r="D1463" s="660" t="s">
        <v>5917</v>
      </c>
      <c r="E1463" s="660" t="s">
        <v>14</v>
      </c>
      <c r="F1463" s="661" t="s">
        <v>5918</v>
      </c>
      <c r="G1463" s="661" t="s">
        <v>5919</v>
      </c>
      <c r="H1463" s="664" t="s">
        <v>5920</v>
      </c>
      <c r="I1463" s="728" t="s">
        <v>5921</v>
      </c>
      <c r="J1463" s="661" t="s">
        <v>5922</v>
      </c>
      <c r="K1463" s="661" t="s">
        <v>5923</v>
      </c>
      <c r="L1463" s="678" t="s">
        <v>5910</v>
      </c>
      <c r="M1463" s="722">
        <v>600000</v>
      </c>
      <c r="N1463" s="743" t="s">
        <v>5986</v>
      </c>
    </row>
    <row r="1464" spans="1:14" hidden="1">
      <c r="A1464" s="762">
        <v>22</v>
      </c>
      <c r="B1464" s="771"/>
      <c r="C1464" s="672">
        <v>46178</v>
      </c>
      <c r="D1464" s="678" t="s">
        <v>5930</v>
      </c>
      <c r="E1464" s="678" t="s">
        <v>5931</v>
      </c>
      <c r="F1464" s="680" t="s">
        <v>5932</v>
      </c>
      <c r="G1464" s="680" t="s">
        <v>5933</v>
      </c>
      <c r="H1464" s="683" t="s">
        <v>553</v>
      </c>
      <c r="I1464" s="681" t="s">
        <v>5935</v>
      </c>
      <c r="J1464" s="680"/>
      <c r="K1464" s="779" t="s">
        <v>5937</v>
      </c>
      <c r="L1464" s="678" t="s">
        <v>15</v>
      </c>
      <c r="M1464" s="777">
        <v>500000</v>
      </c>
      <c r="N1464" s="743" t="s">
        <v>5987</v>
      </c>
    </row>
    <row r="1465" spans="1:14" hidden="1">
      <c r="A1465" s="762">
        <v>22</v>
      </c>
      <c r="B1465" s="774"/>
      <c r="C1465" s="672">
        <v>46178</v>
      </c>
      <c r="D1465" s="678" t="s">
        <v>5930</v>
      </c>
      <c r="E1465" s="678" t="s">
        <v>5931</v>
      </c>
      <c r="F1465" s="680" t="s">
        <v>5932</v>
      </c>
      <c r="G1465" s="680" t="s">
        <v>5933</v>
      </c>
      <c r="H1465" s="683" t="s">
        <v>5934</v>
      </c>
      <c r="I1465" s="681" t="s">
        <v>5936</v>
      </c>
      <c r="J1465" s="680"/>
      <c r="K1465" s="780"/>
      <c r="L1465" s="678" t="s">
        <v>15</v>
      </c>
      <c r="M1465" s="778"/>
      <c r="N1465" s="743" t="s">
        <v>5988</v>
      </c>
    </row>
  </sheetData>
  <autoFilter ref="A1:N1465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52" t="s">
        <v>4857</v>
      </c>
      <c r="D10" s="952"/>
    </row>
    <row r="11" spans="1:4">
      <c r="A11" s="603" t="s">
        <v>4858</v>
      </c>
      <c r="B11" s="603">
        <v>6</v>
      </c>
      <c r="C11" s="953">
        <f>'사전품의양식 (12)'!L9</f>
        <v>0</v>
      </c>
      <c r="D11" s="953"/>
    </row>
    <row r="12" spans="1:4">
      <c r="A12" s="603" t="s">
        <v>4859</v>
      </c>
      <c r="B12" s="603">
        <v>7</v>
      </c>
      <c r="C12" s="953">
        <f>'사전품의양식 (12)'!L15</f>
        <v>0</v>
      </c>
      <c r="D12" s="953"/>
    </row>
    <row r="13" spans="1:4">
      <c r="A13" s="605" t="s">
        <v>53</v>
      </c>
      <c r="B13" s="605">
        <f>SUM(B11:B12)</f>
        <v>13</v>
      </c>
      <c r="C13" s="954">
        <f>SUM(C11:C12)</f>
        <v>0</v>
      </c>
      <c r="D13" s="954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5"/>
      <c r="E24" s="705"/>
    </row>
    <row r="25" spans="1:5">
      <c r="A25" s="603" t="s">
        <v>4873</v>
      </c>
      <c r="B25" s="603" t="s">
        <v>4874</v>
      </c>
      <c r="C25" s="622" t="s">
        <v>4875</v>
      </c>
      <c r="D25" s="705"/>
      <c r="E25" s="705"/>
    </row>
    <row r="26" spans="1:5">
      <c r="A26" s="955" t="s">
        <v>5990</v>
      </c>
      <c r="B26" s="603" t="s">
        <v>5797</v>
      </c>
      <c r="C26" s="706" t="s">
        <v>5991</v>
      </c>
      <c r="D26" s="705"/>
      <c r="E26" s="705"/>
    </row>
    <row r="27" spans="1:5">
      <c r="A27" s="956"/>
      <c r="B27" s="603" t="s">
        <v>5989</v>
      </c>
      <c r="C27" s="706" t="s">
        <v>5991</v>
      </c>
      <c r="D27" s="705"/>
      <c r="E27" s="705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7"/>
    <col min="2" max="2" width="11.375" style="707" customWidth="1"/>
    <col min="3" max="3" width="9.875" style="707" bestFit="1" customWidth="1"/>
    <col min="4" max="5" width="9" style="707"/>
    <col min="6" max="6" width="11.625" style="707" customWidth="1"/>
    <col min="7" max="7" width="9" style="707"/>
    <col min="8" max="8" width="38.25" style="707" customWidth="1"/>
    <col min="9" max="9" width="12.375" style="707" customWidth="1"/>
    <col min="10" max="10" width="12.625" style="707" bestFit="1" customWidth="1"/>
    <col min="11" max="11" width="9" style="707"/>
    <col min="12" max="12" width="11.75" style="707" bestFit="1" customWidth="1"/>
    <col min="13" max="13" width="14.5" style="707" customWidth="1"/>
    <col min="14" max="14" width="39.75" style="707" bestFit="1" customWidth="1"/>
    <col min="15" max="15" width="9" style="707"/>
    <col min="16" max="16" width="10.875" style="707" bestFit="1" customWidth="1"/>
    <col min="17" max="16384" width="9" style="707"/>
  </cols>
  <sheetData>
    <row r="1" spans="1:13" hidden="1">
      <c r="A1" s="732"/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</row>
    <row r="2" spans="1:13">
      <c r="A2" s="959" t="s">
        <v>5960</v>
      </c>
      <c r="B2" s="961" t="s">
        <v>1</v>
      </c>
      <c r="C2" s="961" t="s">
        <v>2</v>
      </c>
      <c r="D2" s="961" t="s">
        <v>3</v>
      </c>
      <c r="E2" s="738" t="s">
        <v>2623</v>
      </c>
      <c r="F2" s="961" t="s">
        <v>5</v>
      </c>
      <c r="G2" s="961" t="s">
        <v>6</v>
      </c>
      <c r="H2" s="961" t="s">
        <v>2624</v>
      </c>
      <c r="I2" s="961" t="s">
        <v>55</v>
      </c>
      <c r="J2" s="961" t="s">
        <v>9</v>
      </c>
      <c r="K2" s="963" t="s">
        <v>56</v>
      </c>
      <c r="L2" s="961" t="s">
        <v>57</v>
      </c>
      <c r="M2" s="957" t="s">
        <v>58</v>
      </c>
    </row>
    <row r="3" spans="1:13">
      <c r="A3" s="960"/>
      <c r="B3" s="962"/>
      <c r="C3" s="962"/>
      <c r="D3" s="962"/>
      <c r="E3" s="739" t="s">
        <v>1724</v>
      </c>
      <c r="F3" s="962"/>
      <c r="G3" s="962"/>
      <c r="H3" s="962"/>
      <c r="I3" s="962"/>
      <c r="J3" s="962"/>
      <c r="K3" s="964"/>
      <c r="L3" s="962"/>
      <c r="M3" s="958"/>
    </row>
    <row r="4" spans="1:13" s="733" customFormat="1" ht="16.5" customHeight="1">
      <c r="A4" s="967" t="s">
        <v>20</v>
      </c>
      <c r="B4" s="689"/>
      <c r="C4" s="660"/>
      <c r="D4" s="660"/>
      <c r="E4" s="661"/>
      <c r="F4" s="661"/>
      <c r="G4" s="664"/>
      <c r="H4" s="728"/>
      <c r="I4" s="661"/>
      <c r="J4" s="728"/>
      <c r="K4" s="678"/>
      <c r="L4" s="747"/>
      <c r="M4" s="752"/>
    </row>
    <row r="5" spans="1:13" s="733" customFormat="1" ht="16.5" customHeight="1">
      <c r="A5" s="968"/>
      <c r="B5" s="689"/>
      <c r="C5" s="660"/>
      <c r="D5" s="660"/>
      <c r="E5" s="661"/>
      <c r="F5" s="718"/>
      <c r="G5" s="718"/>
      <c r="H5" s="719"/>
      <c r="I5" s="740"/>
      <c r="J5" s="720"/>
      <c r="K5" s="678"/>
      <c r="L5" s="747"/>
      <c r="M5" s="741"/>
    </row>
    <row r="6" spans="1:13" s="733" customFormat="1" ht="16.5" customHeight="1">
      <c r="A6" s="968"/>
      <c r="B6" s="689"/>
      <c r="C6" s="660"/>
      <c r="D6" s="660"/>
      <c r="E6" s="661"/>
      <c r="F6" s="718"/>
      <c r="G6" s="718"/>
      <c r="H6" s="719"/>
      <c r="I6" s="740"/>
      <c r="J6" s="720"/>
      <c r="K6" s="678"/>
      <c r="L6" s="747"/>
      <c r="M6" s="741"/>
    </row>
    <row r="7" spans="1:13" s="733" customFormat="1">
      <c r="A7" s="968"/>
      <c r="B7" s="689"/>
      <c r="C7" s="660"/>
      <c r="D7" s="660"/>
      <c r="E7" s="661"/>
      <c r="F7" s="718"/>
      <c r="G7" s="718"/>
      <c r="H7" s="719"/>
      <c r="I7" s="740"/>
      <c r="J7" s="720"/>
      <c r="K7" s="678"/>
      <c r="L7" s="747"/>
      <c r="M7" s="741"/>
    </row>
    <row r="8" spans="1:13" s="733" customFormat="1">
      <c r="A8" s="968"/>
      <c r="B8" s="689"/>
      <c r="C8" s="660"/>
      <c r="D8" s="660"/>
      <c r="E8" s="661"/>
      <c r="F8" s="661"/>
      <c r="G8" s="718"/>
      <c r="H8" s="719"/>
      <c r="I8" s="740"/>
      <c r="J8" s="720"/>
      <c r="K8" s="678"/>
      <c r="L8" s="747"/>
      <c r="M8" s="742"/>
    </row>
    <row r="9" spans="1:13">
      <c r="A9" s="969"/>
      <c r="B9" s="945" t="s">
        <v>1136</v>
      </c>
      <c r="C9" s="945"/>
      <c r="D9" s="945"/>
      <c r="E9" s="945"/>
      <c r="F9" s="945"/>
      <c r="G9" s="945"/>
      <c r="H9" s="945"/>
      <c r="I9" s="945"/>
      <c r="J9" s="945"/>
      <c r="K9" s="945"/>
      <c r="L9" s="722">
        <f>SUM(L4:L8)</f>
        <v>0</v>
      </c>
      <c r="M9" s="743"/>
    </row>
    <row r="10" spans="1:13" ht="13.5">
      <c r="A10" s="967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5919</v>
      </c>
      <c r="G10" s="468" t="s">
        <v>5920</v>
      </c>
      <c r="H10" s="462" t="s">
        <v>5921</v>
      </c>
      <c r="I10" s="463" t="s">
        <v>1040</v>
      </c>
      <c r="J10" s="463" t="s">
        <v>6015</v>
      </c>
      <c r="K10" s="125" t="s">
        <v>66</v>
      </c>
      <c r="L10" s="758"/>
      <c r="M10" s="743" t="s">
        <v>6016</v>
      </c>
    </row>
    <row r="11" spans="1:13" ht="16.5" customHeight="1">
      <c r="A11" s="968"/>
      <c r="B11" s="672"/>
      <c r="C11" s="660"/>
      <c r="D11" s="660"/>
      <c r="E11" s="728"/>
      <c r="F11" s="728"/>
      <c r="G11" s="664"/>
      <c r="H11" s="728"/>
      <c r="I11" s="661"/>
      <c r="J11" s="728"/>
      <c r="K11" s="678"/>
      <c r="L11" s="722"/>
      <c r="M11" s="743"/>
    </row>
    <row r="12" spans="1:13" ht="16.5" customHeight="1">
      <c r="A12" s="968"/>
      <c r="B12" s="672"/>
      <c r="C12" s="660"/>
      <c r="D12" s="660"/>
      <c r="E12" s="728"/>
      <c r="F12" s="661"/>
      <c r="G12" s="664"/>
      <c r="H12" s="591"/>
      <c r="I12" s="661"/>
      <c r="J12" s="728"/>
      <c r="K12" s="660"/>
      <c r="L12" s="722"/>
      <c r="M12" s="743"/>
    </row>
    <row r="13" spans="1:13" ht="16.5" customHeight="1">
      <c r="A13" s="968"/>
      <c r="B13" s="689"/>
      <c r="C13" s="660"/>
      <c r="D13" s="660"/>
      <c r="E13" s="661"/>
      <c r="F13" s="661"/>
      <c r="G13" s="664"/>
      <c r="H13" s="728"/>
      <c r="I13" s="661"/>
      <c r="J13" s="661"/>
      <c r="K13" s="678"/>
      <c r="L13" s="722"/>
      <c r="M13" s="743"/>
    </row>
    <row r="14" spans="1:13" ht="16.5" customHeight="1">
      <c r="A14" s="968"/>
      <c r="B14" s="672"/>
      <c r="C14" s="678"/>
      <c r="D14" s="678"/>
      <c r="E14" s="680"/>
      <c r="F14" s="680"/>
      <c r="G14" s="683"/>
      <c r="H14" s="681"/>
      <c r="I14" s="680"/>
      <c r="J14" s="760"/>
      <c r="K14" s="678"/>
      <c r="L14" s="759"/>
      <c r="M14" s="743"/>
    </row>
    <row r="15" spans="1:13">
      <c r="A15" s="969"/>
      <c r="B15" s="945" t="s">
        <v>4879</v>
      </c>
      <c r="C15" s="945"/>
      <c r="D15" s="945"/>
      <c r="E15" s="945"/>
      <c r="F15" s="945"/>
      <c r="G15" s="945"/>
      <c r="H15" s="945"/>
      <c r="I15" s="945"/>
      <c r="J15" s="945"/>
      <c r="K15" s="945"/>
      <c r="L15" s="722">
        <f>SUM(L10:L14)</f>
        <v>0</v>
      </c>
      <c r="M15" s="743"/>
    </row>
    <row r="16" spans="1:13" ht="25.5" customHeight="1" thickBot="1">
      <c r="A16" s="965" t="s">
        <v>62</v>
      </c>
      <c r="B16" s="966"/>
      <c r="C16" s="966"/>
      <c r="D16" s="966"/>
      <c r="E16" s="966"/>
      <c r="F16" s="966"/>
      <c r="G16" s="966"/>
      <c r="H16" s="966"/>
      <c r="I16" s="966"/>
      <c r="J16" s="966"/>
      <c r="K16" s="966"/>
      <c r="L16" s="744">
        <f>L9+L15</f>
        <v>0</v>
      </c>
      <c r="M16" s="745"/>
    </row>
    <row r="17" spans="1:16" ht="26.25" customHeight="1"/>
    <row r="18" spans="1:16" ht="26.25" hidden="1" customHeight="1"/>
    <row r="19" spans="1:16" ht="25.5" hidden="1" customHeight="1">
      <c r="B19" s="734" t="s">
        <v>1144</v>
      </c>
      <c r="C19" s="735"/>
      <c r="D19" s="735"/>
      <c r="E19" s="735"/>
      <c r="F19" s="735"/>
      <c r="G19" s="735"/>
      <c r="H19" s="735"/>
      <c r="I19" s="735"/>
    </row>
    <row r="20" spans="1:16" ht="25.5" hidden="1" customHeight="1">
      <c r="B20" s="736" t="s">
        <v>1140</v>
      </c>
      <c r="C20" s="734">
        <v>45282</v>
      </c>
      <c r="D20" s="735" t="s">
        <v>1151</v>
      </c>
      <c r="E20" s="735"/>
      <c r="F20" s="735"/>
      <c r="G20" s="735"/>
      <c r="I20" s="735"/>
    </row>
    <row r="21" spans="1:16" ht="25.5" hidden="1" customHeight="1">
      <c r="B21" s="736" t="s">
        <v>1141</v>
      </c>
      <c r="C21" s="734">
        <v>45282</v>
      </c>
      <c r="D21" s="735" t="s">
        <v>1143</v>
      </c>
      <c r="E21" s="735"/>
      <c r="F21" s="735"/>
      <c r="G21" s="735"/>
      <c r="H21" s="735"/>
      <c r="I21" s="735"/>
    </row>
    <row r="22" spans="1:16" ht="25.5" hidden="1" customHeight="1">
      <c r="B22" s="736" t="s">
        <v>1145</v>
      </c>
      <c r="C22" s="737" t="s">
        <v>1142</v>
      </c>
      <c r="D22" s="735" t="s">
        <v>1152</v>
      </c>
      <c r="E22" s="735"/>
      <c r="F22" s="735"/>
      <c r="G22" s="735"/>
      <c r="H22" s="735"/>
      <c r="I22" s="735"/>
    </row>
    <row r="23" spans="1:16" ht="20.100000000000001" hidden="1" customHeight="1">
      <c r="B23" s="735"/>
      <c r="C23" s="735" t="s">
        <v>1146</v>
      </c>
      <c r="D23" s="735"/>
      <c r="E23" s="735"/>
      <c r="F23" s="735"/>
      <c r="G23" s="735"/>
      <c r="H23" s="735"/>
      <c r="I23" s="735"/>
    </row>
    <row r="24" spans="1:16" ht="16.5" hidden="1" customHeight="1"/>
    <row r="25" spans="1:16" ht="20.100000000000001" hidden="1" customHeight="1">
      <c r="J25" s="735"/>
    </row>
    <row r="28" spans="1:16" ht="28.5" customHeight="1">
      <c r="A28" s="710" t="s">
        <v>0</v>
      </c>
      <c r="B28" s="711" t="s">
        <v>1</v>
      </c>
      <c r="C28" s="710" t="s">
        <v>2</v>
      </c>
      <c r="D28" s="710" t="s">
        <v>3</v>
      </c>
      <c r="E28" s="710" t="s">
        <v>4</v>
      </c>
      <c r="F28" s="710" t="s">
        <v>5</v>
      </c>
      <c r="G28" s="710" t="s">
        <v>6</v>
      </c>
      <c r="H28" s="712" t="s">
        <v>7</v>
      </c>
      <c r="I28" s="710" t="s">
        <v>8</v>
      </c>
      <c r="J28" s="710" t="s">
        <v>9</v>
      </c>
      <c r="K28" s="713" t="s">
        <v>10</v>
      </c>
      <c r="L28" s="710" t="s">
        <v>12</v>
      </c>
      <c r="M28" s="710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5844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9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5984</v>
      </c>
      <c r="D30" s="3" t="s">
        <v>14</v>
      </c>
      <c r="E30" s="463" t="s">
        <v>211</v>
      </c>
      <c r="F30" s="463" t="s">
        <v>5761</v>
      </c>
      <c r="G30" s="468" t="s">
        <v>5843</v>
      </c>
      <c r="H30" s="462" t="s">
        <v>5842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9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5889</v>
      </c>
      <c r="G31" s="468" t="s">
        <v>5890</v>
      </c>
      <c r="H31" s="462" t="s">
        <v>5898</v>
      </c>
      <c r="I31" s="463"/>
      <c r="J31" s="462" t="s">
        <v>3074</v>
      </c>
      <c r="K31" s="125" t="s">
        <v>15</v>
      </c>
      <c r="L31" s="464">
        <v>1</v>
      </c>
      <c r="M31" s="464"/>
      <c r="N31" s="729"/>
      <c r="O31" s="436" t="s">
        <v>5926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31" t="s">
        <v>5927</v>
      </c>
      <c r="I32" s="729" t="s">
        <v>202</v>
      </c>
      <c r="J32" s="731" t="s">
        <v>5929</v>
      </c>
      <c r="K32" s="125" t="s">
        <v>3265</v>
      </c>
      <c r="L32" s="8">
        <v>3</v>
      </c>
      <c r="M32" s="8"/>
      <c r="N32" s="729"/>
      <c r="O32" s="436"/>
      <c r="P32" s="572"/>
    </row>
    <row r="33" spans="1:16" s="17" customFormat="1" ht="33" customHeight="1">
      <c r="A33" s="618"/>
      <c r="B33" s="370">
        <v>46174</v>
      </c>
      <c r="C33" s="3" t="s">
        <v>5944</v>
      </c>
      <c r="D33" s="3" t="s">
        <v>5945</v>
      </c>
      <c r="E33" s="463" t="s">
        <v>5946</v>
      </c>
      <c r="F33" s="463">
        <v>7064</v>
      </c>
      <c r="G33" s="468" t="s">
        <v>5947</v>
      </c>
      <c r="H33" s="731" t="s">
        <v>5948</v>
      </c>
      <c r="I33" s="729"/>
      <c r="J33" s="731" t="s">
        <v>5949</v>
      </c>
      <c r="K33" s="125" t="s">
        <v>15</v>
      </c>
      <c r="L33" s="8">
        <v>4</v>
      </c>
      <c r="M33" s="8"/>
      <c r="N33" s="729"/>
      <c r="O33" s="436" t="s">
        <v>5950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5907</v>
      </c>
      <c r="F34" s="463">
        <v>3307</v>
      </c>
      <c r="G34" s="468" t="s">
        <v>1328</v>
      </c>
      <c r="H34" s="462" t="s">
        <v>5908</v>
      </c>
      <c r="I34" s="462" t="s">
        <v>5909</v>
      </c>
      <c r="J34" s="462" t="s">
        <v>686</v>
      </c>
      <c r="K34" s="125" t="s">
        <v>5910</v>
      </c>
      <c r="L34" s="464">
        <v>4</v>
      </c>
      <c r="M34" s="464"/>
      <c r="N34" s="730"/>
      <c r="O34" s="445" t="s">
        <v>5938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5798</v>
      </c>
      <c r="I35" s="463" t="s">
        <v>3274</v>
      </c>
      <c r="J35" s="462" t="s">
        <v>5913</v>
      </c>
      <c r="K35" s="125" t="s">
        <v>3265</v>
      </c>
      <c r="L35" s="464">
        <v>2</v>
      </c>
      <c r="M35" s="464"/>
      <c r="N35" s="730"/>
      <c r="O35" s="436" t="s">
        <v>5914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5822</v>
      </c>
      <c r="F36" s="463" t="s">
        <v>5804</v>
      </c>
      <c r="G36" s="468" t="s">
        <v>4091</v>
      </c>
      <c r="H36" s="462" t="s">
        <v>5993</v>
      </c>
      <c r="I36" s="463" t="s">
        <v>5915</v>
      </c>
      <c r="J36" s="462" t="s">
        <v>5894</v>
      </c>
      <c r="K36" s="136" t="s">
        <v>3265</v>
      </c>
      <c r="L36" s="8">
        <v>2</v>
      </c>
      <c r="M36" s="8"/>
      <c r="N36" s="729"/>
      <c r="O36" s="436" t="s">
        <v>5916</v>
      </c>
      <c r="P36" s="572"/>
    </row>
    <row r="37" spans="1:16" s="17" customFormat="1" ht="33" customHeight="1">
      <c r="A37" s="618"/>
      <c r="B37" s="370">
        <v>46175</v>
      </c>
      <c r="C37" s="3" t="s">
        <v>5944</v>
      </c>
      <c r="D37" s="3" t="s">
        <v>5945</v>
      </c>
      <c r="E37" s="463" t="s">
        <v>5946</v>
      </c>
      <c r="F37" s="463">
        <v>7064</v>
      </c>
      <c r="G37" s="468" t="s">
        <v>5947</v>
      </c>
      <c r="H37" s="731" t="s">
        <v>5948</v>
      </c>
      <c r="I37" s="729"/>
      <c r="J37" s="731" t="s">
        <v>5949</v>
      </c>
      <c r="K37" s="125" t="s">
        <v>15</v>
      </c>
      <c r="L37" s="8">
        <v>4</v>
      </c>
      <c r="M37" s="8"/>
      <c r="N37" s="729"/>
      <c r="O37" s="436" t="s">
        <v>5950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5907</v>
      </c>
      <c r="F38" s="463">
        <v>3307</v>
      </c>
      <c r="G38" s="468" t="s">
        <v>1328</v>
      </c>
      <c r="H38" s="462" t="s">
        <v>5908</v>
      </c>
      <c r="I38" s="462" t="s">
        <v>5909</v>
      </c>
      <c r="J38" s="462" t="s">
        <v>686</v>
      </c>
      <c r="K38" s="125" t="s">
        <v>5910</v>
      </c>
      <c r="L38" s="464">
        <v>4</v>
      </c>
      <c r="M38" s="464"/>
      <c r="N38" s="729"/>
      <c r="O38" s="445" t="s">
        <v>5938</v>
      </c>
      <c r="P38" s="572"/>
    </row>
    <row r="39" spans="1:16" s="17" customFormat="1" ht="33" customHeight="1">
      <c r="A39" s="618"/>
      <c r="B39" s="401">
        <v>46177</v>
      </c>
      <c r="C39" s="3" t="s">
        <v>5917</v>
      </c>
      <c r="D39" s="3" t="s">
        <v>14</v>
      </c>
      <c r="E39" s="463" t="s">
        <v>5918</v>
      </c>
      <c r="F39" s="463" t="s">
        <v>5919</v>
      </c>
      <c r="G39" s="468" t="s">
        <v>5920</v>
      </c>
      <c r="H39" s="462" t="s">
        <v>5921</v>
      </c>
      <c r="I39" s="463" t="s">
        <v>5922</v>
      </c>
      <c r="J39" s="463" t="s">
        <v>5923</v>
      </c>
      <c r="K39" s="125" t="s">
        <v>5910</v>
      </c>
      <c r="L39" s="464">
        <v>3</v>
      </c>
      <c r="M39" s="464"/>
      <c r="N39" s="729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5907</v>
      </c>
      <c r="F40" s="463">
        <v>3307</v>
      </c>
      <c r="G40" s="468" t="s">
        <v>1328</v>
      </c>
      <c r="H40" s="462" t="s">
        <v>5908</v>
      </c>
      <c r="I40" s="462" t="s">
        <v>5909</v>
      </c>
      <c r="J40" s="462" t="s">
        <v>686</v>
      </c>
      <c r="K40" s="125" t="s">
        <v>5910</v>
      </c>
      <c r="L40" s="464">
        <v>4</v>
      </c>
      <c r="M40" s="464"/>
      <c r="N40" s="729"/>
      <c r="O40" s="445" t="s">
        <v>5938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5907</v>
      </c>
      <c r="F41" s="463">
        <v>3307</v>
      </c>
      <c r="G41" s="468" t="s">
        <v>1328</v>
      </c>
      <c r="H41" s="462" t="s">
        <v>5908</v>
      </c>
      <c r="I41" s="462" t="s">
        <v>5909</v>
      </c>
      <c r="J41" s="462" t="s">
        <v>686</v>
      </c>
      <c r="K41" s="125" t="s">
        <v>5910</v>
      </c>
      <c r="L41" s="464">
        <v>4</v>
      </c>
      <c r="M41" s="464"/>
      <c r="N41" s="729"/>
      <c r="O41" s="445" t="s">
        <v>5938</v>
      </c>
      <c r="P41" s="572"/>
    </row>
    <row r="42" spans="1:16" s="17" customFormat="1" ht="33" customHeight="1">
      <c r="A42" s="618"/>
      <c r="B42" s="370">
        <v>46178</v>
      </c>
      <c r="C42" s="4" t="s">
        <v>5930</v>
      </c>
      <c r="D42" s="4" t="s">
        <v>5931</v>
      </c>
      <c r="E42" s="729" t="s">
        <v>5932</v>
      </c>
      <c r="F42" s="729" t="s">
        <v>5933</v>
      </c>
      <c r="G42" s="16" t="s">
        <v>553</v>
      </c>
      <c r="H42" s="731" t="s">
        <v>5935</v>
      </c>
      <c r="I42" s="729"/>
      <c r="J42" s="731" t="s">
        <v>5937</v>
      </c>
      <c r="K42" s="125" t="s">
        <v>15</v>
      </c>
      <c r="L42" s="8">
        <v>2</v>
      </c>
      <c r="M42" s="8"/>
      <c r="N42" s="729"/>
      <c r="O42" s="436"/>
      <c r="P42" s="572"/>
    </row>
    <row r="43" spans="1:16" s="17" customFormat="1" ht="33" customHeight="1">
      <c r="A43" s="618"/>
      <c r="B43" s="370">
        <v>46178</v>
      </c>
      <c r="C43" s="4" t="s">
        <v>5930</v>
      </c>
      <c r="D43" s="4" t="s">
        <v>5931</v>
      </c>
      <c r="E43" s="729" t="s">
        <v>5932</v>
      </c>
      <c r="F43" s="729" t="s">
        <v>5933</v>
      </c>
      <c r="G43" s="16" t="s">
        <v>5934</v>
      </c>
      <c r="H43" s="731" t="s">
        <v>5936</v>
      </c>
      <c r="I43" s="729"/>
      <c r="J43" s="731" t="s">
        <v>5937</v>
      </c>
      <c r="K43" s="125" t="s">
        <v>15</v>
      </c>
      <c r="L43" s="8">
        <v>2</v>
      </c>
      <c r="M43" s="8"/>
      <c r="N43" s="729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5907</v>
      </c>
      <c r="F44" s="463">
        <v>3307</v>
      </c>
      <c r="G44" s="468" t="s">
        <v>1328</v>
      </c>
      <c r="H44" s="462" t="s">
        <v>5908</v>
      </c>
      <c r="I44" s="462" t="s">
        <v>5909</v>
      </c>
      <c r="J44" s="462" t="s">
        <v>686</v>
      </c>
      <c r="K44" s="125" t="s">
        <v>5910</v>
      </c>
      <c r="L44" s="464">
        <v>4</v>
      </c>
      <c r="M44" s="464"/>
      <c r="N44" s="729"/>
      <c r="O44" s="445" t="s">
        <v>5938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7"/>
  <sheetViews>
    <sheetView topLeftCell="A820" zoomScaleNormal="100" workbookViewId="0">
      <selection activeCell="F841" sqref="F841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5" t="s">
        <v>53</v>
      </c>
      <c r="B21" s="785"/>
      <c r="C21" s="785"/>
      <c r="D21" s="785"/>
      <c r="E21" s="785"/>
      <c r="F21" s="785"/>
      <c r="G21" s="785"/>
      <c r="H21" s="785"/>
      <c r="I21" s="7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0" t="s">
        <v>53</v>
      </c>
      <c r="B26" s="981"/>
      <c r="C26" s="981"/>
      <c r="D26" s="981"/>
      <c r="E26" s="981"/>
      <c r="F26" s="981"/>
      <c r="G26" s="981"/>
      <c r="H26" s="981"/>
      <c r="I26" s="98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0" t="s">
        <v>53</v>
      </c>
      <c r="B35" s="981"/>
      <c r="C35" s="981"/>
      <c r="D35" s="981"/>
      <c r="E35" s="981"/>
      <c r="F35" s="981"/>
      <c r="G35" s="981"/>
      <c r="H35" s="981"/>
      <c r="I35" s="98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0" t="s">
        <v>53</v>
      </c>
      <c r="B42" s="981"/>
      <c r="C42" s="981"/>
      <c r="D42" s="981"/>
      <c r="E42" s="981"/>
      <c r="F42" s="981"/>
      <c r="G42" s="981"/>
      <c r="H42" s="981"/>
      <c r="I42" s="98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0" t="s">
        <v>53</v>
      </c>
      <c r="B48" s="981"/>
      <c r="C48" s="981"/>
      <c r="D48" s="981"/>
      <c r="E48" s="981"/>
      <c r="F48" s="981"/>
      <c r="G48" s="981"/>
      <c r="H48" s="981"/>
      <c r="I48" s="98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0" t="s">
        <v>53</v>
      </c>
      <c r="B54" s="981"/>
      <c r="C54" s="981"/>
      <c r="D54" s="981"/>
      <c r="E54" s="981"/>
      <c r="F54" s="981"/>
      <c r="G54" s="981"/>
      <c r="H54" s="981"/>
      <c r="I54" s="98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5"/>
      <c r="B61" s="100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5"/>
      <c r="B62" s="100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5"/>
      <c r="B63" s="100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0" t="s">
        <v>53</v>
      </c>
      <c r="B64" s="981"/>
      <c r="C64" s="981"/>
      <c r="D64" s="981"/>
      <c r="E64" s="981"/>
      <c r="F64" s="981"/>
      <c r="G64" s="981"/>
      <c r="H64" s="981"/>
      <c r="I64" s="98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0" t="s">
        <v>53</v>
      </c>
      <c r="B70" s="981"/>
      <c r="C70" s="981"/>
      <c r="D70" s="981"/>
      <c r="E70" s="981"/>
      <c r="F70" s="981"/>
      <c r="G70" s="981"/>
      <c r="H70" s="981"/>
      <c r="I70" s="98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5" t="s">
        <v>53</v>
      </c>
      <c r="B78" s="785"/>
      <c r="C78" s="785"/>
      <c r="D78" s="785"/>
      <c r="E78" s="785"/>
      <c r="F78" s="785"/>
      <c r="G78" s="785"/>
      <c r="H78" s="785"/>
      <c r="I78" s="7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0" t="s">
        <v>53</v>
      </c>
      <c r="B86" s="981"/>
      <c r="C86" s="981"/>
      <c r="D86" s="981"/>
      <c r="E86" s="981"/>
      <c r="F86" s="981"/>
      <c r="G86" s="981"/>
      <c r="H86" s="981"/>
      <c r="I86" s="98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0" t="s">
        <v>53</v>
      </c>
      <c r="B92" s="981"/>
      <c r="C92" s="981"/>
      <c r="D92" s="981"/>
      <c r="E92" s="981"/>
      <c r="F92" s="981"/>
      <c r="G92" s="981"/>
      <c r="H92" s="981"/>
      <c r="I92" s="98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0" t="s">
        <v>53</v>
      </c>
      <c r="B101" s="981"/>
      <c r="C101" s="981"/>
      <c r="D101" s="981"/>
      <c r="E101" s="981"/>
      <c r="F101" s="981"/>
      <c r="G101" s="981"/>
      <c r="H101" s="981"/>
      <c r="I101" s="98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5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5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5" t="s">
        <v>53</v>
      </c>
      <c r="B112" s="785"/>
      <c r="C112" s="785"/>
      <c r="D112" s="785"/>
      <c r="E112" s="785"/>
      <c r="F112" s="785"/>
      <c r="G112" s="785"/>
      <c r="H112" s="785"/>
      <c r="I112" s="7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6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7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5" t="s">
        <v>53</v>
      </c>
      <c r="B121" s="785"/>
      <c r="C121" s="785"/>
      <c r="D121" s="785"/>
      <c r="E121" s="785"/>
      <c r="F121" s="785"/>
      <c r="G121" s="785"/>
      <c r="H121" s="785"/>
      <c r="I121" s="7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7"/>
      <c r="B129" s="100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4" t="s">
        <v>90</v>
      </c>
      <c r="J129" s="997">
        <v>2</v>
      </c>
      <c r="K129" s="25" t="s">
        <v>52</v>
      </c>
      <c r="L129" s="25" t="s">
        <v>51</v>
      </c>
    </row>
    <row r="130" spans="1:12">
      <c r="A130" s="807"/>
      <c r="B130" s="100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4"/>
      <c r="J130" s="999"/>
      <c r="K130" s="25" t="s">
        <v>52</v>
      </c>
      <c r="L130" s="25" t="s">
        <v>51</v>
      </c>
    </row>
    <row r="131" spans="1:12">
      <c r="A131" s="80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7"/>
      <c r="B133" s="83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2" t="s">
        <v>1277</v>
      </c>
      <c r="J133" s="997">
        <v>1</v>
      </c>
      <c r="K133" s="25" t="s">
        <v>52</v>
      </c>
      <c r="L133" s="25" t="s">
        <v>51</v>
      </c>
    </row>
    <row r="134" spans="1:12">
      <c r="A134" s="807"/>
      <c r="B134" s="83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25"/>
      <c r="J134" s="999"/>
      <c r="K134" s="25" t="s">
        <v>52</v>
      </c>
      <c r="L134" s="25" t="s">
        <v>51</v>
      </c>
    </row>
    <row r="135" spans="1:12">
      <c r="A135" s="80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5" t="s">
        <v>53</v>
      </c>
      <c r="B137" s="785"/>
      <c r="C137" s="785"/>
      <c r="D137" s="785"/>
      <c r="E137" s="785"/>
      <c r="F137" s="785"/>
      <c r="G137" s="785"/>
      <c r="H137" s="785"/>
      <c r="I137" s="7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7" t="s">
        <v>1007</v>
      </c>
      <c r="B142" s="83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7"/>
      <c r="B143" s="83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5" t="s">
        <v>53</v>
      </c>
      <c r="B145" s="785"/>
      <c r="C145" s="785"/>
      <c r="D145" s="785"/>
      <c r="E145" s="785"/>
      <c r="F145" s="785"/>
      <c r="G145" s="785"/>
      <c r="H145" s="785"/>
      <c r="I145" s="7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84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84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6" t="s">
        <v>53</v>
      </c>
      <c r="B154" s="976"/>
      <c r="C154" s="976"/>
      <c r="D154" s="976"/>
      <c r="E154" s="976"/>
      <c r="F154" s="976"/>
      <c r="G154" s="976"/>
      <c r="H154" s="976"/>
      <c r="I154" s="97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5" t="s">
        <v>53</v>
      </c>
      <c r="B163" s="785"/>
      <c r="C163" s="785"/>
      <c r="D163" s="785"/>
      <c r="E163" s="785"/>
      <c r="F163" s="785"/>
      <c r="G163" s="785"/>
      <c r="H163" s="785"/>
      <c r="I163" s="7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6" t="s">
        <v>53</v>
      </c>
      <c r="B167" s="976"/>
      <c r="C167" s="976"/>
      <c r="D167" s="976"/>
      <c r="E167" s="976"/>
      <c r="F167" s="976"/>
      <c r="G167" s="976"/>
      <c r="H167" s="976"/>
      <c r="I167" s="97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5" t="s">
        <v>53</v>
      </c>
      <c r="B183" s="785"/>
      <c r="C183" s="785"/>
      <c r="D183" s="785"/>
      <c r="E183" s="785"/>
      <c r="F183" s="785"/>
      <c r="G183" s="785"/>
      <c r="H183" s="785"/>
      <c r="I183" s="7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1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1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1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1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5" t="s">
        <v>53</v>
      </c>
      <c r="B193" s="785"/>
      <c r="C193" s="785"/>
      <c r="D193" s="785"/>
      <c r="E193" s="785"/>
      <c r="F193" s="785"/>
      <c r="G193" s="785"/>
      <c r="H193" s="785"/>
      <c r="I193" s="7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6" t="s">
        <v>53</v>
      </c>
      <c r="B203" s="976"/>
      <c r="C203" s="976"/>
      <c r="D203" s="976"/>
      <c r="E203" s="976"/>
      <c r="F203" s="976"/>
      <c r="G203" s="976"/>
      <c r="H203" s="976"/>
      <c r="I203" s="97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6" t="s">
        <v>53</v>
      </c>
      <c r="B214" s="976"/>
      <c r="C214" s="976"/>
      <c r="D214" s="976"/>
      <c r="E214" s="976"/>
      <c r="F214" s="976"/>
      <c r="G214" s="976"/>
      <c r="H214" s="976"/>
      <c r="I214" s="97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6" t="s">
        <v>1458</v>
      </c>
      <c r="B226" s="976"/>
      <c r="C226" s="976"/>
      <c r="D226" s="976"/>
      <c r="E226" s="976"/>
      <c r="F226" s="976"/>
      <c r="G226" s="976"/>
      <c r="H226" s="976"/>
      <c r="I226" s="97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6" t="s">
        <v>1499</v>
      </c>
      <c r="B236" s="976"/>
      <c r="C236" s="976"/>
      <c r="D236" s="976"/>
      <c r="E236" s="976"/>
      <c r="F236" s="976"/>
      <c r="G236" s="976"/>
      <c r="H236" s="976"/>
      <c r="I236" s="97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0" t="s">
        <v>53</v>
      </c>
      <c r="B244" s="981"/>
      <c r="C244" s="981"/>
      <c r="D244" s="981"/>
      <c r="E244" s="981"/>
      <c r="F244" s="981"/>
      <c r="G244" s="981"/>
      <c r="H244" s="981"/>
      <c r="I244" s="98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0" t="s">
        <v>53</v>
      </c>
      <c r="B250" s="981"/>
      <c r="C250" s="981"/>
      <c r="D250" s="981"/>
      <c r="E250" s="981"/>
      <c r="F250" s="981"/>
      <c r="G250" s="981"/>
      <c r="H250" s="981"/>
      <c r="I250" s="98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0" t="s">
        <v>53</v>
      </c>
      <c r="B257" s="981"/>
      <c r="C257" s="981"/>
      <c r="D257" s="981"/>
      <c r="E257" s="981"/>
      <c r="F257" s="981"/>
      <c r="G257" s="981"/>
      <c r="H257" s="981"/>
      <c r="I257" s="98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0" t="s">
        <v>53</v>
      </c>
      <c r="B262" s="981"/>
      <c r="C262" s="981"/>
      <c r="D262" s="981"/>
      <c r="E262" s="981"/>
      <c r="F262" s="981"/>
      <c r="G262" s="981"/>
      <c r="H262" s="981"/>
      <c r="I262" s="98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0" t="s">
        <v>53</v>
      </c>
      <c r="B271" s="981"/>
      <c r="C271" s="981"/>
      <c r="D271" s="981"/>
      <c r="E271" s="981"/>
      <c r="F271" s="981"/>
      <c r="G271" s="981"/>
      <c r="H271" s="981"/>
      <c r="I271" s="98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0" t="s">
        <v>53</v>
      </c>
      <c r="B275" s="981"/>
      <c r="C275" s="981"/>
      <c r="D275" s="981"/>
      <c r="E275" s="981"/>
      <c r="F275" s="981"/>
      <c r="G275" s="981"/>
      <c r="H275" s="981"/>
      <c r="I275" s="98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0" t="s">
        <v>1646</v>
      </c>
      <c r="B296" s="981"/>
      <c r="C296" s="981"/>
      <c r="D296" s="981"/>
      <c r="E296" s="981"/>
      <c r="F296" s="981"/>
      <c r="G296" s="981"/>
      <c r="H296" s="981"/>
      <c r="I296" s="98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6" t="s">
        <v>1659</v>
      </c>
      <c r="B305" s="976"/>
      <c r="C305" s="976"/>
      <c r="D305" s="976"/>
      <c r="E305" s="976"/>
      <c r="F305" s="976"/>
      <c r="G305" s="976"/>
      <c r="H305" s="976"/>
      <c r="I305" s="97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6" t="s">
        <v>53</v>
      </c>
      <c r="B309" s="976"/>
      <c r="C309" s="976"/>
      <c r="D309" s="976"/>
      <c r="E309" s="976"/>
      <c r="F309" s="976"/>
      <c r="G309" s="976"/>
      <c r="H309" s="976"/>
      <c r="I309" s="97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6" t="s">
        <v>1659</v>
      </c>
      <c r="B314" s="976"/>
      <c r="C314" s="976"/>
      <c r="D314" s="976"/>
      <c r="E314" s="976"/>
      <c r="F314" s="976"/>
      <c r="G314" s="976"/>
      <c r="H314" s="976"/>
      <c r="I314" s="97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6" t="s">
        <v>1659</v>
      </c>
      <c r="B321" s="976"/>
      <c r="C321" s="976"/>
      <c r="D321" s="976"/>
      <c r="E321" s="976"/>
      <c r="F321" s="976"/>
      <c r="G321" s="976"/>
      <c r="H321" s="976"/>
      <c r="I321" s="97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6" t="s">
        <v>1659</v>
      </c>
      <c r="B330" s="976"/>
      <c r="C330" s="976"/>
      <c r="D330" s="976"/>
      <c r="E330" s="976"/>
      <c r="F330" s="976"/>
      <c r="G330" s="976"/>
      <c r="H330" s="976"/>
      <c r="I330" s="97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6" t="s">
        <v>1659</v>
      </c>
      <c r="B338" s="976"/>
      <c r="C338" s="976"/>
      <c r="D338" s="976"/>
      <c r="E338" s="976"/>
      <c r="F338" s="976"/>
      <c r="G338" s="976"/>
      <c r="H338" s="976"/>
      <c r="I338" s="97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8" t="s">
        <v>1521</v>
      </c>
      <c r="B343" s="128" t="s">
        <v>1531</v>
      </c>
      <c r="C343" s="845" t="s">
        <v>306</v>
      </c>
      <c r="D343" s="845" t="s">
        <v>322</v>
      </c>
      <c r="E343" s="824" t="s">
        <v>307</v>
      </c>
      <c r="F343" s="987">
        <v>4266</v>
      </c>
      <c r="G343" s="845" t="s">
        <v>640</v>
      </c>
      <c r="H343" s="987" t="s">
        <v>1533</v>
      </c>
      <c r="I343" s="845" t="s">
        <v>1534</v>
      </c>
      <c r="J343" s="824">
        <v>2</v>
      </c>
      <c r="K343" s="985" t="s">
        <v>50</v>
      </c>
      <c r="L343" s="985" t="s">
        <v>51</v>
      </c>
    </row>
    <row r="344" spans="1:13">
      <c r="A344" s="989"/>
      <c r="B344" s="129" t="s">
        <v>1532</v>
      </c>
      <c r="C344" s="825"/>
      <c r="D344" s="825"/>
      <c r="E344" s="825"/>
      <c r="F344" s="830"/>
      <c r="G344" s="825"/>
      <c r="H344" s="830"/>
      <c r="I344" s="825"/>
      <c r="J344" s="825"/>
      <c r="K344" s="986"/>
      <c r="L344" s="986"/>
    </row>
    <row r="345" spans="1:13">
      <c r="A345" s="989"/>
      <c r="B345" s="128" t="s">
        <v>1536</v>
      </c>
      <c r="C345" s="824" t="s">
        <v>306</v>
      </c>
      <c r="D345" s="824" t="s">
        <v>322</v>
      </c>
      <c r="E345" s="824" t="s">
        <v>307</v>
      </c>
      <c r="F345" s="829">
        <v>3306</v>
      </c>
      <c r="G345" s="824" t="s">
        <v>1153</v>
      </c>
      <c r="H345" s="829" t="s">
        <v>1538</v>
      </c>
      <c r="I345" s="824" t="s">
        <v>1534</v>
      </c>
      <c r="J345" s="824">
        <v>2</v>
      </c>
      <c r="K345" s="985" t="s">
        <v>50</v>
      </c>
      <c r="L345" s="985" t="s">
        <v>51</v>
      </c>
    </row>
    <row r="346" spans="1:13">
      <c r="A346" s="990"/>
      <c r="B346" s="129" t="s">
        <v>1537</v>
      </c>
      <c r="C346" s="825"/>
      <c r="D346" s="825"/>
      <c r="E346" s="825"/>
      <c r="F346" s="830"/>
      <c r="G346" s="825"/>
      <c r="H346" s="830"/>
      <c r="I346" s="825"/>
      <c r="J346" s="825"/>
      <c r="K346" s="986"/>
      <c r="L346" s="986"/>
    </row>
    <row r="347" spans="1:13">
      <c r="A347" s="980" t="s">
        <v>53</v>
      </c>
      <c r="B347" s="981"/>
      <c r="C347" s="981"/>
      <c r="D347" s="981"/>
      <c r="E347" s="981"/>
      <c r="F347" s="981"/>
      <c r="G347" s="981"/>
      <c r="H347" s="981"/>
      <c r="I347" s="98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5" t="s">
        <v>53</v>
      </c>
      <c r="B357" s="785"/>
      <c r="C357" s="785"/>
      <c r="D357" s="785"/>
      <c r="E357" s="785"/>
      <c r="F357" s="785"/>
      <c r="G357" s="785"/>
      <c r="H357" s="785"/>
      <c r="I357" s="7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6" t="s">
        <v>1458</v>
      </c>
      <c r="B361" s="976"/>
      <c r="C361" s="976"/>
      <c r="D361" s="976"/>
      <c r="E361" s="976"/>
      <c r="F361" s="976"/>
      <c r="G361" s="976"/>
      <c r="H361" s="976"/>
      <c r="I361" s="97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6" t="s">
        <v>1659</v>
      </c>
      <c r="B370" s="976"/>
      <c r="C370" s="976"/>
      <c r="D370" s="976"/>
      <c r="E370" s="976"/>
      <c r="F370" s="976"/>
      <c r="G370" s="976"/>
      <c r="H370" s="976"/>
      <c r="I370" s="97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5" t="s">
        <v>1646</v>
      </c>
      <c r="B378" s="785"/>
      <c r="C378" s="785"/>
      <c r="D378" s="785"/>
      <c r="E378" s="785"/>
      <c r="F378" s="785"/>
      <c r="G378" s="785"/>
      <c r="H378" s="785"/>
      <c r="I378" s="785"/>
      <c r="J378" s="785"/>
      <c r="K378" s="4">
        <v>25</v>
      </c>
      <c r="L378" s="55"/>
    </row>
    <row r="381" spans="1:12">
      <c r="B381" s="1008" t="s">
        <v>1</v>
      </c>
      <c r="C381" s="1008" t="s">
        <v>2</v>
      </c>
      <c r="D381" s="1008" t="s">
        <v>3</v>
      </c>
      <c r="E381" s="36" t="s">
        <v>54</v>
      </c>
      <c r="F381" s="1008" t="s">
        <v>5</v>
      </c>
      <c r="G381" s="1008" t="s">
        <v>6</v>
      </c>
      <c r="H381" s="1008" t="s">
        <v>7</v>
      </c>
      <c r="I381" s="1008" t="s">
        <v>55</v>
      </c>
      <c r="J381" s="1008" t="s">
        <v>9</v>
      </c>
      <c r="K381" s="1010" t="s">
        <v>56</v>
      </c>
      <c r="L381" s="1008" t="s">
        <v>57</v>
      </c>
    </row>
    <row r="382" spans="1:12">
      <c r="B382" s="1009"/>
      <c r="C382" s="1009"/>
      <c r="D382" s="1009"/>
      <c r="E382" s="37" t="s">
        <v>59</v>
      </c>
      <c r="F382" s="1009"/>
      <c r="G382" s="1009"/>
      <c r="H382" s="1009"/>
      <c r="I382" s="1009"/>
      <c r="J382" s="1009"/>
      <c r="K382" s="1011"/>
      <c r="L382" s="100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6" t="s">
        <v>53</v>
      </c>
      <c r="B394" s="976"/>
      <c r="C394" s="976"/>
      <c r="D394" s="976"/>
      <c r="E394" s="976"/>
      <c r="F394" s="976"/>
      <c r="G394" s="976"/>
      <c r="H394" s="976"/>
      <c r="I394" s="97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6" t="s">
        <v>53</v>
      </c>
      <c r="B401" s="976"/>
      <c r="C401" s="976"/>
      <c r="D401" s="976"/>
      <c r="E401" s="976"/>
      <c r="F401" s="976"/>
      <c r="G401" s="976"/>
      <c r="H401" s="976"/>
      <c r="I401" s="97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5" t="s">
        <v>229</v>
      </c>
      <c r="B405" s="983" t="s">
        <v>1805</v>
      </c>
      <c r="C405" s="983" t="s">
        <v>700</v>
      </c>
      <c r="D405" s="1012" t="s">
        <v>675</v>
      </c>
      <c r="E405" s="983" t="s">
        <v>1806</v>
      </c>
      <c r="F405" s="983" t="s">
        <v>1807</v>
      </c>
      <c r="G405" s="983" t="s">
        <v>662</v>
      </c>
      <c r="H405" s="1013" t="s">
        <v>1808</v>
      </c>
      <c r="I405" s="1012"/>
      <c r="J405" s="1013">
        <v>1</v>
      </c>
      <c r="K405" s="985" t="s">
        <v>631</v>
      </c>
      <c r="L405" s="942" t="s">
        <v>51</v>
      </c>
    </row>
    <row r="406" spans="1:12" ht="13.5" customHeight="1">
      <c r="A406" s="975"/>
      <c r="B406" s="983"/>
      <c r="C406" s="983"/>
      <c r="D406" s="1012"/>
      <c r="E406" s="983"/>
      <c r="F406" s="983"/>
      <c r="G406" s="983"/>
      <c r="H406" s="1013"/>
      <c r="I406" s="1012"/>
      <c r="J406" s="1013"/>
      <c r="K406" s="986"/>
      <c r="L406" s="944"/>
    </row>
    <row r="407" spans="1:12" ht="27" customHeight="1">
      <c r="A407" s="97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5" t="s">
        <v>1646</v>
      </c>
      <c r="B409" s="975"/>
      <c r="C409" s="975"/>
      <c r="D409" s="975"/>
      <c r="E409" s="975"/>
      <c r="F409" s="975"/>
      <c r="G409" s="975"/>
      <c r="H409" s="975"/>
      <c r="I409" s="97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5" t="s">
        <v>2008</v>
      </c>
      <c r="B412" s="1014" t="s">
        <v>2009</v>
      </c>
      <c r="C412" s="985" t="s">
        <v>21</v>
      </c>
      <c r="D412" s="840" t="s">
        <v>14</v>
      </c>
      <c r="E412" s="985" t="s">
        <v>78</v>
      </c>
      <c r="F412" s="983" t="s">
        <v>2010</v>
      </c>
      <c r="G412" s="983" t="s">
        <v>40</v>
      </c>
      <c r="H412" s="1013" t="s">
        <v>614</v>
      </c>
      <c r="I412" s="1012"/>
      <c r="J412" s="1013">
        <v>1</v>
      </c>
      <c r="K412" s="985" t="s">
        <v>2011</v>
      </c>
      <c r="L412" s="942" t="s">
        <v>1997</v>
      </c>
    </row>
    <row r="413" spans="1:12" ht="20.100000000000001" customHeight="1">
      <c r="A413" s="975"/>
      <c r="B413" s="983"/>
      <c r="C413" s="986"/>
      <c r="D413" s="841"/>
      <c r="E413" s="986"/>
      <c r="F413" s="983"/>
      <c r="G413" s="983"/>
      <c r="H413" s="1013"/>
      <c r="I413" s="1012"/>
      <c r="J413" s="1013"/>
      <c r="K413" s="986"/>
      <c r="L413" s="944"/>
    </row>
    <row r="414" spans="1:12" ht="20.100000000000001" customHeight="1">
      <c r="A414" s="975" t="s">
        <v>1646</v>
      </c>
      <c r="B414" s="975"/>
      <c r="C414" s="975"/>
      <c r="D414" s="975"/>
      <c r="E414" s="975"/>
      <c r="F414" s="975"/>
      <c r="G414" s="975"/>
      <c r="H414" s="975"/>
      <c r="I414" s="97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4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43"/>
      <c r="B418" s="78" t="s">
        <v>1748</v>
      </c>
      <c r="C418" s="1012" t="s">
        <v>306</v>
      </c>
      <c r="D418" s="1012" t="s">
        <v>322</v>
      </c>
      <c r="E418" s="1012" t="s">
        <v>307</v>
      </c>
      <c r="F418" s="1013">
        <v>3306</v>
      </c>
      <c r="G418" s="1012" t="s">
        <v>1153</v>
      </c>
      <c r="H418" s="1013" t="s">
        <v>1749</v>
      </c>
      <c r="I418" s="1012" t="s">
        <v>664</v>
      </c>
      <c r="J418" s="1012">
        <v>4</v>
      </c>
      <c r="K418" s="985" t="s">
        <v>631</v>
      </c>
      <c r="L418" s="942" t="s">
        <v>51</v>
      </c>
    </row>
    <row r="419" spans="1:12" ht="13.5" customHeight="1">
      <c r="A419" s="943"/>
      <c r="B419" s="79" t="s">
        <v>1751</v>
      </c>
      <c r="C419" s="1012"/>
      <c r="D419" s="1012"/>
      <c r="E419" s="1012"/>
      <c r="F419" s="1013"/>
      <c r="G419" s="1012"/>
      <c r="H419" s="1013"/>
      <c r="I419" s="1012"/>
      <c r="J419" s="1012"/>
      <c r="K419" s="986"/>
      <c r="L419" s="944"/>
    </row>
    <row r="420" spans="1:12" ht="13.5" customHeight="1">
      <c r="A420" s="943"/>
      <c r="B420" s="78" t="s">
        <v>1800</v>
      </c>
      <c r="C420" s="1012" t="s">
        <v>306</v>
      </c>
      <c r="D420" s="1012" t="s">
        <v>322</v>
      </c>
      <c r="E420" s="1012" t="s">
        <v>307</v>
      </c>
      <c r="F420" s="1013" t="s">
        <v>1801</v>
      </c>
      <c r="G420" s="1012" t="s">
        <v>1802</v>
      </c>
      <c r="H420" s="1013" t="s">
        <v>1803</v>
      </c>
      <c r="I420" s="1012" t="s">
        <v>664</v>
      </c>
      <c r="J420" s="1012">
        <v>5</v>
      </c>
      <c r="K420" s="985" t="s">
        <v>631</v>
      </c>
      <c r="L420" s="942" t="s">
        <v>51</v>
      </c>
    </row>
    <row r="421" spans="1:12" ht="13.5" customHeight="1">
      <c r="A421" s="943"/>
      <c r="B421" s="79" t="s">
        <v>1795</v>
      </c>
      <c r="C421" s="1012"/>
      <c r="D421" s="1012"/>
      <c r="E421" s="1012"/>
      <c r="F421" s="1013"/>
      <c r="G421" s="1012"/>
      <c r="H421" s="1013"/>
      <c r="I421" s="1012"/>
      <c r="J421" s="1012"/>
      <c r="K421" s="986"/>
      <c r="L421" s="944"/>
    </row>
    <row r="422" spans="1:12" ht="27" customHeight="1">
      <c r="A422" s="94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5" t="s">
        <v>1646</v>
      </c>
      <c r="B423" s="975"/>
      <c r="C423" s="975"/>
      <c r="D423" s="975"/>
      <c r="E423" s="975"/>
      <c r="F423" s="975"/>
      <c r="G423" s="975"/>
      <c r="H423" s="975"/>
      <c r="I423" s="97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6" t="s">
        <v>1646</v>
      </c>
      <c r="B431" s="976"/>
      <c r="C431" s="976"/>
      <c r="D431" s="976"/>
      <c r="E431" s="976"/>
      <c r="F431" s="976"/>
      <c r="G431" s="976"/>
      <c r="H431" s="976"/>
      <c r="I431" s="97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6" t="s">
        <v>1646</v>
      </c>
      <c r="B435" s="976"/>
      <c r="C435" s="976"/>
      <c r="D435" s="976"/>
      <c r="E435" s="976"/>
      <c r="F435" s="976"/>
      <c r="G435" s="976"/>
      <c r="H435" s="976"/>
      <c r="I435" s="97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5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18" t="s">
        <v>1761</v>
      </c>
      <c r="G438" s="898" t="s">
        <v>329</v>
      </c>
      <c r="H438" s="997" t="s">
        <v>1762</v>
      </c>
      <c r="I438" s="846" t="s">
        <v>664</v>
      </c>
      <c r="J438" s="1020">
        <v>2</v>
      </c>
      <c r="K438" s="985" t="s">
        <v>1996</v>
      </c>
      <c r="L438" s="985" t="s">
        <v>51</v>
      </c>
    </row>
    <row r="439" spans="1:12" ht="13.5" customHeight="1">
      <c r="A439" s="836"/>
      <c r="B439" s="253" t="s">
        <v>2028</v>
      </c>
      <c r="C439" s="899"/>
      <c r="D439" s="899"/>
      <c r="E439" s="899"/>
      <c r="F439" s="1019"/>
      <c r="G439" s="899"/>
      <c r="H439" s="999"/>
      <c r="I439" s="847"/>
      <c r="J439" s="1021"/>
      <c r="K439" s="986"/>
      <c r="L439" s="986"/>
    </row>
    <row r="440" spans="1:12" ht="13.5" customHeight="1">
      <c r="A440" s="836"/>
      <c r="B440" s="254" t="s">
        <v>1794</v>
      </c>
      <c r="C440" s="786" t="s">
        <v>306</v>
      </c>
      <c r="D440" s="786" t="s">
        <v>322</v>
      </c>
      <c r="E440" s="786" t="s">
        <v>307</v>
      </c>
      <c r="F440" s="793" t="s">
        <v>1796</v>
      </c>
      <c r="G440" s="786" t="s">
        <v>1797</v>
      </c>
      <c r="H440" s="793" t="s">
        <v>1792</v>
      </c>
      <c r="I440" s="786" t="s">
        <v>664</v>
      </c>
      <c r="J440" s="824">
        <v>4</v>
      </c>
      <c r="K440" s="985" t="s">
        <v>631</v>
      </c>
      <c r="L440" s="985" t="s">
        <v>1997</v>
      </c>
    </row>
    <row r="441" spans="1:12" ht="13.5" customHeight="1">
      <c r="A441" s="836"/>
      <c r="B441" s="255" t="s">
        <v>1795</v>
      </c>
      <c r="C441" s="786"/>
      <c r="D441" s="786"/>
      <c r="E441" s="786"/>
      <c r="F441" s="793"/>
      <c r="G441" s="786"/>
      <c r="H441" s="793"/>
      <c r="I441" s="786"/>
      <c r="J441" s="825"/>
      <c r="K441" s="986"/>
      <c r="L441" s="986"/>
    </row>
    <row r="442" spans="1:12" ht="20.100000000000001" customHeight="1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0" t="s">
        <v>1646</v>
      </c>
      <c r="B450" s="981"/>
      <c r="C450" s="981"/>
      <c r="D450" s="981"/>
      <c r="E450" s="981"/>
      <c r="F450" s="981"/>
      <c r="G450" s="981"/>
      <c r="H450" s="981"/>
      <c r="I450" s="98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5" t="s">
        <v>2059</v>
      </c>
      <c r="B459" s="785"/>
      <c r="C459" s="785"/>
      <c r="D459" s="785"/>
      <c r="E459" s="785"/>
      <c r="F459" s="785"/>
      <c r="G459" s="785"/>
      <c r="H459" s="785"/>
      <c r="I459" s="7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6"/>
      <c r="B463" s="1022" t="s">
        <v>1767</v>
      </c>
      <c r="C463" s="1023" t="s">
        <v>311</v>
      </c>
      <c r="D463" s="1023" t="s">
        <v>320</v>
      </c>
      <c r="E463" s="1023" t="s">
        <v>709</v>
      </c>
      <c r="F463" s="1023" t="s">
        <v>1768</v>
      </c>
      <c r="G463" s="1022" t="s">
        <v>1769</v>
      </c>
      <c r="H463" s="258" t="s">
        <v>1770</v>
      </c>
      <c r="I463" s="1023"/>
      <c r="J463" s="1023">
        <v>1</v>
      </c>
      <c r="K463" s="840" t="s">
        <v>631</v>
      </c>
      <c r="L463" s="870" t="s">
        <v>51</v>
      </c>
    </row>
    <row r="464" spans="1:12" ht="13.5" customHeight="1">
      <c r="A464" s="1016"/>
      <c r="B464" s="1022"/>
      <c r="C464" s="1023"/>
      <c r="D464" s="1023"/>
      <c r="E464" s="1023"/>
      <c r="F464" s="1023"/>
      <c r="G464" s="1022"/>
      <c r="H464" s="259" t="s">
        <v>1773</v>
      </c>
      <c r="I464" s="1023"/>
      <c r="J464" s="1023"/>
      <c r="K464" s="841"/>
      <c r="L464" s="871"/>
    </row>
    <row r="465" spans="1:12" ht="13.5" customHeight="1">
      <c r="A465" s="1016"/>
      <c r="B465" s="1024" t="s">
        <v>1813</v>
      </c>
      <c r="C465" s="983" t="s">
        <v>700</v>
      </c>
      <c r="D465" s="1012" t="s">
        <v>320</v>
      </c>
      <c r="E465" s="1012" t="s">
        <v>337</v>
      </c>
      <c r="F465" s="983" t="s">
        <v>353</v>
      </c>
      <c r="G465" s="983" t="s">
        <v>1814</v>
      </c>
      <c r="H465" s="1013" t="s">
        <v>1815</v>
      </c>
      <c r="I465" s="1012" t="s">
        <v>638</v>
      </c>
      <c r="J465" s="1013">
        <v>2</v>
      </c>
      <c r="K465" s="985" t="s">
        <v>631</v>
      </c>
      <c r="L465" s="985" t="s">
        <v>51</v>
      </c>
    </row>
    <row r="466" spans="1:12" ht="13.5" customHeight="1">
      <c r="A466" s="1016"/>
      <c r="B466" s="1024"/>
      <c r="C466" s="983"/>
      <c r="D466" s="1012"/>
      <c r="E466" s="1012"/>
      <c r="F466" s="983"/>
      <c r="G466" s="983"/>
      <c r="H466" s="1013"/>
      <c r="I466" s="1012"/>
      <c r="J466" s="1013"/>
      <c r="K466" s="986"/>
      <c r="L466" s="986"/>
    </row>
    <row r="467" spans="1:12" ht="27" customHeight="1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6"/>
      <c r="B468" s="983" t="s">
        <v>1820</v>
      </c>
      <c r="C468" s="983" t="s">
        <v>700</v>
      </c>
      <c r="D468" s="1012" t="s">
        <v>320</v>
      </c>
      <c r="E468" s="1012" t="s">
        <v>709</v>
      </c>
      <c r="F468" s="1012" t="s">
        <v>1768</v>
      </c>
      <c r="G468" s="983" t="s">
        <v>1821</v>
      </c>
      <c r="H468" s="261" t="s">
        <v>1822</v>
      </c>
      <c r="I468" s="1012" t="s">
        <v>638</v>
      </c>
      <c r="J468" s="1012">
        <v>2</v>
      </c>
      <c r="K468" s="985" t="s">
        <v>631</v>
      </c>
      <c r="L468" s="985" t="s">
        <v>51</v>
      </c>
    </row>
    <row r="469" spans="1:12" ht="13.5" customHeight="1">
      <c r="A469" s="1016"/>
      <c r="B469" s="983"/>
      <c r="C469" s="983"/>
      <c r="D469" s="1012"/>
      <c r="E469" s="1012"/>
      <c r="F469" s="1012"/>
      <c r="G469" s="983"/>
      <c r="H469" s="262" t="s">
        <v>1823</v>
      </c>
      <c r="I469" s="1012"/>
      <c r="J469" s="1012"/>
      <c r="K469" s="986"/>
      <c r="L469" s="986"/>
    </row>
    <row r="470" spans="1:12" ht="27" customHeight="1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6" t="s">
        <v>53</v>
      </c>
      <c r="B472" s="976"/>
      <c r="C472" s="976"/>
      <c r="D472" s="976"/>
      <c r="E472" s="976"/>
      <c r="F472" s="976"/>
      <c r="G472" s="976"/>
      <c r="H472" s="976"/>
      <c r="I472" s="97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6" t="s">
        <v>228</v>
      </c>
      <c r="B476" s="1022" t="s">
        <v>1767</v>
      </c>
      <c r="C476" s="1023" t="s">
        <v>311</v>
      </c>
      <c r="D476" s="1023" t="s">
        <v>320</v>
      </c>
      <c r="E476" s="1023" t="s">
        <v>709</v>
      </c>
      <c r="F476" s="1023" t="s">
        <v>1768</v>
      </c>
      <c r="G476" s="1022" t="s">
        <v>1769</v>
      </c>
      <c r="H476" s="258" t="s">
        <v>1770</v>
      </c>
      <c r="I476" s="1023"/>
      <c r="J476" s="1023">
        <v>1</v>
      </c>
      <c r="K476" s="840" t="s">
        <v>631</v>
      </c>
      <c r="L476" s="870" t="s">
        <v>51</v>
      </c>
    </row>
    <row r="477" spans="1:12" ht="13.5" customHeight="1">
      <c r="A477" s="976"/>
      <c r="B477" s="1022"/>
      <c r="C477" s="1023"/>
      <c r="D477" s="1023"/>
      <c r="E477" s="1023"/>
      <c r="F477" s="1023"/>
      <c r="G477" s="1022"/>
      <c r="H477" s="259" t="s">
        <v>1773</v>
      </c>
      <c r="I477" s="1023"/>
      <c r="J477" s="1023"/>
      <c r="K477" s="841"/>
      <c r="L477" s="871"/>
    </row>
    <row r="478" spans="1:12" ht="27" customHeight="1">
      <c r="A478" s="97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6" t="s">
        <v>1646</v>
      </c>
      <c r="B479" s="976"/>
      <c r="C479" s="976"/>
      <c r="D479" s="976"/>
      <c r="E479" s="976"/>
      <c r="F479" s="976"/>
      <c r="G479" s="976"/>
      <c r="H479" s="976"/>
      <c r="I479" s="97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0" t="s">
        <v>53</v>
      </c>
      <c r="B487" s="981"/>
      <c r="C487" s="981"/>
      <c r="D487" s="981"/>
      <c r="E487" s="981"/>
      <c r="F487" s="981"/>
      <c r="G487" s="981"/>
      <c r="H487" s="981"/>
      <c r="I487" s="98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9"/>
      <c r="B494" s="1025" t="s">
        <v>2182</v>
      </c>
      <c r="C494" s="1025" t="s">
        <v>306</v>
      </c>
      <c r="D494" s="1025" t="s">
        <v>322</v>
      </c>
      <c r="E494" s="1025" t="s">
        <v>307</v>
      </c>
      <c r="F494" s="1026" t="s">
        <v>1919</v>
      </c>
      <c r="G494" s="1025" t="s">
        <v>662</v>
      </c>
      <c r="H494" s="1026" t="s">
        <v>1920</v>
      </c>
      <c r="I494" s="1025" t="s">
        <v>349</v>
      </c>
      <c r="J494" s="1025">
        <v>2</v>
      </c>
      <c r="K494" s="983" t="s">
        <v>50</v>
      </c>
      <c r="L494" s="222">
        <v>23</v>
      </c>
    </row>
    <row r="495" spans="1:12" ht="12.6" customHeight="1">
      <c r="A495" s="979"/>
      <c r="B495" s="1025"/>
      <c r="C495" s="1025"/>
      <c r="D495" s="1025"/>
      <c r="E495" s="1025"/>
      <c r="F495" s="1026"/>
      <c r="G495" s="1025"/>
      <c r="H495" s="1026"/>
      <c r="I495" s="1025"/>
      <c r="J495" s="1025"/>
      <c r="K495" s="983"/>
    </row>
    <row r="496" spans="1:12" ht="24.95" customHeight="1">
      <c r="A496" s="9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6" t="s">
        <v>53</v>
      </c>
      <c r="B500" s="976"/>
      <c r="C500" s="976"/>
      <c r="D500" s="976"/>
      <c r="E500" s="976"/>
      <c r="F500" s="976"/>
      <c r="G500" s="976"/>
      <c r="H500" s="976"/>
      <c r="I500" s="97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6" t="s">
        <v>2217</v>
      </c>
      <c r="B511" s="976"/>
      <c r="C511" s="976"/>
      <c r="D511" s="976"/>
      <c r="E511" s="976"/>
      <c r="F511" s="976"/>
      <c r="G511" s="976"/>
      <c r="H511" s="976"/>
      <c r="I511" s="97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5" t="s">
        <v>2233</v>
      </c>
      <c r="B522" s="785"/>
      <c r="C522" s="785"/>
      <c r="D522" s="785"/>
      <c r="E522" s="785"/>
      <c r="F522" s="785"/>
      <c r="G522" s="785"/>
      <c r="H522" s="785"/>
      <c r="I522" s="7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6" t="s">
        <v>2238</v>
      </c>
      <c r="B528" s="976"/>
      <c r="C528" s="976"/>
      <c r="D528" s="976"/>
      <c r="E528" s="976"/>
      <c r="F528" s="976"/>
      <c r="G528" s="976"/>
      <c r="H528" s="976"/>
      <c r="I528" s="97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6" t="s">
        <v>2233</v>
      </c>
      <c r="B535" s="976"/>
      <c r="C535" s="976"/>
      <c r="D535" s="976"/>
      <c r="E535" s="976"/>
      <c r="F535" s="976"/>
      <c r="G535" s="976"/>
      <c r="H535" s="976"/>
      <c r="I535" s="97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0" t="s">
        <v>2238</v>
      </c>
      <c r="B540" s="981"/>
      <c r="C540" s="981"/>
      <c r="D540" s="981"/>
      <c r="E540" s="981"/>
      <c r="F540" s="981"/>
      <c r="G540" s="981"/>
      <c r="H540" s="981"/>
      <c r="I540" s="98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5" t="s">
        <v>2233</v>
      </c>
      <c r="B546" s="975"/>
      <c r="C546" s="975"/>
      <c r="D546" s="975"/>
      <c r="E546" s="975"/>
      <c r="F546" s="975"/>
      <c r="G546" s="975"/>
      <c r="H546" s="975"/>
      <c r="I546" s="97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6" t="s">
        <v>2233</v>
      </c>
      <c r="B550" s="976"/>
      <c r="C550" s="976"/>
      <c r="D550" s="976"/>
      <c r="E550" s="976"/>
      <c r="F550" s="976"/>
      <c r="G550" s="976"/>
      <c r="H550" s="976"/>
      <c r="I550" s="97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6" t="s">
        <v>2233</v>
      </c>
      <c r="B565" s="976"/>
      <c r="C565" s="976"/>
      <c r="D565" s="976"/>
      <c r="E565" s="976"/>
      <c r="F565" s="976"/>
      <c r="G565" s="976"/>
      <c r="H565" s="976"/>
      <c r="I565" s="97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2" t="s">
        <v>306</v>
      </c>
      <c r="D569" s="802" t="s">
        <v>322</v>
      </c>
      <c r="E569" s="802" t="s">
        <v>307</v>
      </c>
      <c r="F569" s="802">
        <v>3306</v>
      </c>
      <c r="G569" s="802" t="s">
        <v>1153</v>
      </c>
      <c r="H569" s="802" t="s">
        <v>1907</v>
      </c>
      <c r="I569" s="802" t="s">
        <v>1111</v>
      </c>
      <c r="J569" s="802" t="s">
        <v>692</v>
      </c>
      <c r="K569" s="973" t="s">
        <v>2291</v>
      </c>
    </row>
    <row r="570" spans="1:12">
      <c r="B570" s="243" t="s">
        <v>1909</v>
      </c>
      <c r="C570" s="803"/>
      <c r="D570" s="803"/>
      <c r="E570" s="803"/>
      <c r="F570" s="803"/>
      <c r="G570" s="803"/>
      <c r="H570" s="803"/>
      <c r="I570" s="803"/>
      <c r="J570" s="803"/>
      <c r="K570" s="9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6" t="s">
        <v>1458</v>
      </c>
      <c r="B582" s="976"/>
      <c r="C582" s="976"/>
      <c r="D582" s="976"/>
      <c r="E582" s="976"/>
      <c r="F582" s="976"/>
      <c r="G582" s="976"/>
      <c r="H582" s="976"/>
      <c r="I582" s="97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6" t="s">
        <v>2393</v>
      </c>
      <c r="B588" s="976"/>
      <c r="C588" s="976"/>
      <c r="D588" s="976"/>
      <c r="E588" s="976"/>
      <c r="F588" s="976"/>
      <c r="G588" s="976"/>
      <c r="H588" s="976"/>
      <c r="I588" s="97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5" t="s">
        <v>2406</v>
      </c>
      <c r="B592" s="785"/>
      <c r="C592" s="785"/>
      <c r="D592" s="785"/>
      <c r="E592" s="785"/>
      <c r="F592" s="785"/>
      <c r="G592" s="785"/>
      <c r="H592" s="785"/>
      <c r="I592" s="7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5" t="s">
        <v>2406</v>
      </c>
      <c r="B601" s="785"/>
      <c r="C601" s="785"/>
      <c r="D601" s="785"/>
      <c r="E601" s="785"/>
      <c r="F601" s="785"/>
      <c r="G601" s="785"/>
      <c r="H601" s="785"/>
      <c r="I601" s="7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6" t="s">
        <v>2437</v>
      </c>
      <c r="B606" s="976"/>
      <c r="C606" s="976"/>
      <c r="D606" s="976"/>
      <c r="E606" s="976"/>
      <c r="F606" s="976"/>
      <c r="G606" s="976"/>
      <c r="H606" s="976"/>
      <c r="I606" s="97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6" t="s">
        <v>2406</v>
      </c>
      <c r="B613" s="976"/>
      <c r="C613" s="976"/>
      <c r="D613" s="976"/>
      <c r="E613" s="976"/>
      <c r="F613" s="976"/>
      <c r="G613" s="976"/>
      <c r="H613" s="976"/>
      <c r="I613" s="97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6" t="s">
        <v>2406</v>
      </c>
      <c r="B627" s="976"/>
      <c r="C627" s="976"/>
      <c r="D627" s="976"/>
      <c r="E627" s="976"/>
      <c r="F627" s="976"/>
      <c r="G627" s="976"/>
      <c r="H627" s="976"/>
      <c r="I627" s="976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28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28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28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28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28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28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28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28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28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28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28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28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28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28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2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3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30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30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30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31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32" t="s">
        <v>1646</v>
      </c>
      <c r="B655" s="1032"/>
      <c r="C655" s="1032"/>
      <c r="D655" s="1032"/>
      <c r="E655" s="1032"/>
      <c r="F655" s="1032"/>
      <c r="G655" s="1032"/>
      <c r="H655" s="1032"/>
      <c r="I655" s="1032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32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32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32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32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32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32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32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32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32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32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32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32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32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32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32" t="s">
        <v>1646</v>
      </c>
      <c r="B674" s="1032"/>
      <c r="C674" s="1032"/>
      <c r="D674" s="1032"/>
      <c r="E674" s="1032"/>
      <c r="F674" s="1032"/>
      <c r="G674" s="1032"/>
      <c r="H674" s="1032"/>
      <c r="I674" s="1032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32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32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32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32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32" t="s">
        <v>1646</v>
      </c>
      <c r="B681" s="1032"/>
      <c r="C681" s="1032"/>
      <c r="D681" s="1032"/>
      <c r="E681" s="1032"/>
      <c r="F681" s="1032"/>
      <c r="G681" s="1032"/>
      <c r="H681" s="1032"/>
      <c r="I681" s="1032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27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27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27" t="s">
        <v>1646</v>
      </c>
      <c r="B688" s="1027"/>
      <c r="C688" s="1027"/>
      <c r="D688" s="1027"/>
      <c r="E688" s="1027"/>
      <c r="F688" s="1027"/>
      <c r="G688" s="1027"/>
      <c r="H688" s="1027"/>
      <c r="I688" s="1027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28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28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28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28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28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28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28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27" t="s">
        <v>1646</v>
      </c>
      <c r="B699" s="1027"/>
      <c r="C699" s="1027"/>
      <c r="D699" s="1027"/>
      <c r="E699" s="1027"/>
      <c r="F699" s="1027"/>
      <c r="G699" s="1027"/>
      <c r="H699" s="1027"/>
      <c r="I699" s="1027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70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70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70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70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70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70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70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70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70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70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70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70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70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71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72" t="s">
        <v>1646</v>
      </c>
      <c r="B717" s="972"/>
      <c r="C717" s="972"/>
      <c r="D717" s="972"/>
      <c r="E717" s="972"/>
      <c r="F717" s="972"/>
      <c r="G717" s="972"/>
      <c r="H717" s="972"/>
      <c r="I717" s="97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35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36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36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36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36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36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36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37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72" t="s">
        <v>1646</v>
      </c>
      <c r="B731" s="972"/>
      <c r="C731" s="972"/>
      <c r="D731" s="972"/>
      <c r="E731" s="972"/>
      <c r="F731" s="972"/>
      <c r="G731" s="972"/>
      <c r="H731" s="972"/>
      <c r="I731" s="97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38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38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38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38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38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38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38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38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38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38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38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38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38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72" t="s">
        <v>1646</v>
      </c>
      <c r="B749" s="972"/>
      <c r="C749" s="972"/>
      <c r="D749" s="972"/>
      <c r="E749" s="972"/>
      <c r="F749" s="972"/>
      <c r="G749" s="972"/>
      <c r="H749" s="972"/>
      <c r="I749" s="97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39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40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40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40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40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40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40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40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41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33" t="s">
        <v>1646</v>
      </c>
      <c r="B762" s="1033"/>
      <c r="C762" s="1033"/>
      <c r="D762" s="1033"/>
      <c r="E762" s="1033"/>
      <c r="F762" s="1033"/>
      <c r="G762" s="1033"/>
      <c r="H762" s="1033"/>
      <c r="I762" s="1033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42" t="s">
        <v>5686</v>
      </c>
      <c r="B765" s="1046">
        <v>46154</v>
      </c>
      <c r="C765" s="751" t="s">
        <v>306</v>
      </c>
      <c r="D765" s="751" t="s">
        <v>322</v>
      </c>
      <c r="E765" s="676" t="s">
        <v>5400</v>
      </c>
      <c r="F765" s="748" t="s">
        <v>5051</v>
      </c>
      <c r="G765" s="748" t="s">
        <v>4967</v>
      </c>
      <c r="H765" s="692" t="s">
        <v>5769</v>
      </c>
      <c r="I765" s="751" t="s">
        <v>1534</v>
      </c>
      <c r="J765" s="751">
        <v>2</v>
      </c>
      <c r="K765" s="646" t="s">
        <v>50</v>
      </c>
    </row>
    <row r="766" spans="1:12">
      <c r="A766" s="1043"/>
      <c r="B766" s="1046">
        <v>46155</v>
      </c>
      <c r="C766" s="751" t="s">
        <v>306</v>
      </c>
      <c r="D766" s="751" t="s">
        <v>322</v>
      </c>
      <c r="E766" s="676" t="s">
        <v>5400</v>
      </c>
      <c r="F766" s="748" t="s">
        <v>5051</v>
      </c>
      <c r="G766" s="748" t="s">
        <v>4967</v>
      </c>
      <c r="H766" s="692" t="s">
        <v>5769</v>
      </c>
      <c r="I766" s="751" t="s">
        <v>1534</v>
      </c>
      <c r="J766" s="751">
        <v>2</v>
      </c>
      <c r="K766" s="646" t="s">
        <v>50</v>
      </c>
    </row>
    <row r="767" spans="1:12">
      <c r="A767" s="1043"/>
      <c r="B767" s="1046">
        <v>46156</v>
      </c>
      <c r="C767" s="751" t="s">
        <v>306</v>
      </c>
      <c r="D767" s="751" t="s">
        <v>322</v>
      </c>
      <c r="E767" s="676" t="s">
        <v>5400</v>
      </c>
      <c r="F767" s="748" t="s">
        <v>5051</v>
      </c>
      <c r="G767" s="748" t="s">
        <v>4967</v>
      </c>
      <c r="H767" s="692" t="s">
        <v>5769</v>
      </c>
      <c r="I767" s="751" t="s">
        <v>1534</v>
      </c>
      <c r="J767" s="751">
        <v>2</v>
      </c>
      <c r="K767" s="646" t="s">
        <v>50</v>
      </c>
    </row>
    <row r="768" spans="1:12">
      <c r="A768" s="1043"/>
      <c r="B768" s="1045">
        <v>46160</v>
      </c>
      <c r="C768" s="749" t="s">
        <v>306</v>
      </c>
      <c r="D768" s="749" t="s">
        <v>322</v>
      </c>
      <c r="E768" s="748" t="s">
        <v>5400</v>
      </c>
      <c r="F768" s="748" t="s">
        <v>5051</v>
      </c>
      <c r="G768" s="748" t="s">
        <v>4967</v>
      </c>
      <c r="H768" s="750" t="s">
        <v>5869</v>
      </c>
      <c r="I768" s="751" t="s">
        <v>1534</v>
      </c>
      <c r="J768" s="678">
        <v>1</v>
      </c>
      <c r="K768" s="646" t="s">
        <v>50</v>
      </c>
    </row>
    <row r="769" spans="1:12">
      <c r="A769" s="1044"/>
      <c r="B769" s="1045">
        <v>46164</v>
      </c>
      <c r="C769" s="749" t="s">
        <v>306</v>
      </c>
      <c r="D769" s="749" t="s">
        <v>322</v>
      </c>
      <c r="E769" s="748" t="s">
        <v>5400</v>
      </c>
      <c r="F769" s="748" t="s">
        <v>5051</v>
      </c>
      <c r="G769" s="748" t="s">
        <v>4967</v>
      </c>
      <c r="H769" s="750" t="s">
        <v>5869</v>
      </c>
      <c r="I769" s="751" t="s">
        <v>1534</v>
      </c>
      <c r="J769" s="678">
        <v>1</v>
      </c>
      <c r="K769" s="646" t="s">
        <v>50</v>
      </c>
    </row>
    <row r="770" spans="1:12">
      <c r="A770" s="1033" t="s">
        <v>1646</v>
      </c>
      <c r="B770" s="1033"/>
      <c r="C770" s="1033"/>
      <c r="D770" s="1033"/>
      <c r="E770" s="1033"/>
      <c r="F770" s="1033"/>
      <c r="G770" s="1033"/>
      <c r="H770" s="1033"/>
      <c r="I770" s="1033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34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34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34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34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34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33" t="s">
        <v>1646</v>
      </c>
      <c r="B778" s="1033"/>
      <c r="C778" s="1033"/>
      <c r="D778" s="1033"/>
      <c r="E778" s="1033"/>
      <c r="F778" s="1033"/>
      <c r="G778" s="1033"/>
      <c r="H778" s="1033"/>
      <c r="I778" s="1033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34" t="s">
        <v>228</v>
      </c>
      <c r="B782" s="703">
        <v>46115</v>
      </c>
      <c r="C782" s="698" t="s">
        <v>5692</v>
      </c>
      <c r="D782" s="698" t="s">
        <v>14</v>
      </c>
      <c r="E782" s="698" t="s">
        <v>1893</v>
      </c>
      <c r="F782" s="698" t="s">
        <v>5693</v>
      </c>
      <c r="G782" s="698" t="s">
        <v>34</v>
      </c>
      <c r="H782" s="698" t="s">
        <v>5694</v>
      </c>
      <c r="I782" s="698" t="s">
        <v>5684</v>
      </c>
      <c r="J782" s="698">
        <v>3</v>
      </c>
      <c r="K782" s="698" t="s">
        <v>1280</v>
      </c>
    </row>
    <row r="783" spans="1:12">
      <c r="A783" s="1034"/>
      <c r="B783" s="703">
        <v>46125</v>
      </c>
      <c r="C783" s="698" t="s">
        <v>5692</v>
      </c>
      <c r="D783" s="698" t="s">
        <v>14</v>
      </c>
      <c r="E783" s="698" t="s">
        <v>1893</v>
      </c>
      <c r="F783" s="698" t="s">
        <v>5693</v>
      </c>
      <c r="G783" s="698" t="s">
        <v>34</v>
      </c>
      <c r="H783" s="698" t="s">
        <v>5694</v>
      </c>
      <c r="I783" s="698" t="s">
        <v>5684</v>
      </c>
      <c r="J783" s="698">
        <v>3</v>
      </c>
      <c r="K783" s="698" t="s">
        <v>1280</v>
      </c>
    </row>
    <row r="784" spans="1:12">
      <c r="A784" s="1034"/>
      <c r="B784" s="703">
        <v>46127</v>
      </c>
      <c r="C784" s="698" t="s">
        <v>5692</v>
      </c>
      <c r="D784" s="698" t="s">
        <v>14</v>
      </c>
      <c r="E784" s="698" t="s">
        <v>1893</v>
      </c>
      <c r="F784" s="698" t="s">
        <v>5693</v>
      </c>
      <c r="G784" s="698" t="s">
        <v>34</v>
      </c>
      <c r="H784" s="698" t="s">
        <v>5694</v>
      </c>
      <c r="I784" s="698" t="s">
        <v>5684</v>
      </c>
      <c r="J784" s="698">
        <v>3</v>
      </c>
      <c r="K784" s="698" t="s">
        <v>1280</v>
      </c>
    </row>
    <row r="785" spans="1:11">
      <c r="A785" s="1034"/>
      <c r="B785" s="703">
        <v>46128</v>
      </c>
      <c r="C785" s="698" t="s">
        <v>5692</v>
      </c>
      <c r="D785" s="698" t="s">
        <v>14</v>
      </c>
      <c r="E785" s="698" t="s">
        <v>1893</v>
      </c>
      <c r="F785" s="698" t="s">
        <v>5693</v>
      </c>
      <c r="G785" s="698" t="s">
        <v>5696</v>
      </c>
      <c r="H785" s="698" t="s">
        <v>5694</v>
      </c>
      <c r="I785" s="698" t="s">
        <v>5684</v>
      </c>
      <c r="J785" s="698">
        <v>3</v>
      </c>
      <c r="K785" s="698" t="s">
        <v>1280</v>
      </c>
    </row>
    <row r="786" spans="1:11">
      <c r="A786" s="1034"/>
      <c r="B786" s="703">
        <v>46132</v>
      </c>
      <c r="C786" s="698" t="s">
        <v>5692</v>
      </c>
      <c r="D786" s="698" t="s">
        <v>14</v>
      </c>
      <c r="E786" s="698" t="s">
        <v>1893</v>
      </c>
      <c r="F786" s="698" t="s">
        <v>5693</v>
      </c>
      <c r="G786" s="698" t="s">
        <v>5695</v>
      </c>
      <c r="H786" s="698" t="s">
        <v>5694</v>
      </c>
      <c r="I786" s="698" t="s">
        <v>5684</v>
      </c>
      <c r="J786" s="698">
        <v>3</v>
      </c>
      <c r="K786" s="698" t="s">
        <v>1280</v>
      </c>
    </row>
    <row r="787" spans="1:11">
      <c r="A787" s="1034"/>
      <c r="B787" s="703">
        <v>46135</v>
      </c>
      <c r="C787" s="698" t="s">
        <v>5692</v>
      </c>
      <c r="D787" s="698" t="s">
        <v>14</v>
      </c>
      <c r="E787" s="698" t="s">
        <v>1893</v>
      </c>
      <c r="F787" s="698" t="s">
        <v>5693</v>
      </c>
      <c r="G787" s="698" t="s">
        <v>5695</v>
      </c>
      <c r="H787" s="698" t="s">
        <v>5694</v>
      </c>
      <c r="I787" s="698" t="s">
        <v>5684</v>
      </c>
      <c r="J787" s="698">
        <v>3</v>
      </c>
      <c r="K787" s="698" t="s">
        <v>1280</v>
      </c>
    </row>
    <row r="788" spans="1:11">
      <c r="A788" s="1034"/>
      <c r="B788" s="703">
        <v>46136</v>
      </c>
      <c r="C788" s="698" t="s">
        <v>5692</v>
      </c>
      <c r="D788" s="698" t="s">
        <v>14</v>
      </c>
      <c r="E788" s="698" t="s">
        <v>1893</v>
      </c>
      <c r="F788" s="698" t="s">
        <v>5693</v>
      </c>
      <c r="G788" s="698" t="s">
        <v>5695</v>
      </c>
      <c r="H788" s="698" t="s">
        <v>5694</v>
      </c>
      <c r="I788" s="698" t="s">
        <v>5684</v>
      </c>
      <c r="J788" s="698">
        <v>3</v>
      </c>
      <c r="K788" s="698" t="s">
        <v>1280</v>
      </c>
    </row>
    <row r="789" spans="1:11">
      <c r="A789" s="1034"/>
      <c r="B789" s="703">
        <v>46137</v>
      </c>
      <c r="C789" s="698" t="s">
        <v>5692</v>
      </c>
      <c r="D789" s="698" t="s">
        <v>14</v>
      </c>
      <c r="E789" s="698" t="s">
        <v>1893</v>
      </c>
      <c r="F789" s="698" t="s">
        <v>5693</v>
      </c>
      <c r="G789" s="698" t="s">
        <v>5695</v>
      </c>
      <c r="H789" s="698" t="s">
        <v>5694</v>
      </c>
      <c r="I789" s="698" t="s">
        <v>5684</v>
      </c>
      <c r="J789" s="698">
        <v>3</v>
      </c>
      <c r="K789" s="698" t="s">
        <v>1280</v>
      </c>
    </row>
    <row r="790" spans="1:11">
      <c r="A790" s="1033" t="s">
        <v>1646</v>
      </c>
      <c r="B790" s="1033"/>
      <c r="C790" s="1033"/>
      <c r="D790" s="1033"/>
      <c r="E790" s="1033"/>
      <c r="F790" s="1033"/>
      <c r="G790" s="1033"/>
      <c r="H790" s="1033"/>
      <c r="I790" s="1033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39" t="s">
        <v>5678</v>
      </c>
      <c r="B794" s="672">
        <v>46148</v>
      </c>
      <c r="C794" s="740" t="s">
        <v>306</v>
      </c>
      <c r="D794" s="740" t="s">
        <v>322</v>
      </c>
      <c r="E794" s="718" t="s">
        <v>5400</v>
      </c>
      <c r="F794" s="718" t="s">
        <v>4939</v>
      </c>
      <c r="G794" s="718" t="s">
        <v>482</v>
      </c>
      <c r="H794" s="719" t="s">
        <v>2979</v>
      </c>
      <c r="I794" s="1047" t="s">
        <v>126</v>
      </c>
      <c r="J794" s="720">
        <v>1</v>
      </c>
      <c r="K794" s="646" t="s">
        <v>50</v>
      </c>
    </row>
    <row r="795" spans="1:11">
      <c r="A795" s="1040"/>
      <c r="B795" s="672" t="s">
        <v>5665</v>
      </c>
      <c r="C795" s="740" t="s">
        <v>306</v>
      </c>
      <c r="D795" s="740" t="s">
        <v>322</v>
      </c>
      <c r="E795" s="718" t="s">
        <v>5400</v>
      </c>
      <c r="F795" s="718">
        <v>1615</v>
      </c>
      <c r="G795" s="718" t="s">
        <v>482</v>
      </c>
      <c r="H795" s="719" t="s">
        <v>5663</v>
      </c>
      <c r="I795" s="1047" t="s">
        <v>1948</v>
      </c>
      <c r="J795" s="720">
        <v>2</v>
      </c>
      <c r="K795" s="646" t="s">
        <v>50</v>
      </c>
    </row>
    <row r="796" spans="1:11">
      <c r="A796" s="1040"/>
      <c r="B796" s="676" t="s">
        <v>5772</v>
      </c>
      <c r="C796" s="751" t="s">
        <v>306</v>
      </c>
      <c r="D796" s="751" t="s">
        <v>322</v>
      </c>
      <c r="E796" s="676" t="s">
        <v>5400</v>
      </c>
      <c r="F796" s="676" t="s">
        <v>5773</v>
      </c>
      <c r="G796" s="676" t="s">
        <v>5774</v>
      </c>
      <c r="H796" s="692" t="s">
        <v>5775</v>
      </c>
      <c r="I796" s="751" t="s">
        <v>664</v>
      </c>
      <c r="J796" s="751">
        <v>4</v>
      </c>
      <c r="K796" s="646" t="s">
        <v>50</v>
      </c>
    </row>
    <row r="797" spans="1:11">
      <c r="A797" s="1040"/>
      <c r="B797" s="748" t="s">
        <v>5871</v>
      </c>
      <c r="C797" s="749" t="s">
        <v>306</v>
      </c>
      <c r="D797" s="749" t="s">
        <v>322</v>
      </c>
      <c r="E797" s="748" t="s">
        <v>5400</v>
      </c>
      <c r="F797" s="748">
        <v>1615</v>
      </c>
      <c r="G797" s="748" t="s">
        <v>1911</v>
      </c>
      <c r="H797" s="750" t="s">
        <v>1057</v>
      </c>
      <c r="I797" s="751" t="s">
        <v>5447</v>
      </c>
      <c r="J797" s="678">
        <v>1</v>
      </c>
      <c r="K797" s="646" t="s">
        <v>50</v>
      </c>
    </row>
    <row r="798" spans="1:11">
      <c r="A798" s="1040"/>
      <c r="B798" s="748" t="s">
        <v>5872</v>
      </c>
      <c r="C798" s="749" t="s">
        <v>306</v>
      </c>
      <c r="D798" s="749" t="s">
        <v>322</v>
      </c>
      <c r="E798" s="748" t="s">
        <v>5400</v>
      </c>
      <c r="F798" s="748">
        <v>1571</v>
      </c>
      <c r="G798" s="748" t="s">
        <v>1911</v>
      </c>
      <c r="H798" s="750" t="s">
        <v>5873</v>
      </c>
      <c r="I798" s="751" t="s">
        <v>5447</v>
      </c>
      <c r="J798" s="678">
        <v>2</v>
      </c>
      <c r="K798" s="646" t="s">
        <v>50</v>
      </c>
    </row>
    <row r="799" spans="1:11">
      <c r="A799" s="1040"/>
      <c r="B799" s="748" t="s">
        <v>5876</v>
      </c>
      <c r="C799" s="749" t="s">
        <v>306</v>
      </c>
      <c r="D799" s="749" t="s">
        <v>322</v>
      </c>
      <c r="E799" s="748" t="s">
        <v>5400</v>
      </c>
      <c r="F799" s="748" t="s">
        <v>5773</v>
      </c>
      <c r="G799" s="748" t="s">
        <v>1047</v>
      </c>
      <c r="H799" s="750" t="s">
        <v>5873</v>
      </c>
      <c r="I799" s="751" t="s">
        <v>5447</v>
      </c>
      <c r="J799" s="678">
        <v>2</v>
      </c>
      <c r="K799" s="646" t="s">
        <v>50</v>
      </c>
    </row>
    <row r="800" spans="1:11">
      <c r="A800" s="1040"/>
      <c r="B800" s="672" t="s">
        <v>5862</v>
      </c>
      <c r="C800" s="660" t="s">
        <v>19</v>
      </c>
      <c r="D800" s="660" t="s">
        <v>25</v>
      </c>
      <c r="E800" s="748" t="s">
        <v>5849</v>
      </c>
      <c r="F800" s="661" t="s">
        <v>5858</v>
      </c>
      <c r="G800" s="664" t="s">
        <v>331</v>
      </c>
      <c r="H800" s="755" t="s">
        <v>5864</v>
      </c>
      <c r="I800" s="751" t="s">
        <v>664</v>
      </c>
      <c r="J800" s="755">
        <v>2</v>
      </c>
      <c r="K800" s="646" t="s">
        <v>50</v>
      </c>
    </row>
    <row r="801" spans="1:11">
      <c r="A801" s="1040"/>
      <c r="B801" s="672">
        <v>46171</v>
      </c>
      <c r="C801" s="660" t="s">
        <v>19</v>
      </c>
      <c r="D801" s="660" t="s">
        <v>25</v>
      </c>
      <c r="E801" s="748" t="s">
        <v>5849</v>
      </c>
      <c r="F801" s="661" t="s">
        <v>5858</v>
      </c>
      <c r="G801" s="748" t="s">
        <v>18</v>
      </c>
      <c r="H801" s="750" t="s">
        <v>5861</v>
      </c>
      <c r="I801" s="751" t="s">
        <v>664</v>
      </c>
      <c r="J801" s="755">
        <v>2</v>
      </c>
      <c r="K801" s="646" t="s">
        <v>50</v>
      </c>
    </row>
    <row r="802" spans="1:11">
      <c r="A802" s="1033" t="s">
        <v>1646</v>
      </c>
      <c r="B802" s="1033"/>
      <c r="C802" s="1033"/>
      <c r="D802" s="1033"/>
      <c r="E802" s="1033"/>
      <c r="F802" s="1033"/>
      <c r="G802" s="1033"/>
      <c r="H802" s="1033"/>
      <c r="I802" s="1033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48" t="s">
        <v>6006</v>
      </c>
      <c r="B806" s="691">
        <v>46140</v>
      </c>
      <c r="C806" s="751" t="s">
        <v>21</v>
      </c>
      <c r="D806" s="751" t="s">
        <v>14</v>
      </c>
      <c r="E806" s="754" t="s">
        <v>78</v>
      </c>
      <c r="F806" s="756" t="s">
        <v>3008</v>
      </c>
      <c r="G806" s="675" t="s">
        <v>1382</v>
      </c>
      <c r="H806" s="756" t="s">
        <v>6007</v>
      </c>
      <c r="I806" s="754" t="s">
        <v>202</v>
      </c>
      <c r="J806" s="754">
        <v>1</v>
      </c>
      <c r="K806" s="646" t="s">
        <v>50</v>
      </c>
    </row>
    <row r="807" spans="1:11">
      <c r="A807" s="1049"/>
      <c r="B807" s="691">
        <v>46148</v>
      </c>
      <c r="C807" s="646" t="s">
        <v>21</v>
      </c>
      <c r="D807" s="646" t="s">
        <v>14</v>
      </c>
      <c r="E807" s="753" t="s">
        <v>107</v>
      </c>
      <c r="F807" s="685" t="s">
        <v>2959</v>
      </c>
      <c r="G807" s="648" t="s">
        <v>143</v>
      </c>
      <c r="H807" s="753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49"/>
      <c r="B808" s="691">
        <v>46149</v>
      </c>
      <c r="C808" s="646" t="s">
        <v>21</v>
      </c>
      <c r="D808" s="646" t="s">
        <v>14</v>
      </c>
      <c r="E808" s="753" t="s">
        <v>107</v>
      </c>
      <c r="F808" s="685" t="s">
        <v>2959</v>
      </c>
      <c r="G808" s="648" t="s">
        <v>143</v>
      </c>
      <c r="H808" s="753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49"/>
      <c r="B809" s="691">
        <v>46150</v>
      </c>
      <c r="C809" s="751" t="s">
        <v>21</v>
      </c>
      <c r="D809" s="751" t="s">
        <v>14</v>
      </c>
      <c r="E809" s="754" t="s">
        <v>1787</v>
      </c>
      <c r="F809" s="754" t="s">
        <v>2817</v>
      </c>
      <c r="G809" s="675" t="s">
        <v>67</v>
      </c>
      <c r="H809" s="756" t="s">
        <v>6008</v>
      </c>
      <c r="I809" s="754" t="s">
        <v>120</v>
      </c>
      <c r="J809" s="756">
        <v>1</v>
      </c>
      <c r="K809" s="646" t="s">
        <v>50</v>
      </c>
    </row>
    <row r="810" spans="1:11">
      <c r="A810" s="1049"/>
      <c r="B810" s="676" t="s">
        <v>5877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6009</v>
      </c>
      <c r="I810" s="676" t="s">
        <v>5879</v>
      </c>
      <c r="J810" s="676">
        <v>1</v>
      </c>
      <c r="K810" s="646" t="s">
        <v>50</v>
      </c>
    </row>
    <row r="811" spans="1:11">
      <c r="A811" s="1049"/>
      <c r="B811" s="676" t="s">
        <v>5871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5760</v>
      </c>
      <c r="I811" s="692"/>
      <c r="J811" s="692">
        <v>2</v>
      </c>
      <c r="K811" s="646" t="s">
        <v>50</v>
      </c>
    </row>
    <row r="812" spans="1:11">
      <c r="A812" s="1033" t="s">
        <v>1646</v>
      </c>
      <c r="B812" s="1033"/>
      <c r="C812" s="1033"/>
      <c r="D812" s="1033"/>
      <c r="E812" s="1033"/>
      <c r="F812" s="1033"/>
      <c r="G812" s="1033"/>
      <c r="H812" s="1033"/>
      <c r="I812" s="1033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1">
      <c r="A817" s="785" t="s">
        <v>6012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6" t="s">
        <v>6010</v>
      </c>
      <c r="I817" s="754" t="s">
        <v>202</v>
      </c>
      <c r="J817" s="754">
        <v>2</v>
      </c>
      <c r="K817" s="646" t="s">
        <v>50</v>
      </c>
    </row>
    <row r="818" spans="1:11">
      <c r="A818" s="785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6" t="s">
        <v>6011</v>
      </c>
      <c r="I818" s="754" t="s">
        <v>202</v>
      </c>
      <c r="J818" s="754">
        <v>2</v>
      </c>
      <c r="K818" s="646" t="s">
        <v>50</v>
      </c>
    </row>
    <row r="819" spans="1:11">
      <c r="A819" s="1033" t="s">
        <v>1646</v>
      </c>
      <c r="B819" s="1033"/>
      <c r="C819" s="1033"/>
      <c r="D819" s="1033"/>
      <c r="E819" s="1033"/>
      <c r="F819" s="1033"/>
      <c r="G819" s="1033"/>
      <c r="H819" s="1033"/>
      <c r="I819" s="1033"/>
      <c r="J819" s="646">
        <f>SUM(J813:J818)</f>
        <v>4</v>
      </c>
      <c r="K819" s="687"/>
    </row>
    <row r="823" spans="1:11" ht="37.5">
      <c r="B823" s="1050" t="s">
        <v>6029</v>
      </c>
    </row>
    <row r="825" spans="1:11">
      <c r="B825" s="700" t="s">
        <v>5688</v>
      </c>
    </row>
    <row r="826" spans="1:11">
      <c r="B826" s="701"/>
    </row>
    <row r="827" spans="1:11">
      <c r="B827" s="702" t="s">
        <v>5689</v>
      </c>
    </row>
    <row r="828" spans="1:11">
      <c r="B828" s="702" t="s">
        <v>5690</v>
      </c>
    </row>
    <row r="829" spans="1:11">
      <c r="B829" s="702" t="s">
        <v>5691</v>
      </c>
    </row>
    <row r="830" spans="1:11">
      <c r="B830" s="702" t="s">
        <v>6018</v>
      </c>
    </row>
    <row r="831" spans="1:11">
      <c r="B831" s="702" t="s">
        <v>6019</v>
      </c>
    </row>
    <row r="832" spans="1:11">
      <c r="B832" s="702" t="s">
        <v>6020</v>
      </c>
    </row>
    <row r="833" spans="1:6">
      <c r="B833" s="702" t="s">
        <v>6021</v>
      </c>
    </row>
    <row r="834" spans="1:6">
      <c r="B834" s="701" t="s">
        <v>6022</v>
      </c>
    </row>
    <row r="835" spans="1:6">
      <c r="B835" s="700" t="s">
        <v>6023</v>
      </c>
    </row>
    <row r="836" spans="1:6">
      <c r="B836" s="701"/>
    </row>
    <row r="837" spans="1:6">
      <c r="B837" s="702" t="s">
        <v>6024</v>
      </c>
    </row>
    <row r="838" spans="1:6">
      <c r="B838" s="702" t="s">
        <v>6025</v>
      </c>
    </row>
    <row r="839" spans="1:6">
      <c r="B839" s="702" t="s">
        <v>6026</v>
      </c>
    </row>
    <row r="840" spans="1:6">
      <c r="A840" s="1051"/>
      <c r="B840" s="702" t="s">
        <v>6027</v>
      </c>
    </row>
    <row r="841" spans="1:6">
      <c r="B841" s="702" t="s">
        <v>6028</v>
      </c>
    </row>
    <row r="844" spans="1:6" ht="37.5">
      <c r="B844" s="1050" t="s">
        <v>6030</v>
      </c>
    </row>
    <row r="846" spans="1:6">
      <c r="A846" s="1051"/>
      <c r="B846" s="702" t="s">
        <v>6031</v>
      </c>
      <c r="F846" t="s">
        <v>6033</v>
      </c>
    </row>
    <row r="847" spans="1:6">
      <c r="A847" s="1051"/>
      <c r="B847" s="702" t="s">
        <v>6032</v>
      </c>
      <c r="F847" t="s">
        <v>6034</v>
      </c>
    </row>
  </sheetData>
  <autoFilter ref="A349:L357"/>
  <mergeCells count="327">
    <mergeCell ref="A794:A801"/>
    <mergeCell ref="A802:I802"/>
    <mergeCell ref="A812:I812"/>
    <mergeCell ref="A806:A811"/>
    <mergeCell ref="A819:I819"/>
    <mergeCell ref="A817:A818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825" r:id="rId1" display="2026-04-24"/>
    <hyperlink ref="B827" r:id="rId2" display="2026-04-27"/>
    <hyperlink ref="B828" r:id="rId3" display="2026-04-28"/>
    <hyperlink ref="B829" r:id="rId4" display="2026-04-29"/>
    <hyperlink ref="B830" r:id="rId5" display="2026-05-06"/>
    <hyperlink ref="B831" r:id="rId6" display="2026-05-07"/>
    <hyperlink ref="B832" r:id="rId7" display="2026-05-08"/>
    <hyperlink ref="B833" r:id="rId8" display="2026-05-11"/>
    <hyperlink ref="B835" r:id="rId9" display="2026-05-13"/>
    <hyperlink ref="B837" r:id="rId10" display="2026-05-14"/>
    <hyperlink ref="B838" r:id="rId11" display="2026-05-15"/>
    <hyperlink ref="B839" r:id="rId12" display="2026-05-16"/>
    <hyperlink ref="B840" r:id="rId13" display="2026-05-18"/>
    <hyperlink ref="B841" r:id="rId14" display="2026-05-19"/>
    <hyperlink ref="B846" r:id="rId15" display="2026-05-11"/>
    <hyperlink ref="B847" r:id="rId16" display="2026-05-12"/>
  </hyperlinks>
  <pageMargins left="0.7" right="0.7" top="0.75" bottom="0.75" header="0.3" footer="0.3"/>
  <pageSetup paperSize="9" scale="77" orientation="landscape" horizontalDpi="4294967292" r:id="rId1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5" t="s">
        <v>5385</v>
      </c>
      <c r="I12" s="785"/>
      <c r="J12" s="785"/>
      <c r="K12" s="785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5" t="s">
        <v>5386</v>
      </c>
      <c r="I20" s="785"/>
      <c r="J20" s="785"/>
      <c r="K20" s="785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2026-06-02T05:33:55Z</dcterms:modified>
</cp:coreProperties>
</file>