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9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<sst xmlns="http://schemas.openxmlformats.org/spreadsheetml/2006/main" count="29592" uniqueCount="7279">
  <si>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</si>
  <si>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</si>
  <si>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</si>
  <si>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</si>
  <si>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</si>
  <si>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</si>
  <si>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</si>
  <si>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</si>
  <si>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</si>
  <si>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</si>
  <si>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</si>
  <si>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</si>
  <si>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</si>
  <si>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</si>
  <si>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</si>
  <si>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</si>
  <si>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</si>
  <si>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</si>
  <si>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</si>
  <si>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</si>
  <si>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</si>
  <si>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</si>
  <si>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</si>
  <si>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</si>
  <si>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</si>
  <si>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</si>
  <si>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</si>
  <si>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</si>
  <si>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</si>
  <si>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</si>
  <si>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</si>
  <si>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</si>
  <si>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</si>
  <si>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</si>
  <si>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</si>
  <si>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</si>
  <si>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</si>
  <si>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</si>
  <si>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</si>
  <si>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</si>
  <si>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</si>
  <si>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</si>
  <si>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</si>
  <si>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</si>
  <si>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</si>
  <si>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</si>
  <si>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</si>
  <si>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</si>
  <si>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</si>
  <si>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</si>
  <si>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</si>
  <si>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</si>
  <si>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</si>
  <si>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</si>
  <si>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</si>
  <si>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</si>
  <si>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</si>
  <si>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</si>
  <si>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</si>
  <si>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</si>
  <si>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</si>
  <si>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</si>
  <si>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</si>
  <si>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</si>
  <si>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</si>
  <si>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</si>
  <si>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</si>
  <si>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</si>
  <si>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</si>
  <si>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</si>
  <si>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</si>
  <si>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</si>
  <si>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</si>
  <si>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</si>
  <si>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</si>
  <si>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</si>
  <si>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</si>
  <si>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</si>
  <si>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</si>
  <si>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</si>
  <si>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</si>
  <si>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</si>
  <si>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</si>
  <si>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</si>
  <si>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</si>
  <si>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</si>
  <si>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</si>
  <si>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</si>
  <si>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</si>
  <si>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</si>
  <si>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</si>
  <si>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</si>
  <si>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</si>
  <si>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</si>
  <si>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</si>
  <si>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</si>
  <si>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</si>
  <si>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</si>
  <si>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</si>
  <si>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</si>
  <si>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</si>
  <si>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</si>
  <si>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</si>
  <si>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</si>
  <si>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</si>
  <si>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</si>
  <si>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</si>
  <si>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</si>
  <si>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</si>
  <si>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</si>
  <si>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</si>
  <si>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</si>
  <si>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</si>
  <si>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</si>
  <si>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</si>
  <si>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</si>
  <si>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</si>
  <si>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</si>
  <si>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</si>
  <si>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</si>
  <si>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</si>
  <si>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</si>
  <si>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</si>
  <si>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</si>
  <si>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</si>
  <si>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</si>
  <si>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</si>
  <si>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</si>
  <si>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</si>
  <si>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</si>
  <si>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</si>
  <si>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</si>
  <si>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</si>
  <si>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</si>
  <si>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</si>
  <si>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</si>
  <si>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</si>
  <si>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</si>
  <si>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</si>
  <si>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</si>
  <si>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</si>
  <si>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</si>
  <si>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</si>
  <si>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</si>
  <si>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</si>
  <si>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</si>
  <si>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</si>
  <si>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</si>
  <si>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</si>
  <si>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</si>
  <si>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</si>
  <si>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</si>
  <si>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</si>
  <si>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</si>
  <si>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</si>
  <si>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</si>
  <si>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</si>
  <si>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</si>
  <si>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</si>
  <si>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</si>
  <si>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</si>
  <si>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</si>
  <si>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</si>
  <si>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</si>
  <si>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</si>
  <si>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</si>
  <si>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</si>
  <si>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</si>
  <si>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</si>
  <si>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</si>
  <si>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</si>
  <si>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</si>
  <si>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</si>
  <si>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</si>
  <si>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</si>
  <si>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</si>
  <si>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</si>
  <si>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</si>
  <si>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</si>
  <si>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</si>
  <si>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</si>
  <si>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</si>
  <si>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</si>
  <si>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</si>
  <si>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</si>
  <si>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</si>
  <si>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</si>
  <si>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</si>
  <si>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</si>
  <si>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</si>
  <si>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</si>
  <si>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</si>
  <si>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</si>
  <si>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</si>
  <si>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</si>
  <si>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</si>
  <si>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</si>
  <si>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</si>
  <si>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</si>
  <si>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</si>
  <si>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</si>
  <si>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</si>
  <si>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</si>
  <si>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</si>
  <si>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</si>
  <si>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</si>
  <si>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</si>
  <si>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</si>
  <si>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</si>
  <si>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</si>
  <si>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</si>
  <si>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</si>
  <si>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</si>
  <si>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</si>
  <si>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</si>
  <si>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</si>
  <si>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</si>
  <si>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</si>
  <si>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</si>
  <si>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</si>
  <si>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</si>
  <si>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</si>
  <si>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</si>
  <si>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</si>
  <si>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</si>
  <si>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</si>
  <si>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</si>
  <si>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</si>
  <si>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</si>
  <si>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</si>
  <si>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</si>
  <si>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</si>
  <si>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</si>
  <si>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</si>
  <si>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</si>
  <si>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</si>
  <si>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</si>
  <si>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</si>
  <si>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</si>
  <si>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</si>
  <si>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</si>
  <si>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</si>
  <si>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</si>
  <si>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</si>
  <si>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</si>
  <si>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</si>
  <si>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</si>
  <si>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</si>
  <si>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</si>
  <si>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</si>
  <si>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</si>
  <si>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</si>
  <si>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</si>
  <si>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</si>
  <si>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</si>
  <si>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</si>
  <si>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</si>
  <si>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</si>
  <si>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</si>
  <si>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</si>
  <si>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</si>
  <si>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</si>
  <si>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</si>
  <si>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</si>
  <si>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</si>
  <si>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</si>
  <si>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</si>
  <si>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</si>
  <si>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</si>
  <si>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</si>
  <si>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</si>
  <si>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</si>
  <si>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</si>
  <si>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</si>
  <si>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</si>
  <si>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</si>
  <si>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</si>
  <si>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</si>
  <si>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</si>
  <si>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</si>
  <si>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</si>
  <si>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</si>
  <si>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</si>
  <si>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</si>
  <si>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</si>
  <si>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</si>
  <si>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</si>
  <si>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</si>
  <si>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</si>
  <si>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</si>
  <si>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</si>
  <si>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</si>
  <si>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</si>
  <si>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</si>
  <si>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</si>
  <si>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</si>
  <si>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</si>
  <si>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</si>
  <si>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</si>
  <si>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</si>
  <si>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</si>
  <si>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</si>
  <si>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</si>
  <si>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</si>
  <si>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</si>
  <si>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</si>
  <si>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</si>
  <si>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</si>
  <si>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</si>
  <si>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</si>
  <si>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</si>
  <si>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</si>
  <si>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</si>
  <si>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</si>
  <si>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</si>
  <si>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</si>
  <si>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</si>
  <si>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</si>
  <si>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</si>
  <si>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</si>
  <si>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</si>
  <si>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</si>
  <si>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</si>
  <si>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</si>
  <si>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</si>
  <si>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</si>
  <si>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</si>
  <si>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</si>
  <si>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</si>
  <si>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</si>
  <si>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</si>
  <si>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</si>
  <si>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</si>
  <si>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</si>
  <si>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</si>
  <si>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</si>
  <si>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</si>
  <si>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</si>
  <si>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</si>
  <si>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</si>
  <si>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</si>
  <si>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</si>
  <si>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</si>
  <si>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</si>
  <si>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</si>
  <si>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</si>
  <si>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</si>
  <si>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</si>
  <si>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</si>
  <si>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</si>
  <si>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</si>
  <si>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</si>
  <si>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</si>
  <si>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</si>
  <si>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</si>
  <si>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</si>
  <si>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</si>
  <si>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</si>
  <si>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</si>
  <si>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</si>
  <si>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</si>
  <si>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</si>
  <si>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</si>
  <si>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</si>
  <si>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</si>
  <si>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</si>
  <si>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</si>
  <si>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</si>
  <si>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</si>
  <si>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</si>
  <si>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</si>
  <si>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</si>
  <si>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</si>
  <si>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</si>
  <si>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</si>
  <si>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</si>
  <si>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</si>
  <si>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</si>
  <si>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</si>
  <si>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</si>
  <si>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</si>
  <si>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</si>
  <si>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</si>
  <si>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</si>
  <si>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</si>
  <si>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</si>
  <si>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</si>
  <si>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</si>
  <si>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</si>
  <si>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</si>
  <si>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</si>
  <si>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</si>
  <si>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</si>
  <si>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</si>
  <si>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</si>
  <si>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</si>
  <si>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</si>
  <si>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</si>
  <si>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</si>
  <si>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</si>
  <si>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</si>
  <si>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</si>
  <si>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</si>
  <si>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</si>
  <si>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</si>
  <si>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</si>
  <si>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</si>
  <si>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</si>
  <si>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</si>
  <si>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</si>
  <si>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</si>
  <si>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</si>
  <si>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</si>
  <si>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</si>
  <si>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</si>
  <si>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</si>
  <si>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</si>
  <si>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</si>
  <si>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</si>
  <si>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</si>
  <si>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</si>
  <si>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</si>
  <si>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</si>
  <si>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</si>
  <si>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</si>
  <si>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</si>
  <si>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</si>
  <si>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</si>
  <si>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</si>
  <si>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</si>
  <si>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</si>
  <si>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</si>
  <si>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</si>
  <si>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</si>
  <si>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</si>
  <si>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</si>
  <si>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</si>
  <si>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</si>
  <si>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</si>
  <si>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</si>
  <si>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</si>
  <si>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</si>
  <si>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</si>
  <si>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</si>
  <si>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</si>
  <si>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</si>
  <si>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</si>
  <si>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</si>
  <si>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</si>
  <si>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</si>
  <si>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</si>
  <si>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</si>
  <si>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</si>
  <si>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</si>
  <si>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</si>
  <si>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</si>
  <si>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</si>
  <si>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</si>
  <si>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</si>
  <si>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</si>
  <si>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</si>
  <si>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</si>
  <si>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</si>
  <si>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</si>
  <si>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</si>
  <si>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</si>
  <si>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</si>
  <si>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</si>
  <si>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</si>
  <si>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</si>
  <si>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</si>
  <si>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</si>
  <si>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</si>
  <si>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</si>
  <si>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</si>
  <si>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</si>
  <si>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</si>
  <si>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</si>
  <si>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</si>
  <si>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</si>
  <si>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</si>
  <si>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</si>
  <si>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</si>
  <si>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</si>
  <si>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</si>
  <si>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</si>
  <si>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</si>
  <si>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</si>
  <si>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</si>
  <si>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</si>
  <si>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</si>
  <si>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</si>
  <si>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</si>
  <si>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</si>
  <si>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</si>
  <si>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</si>
  <si>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</si>
  <si>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</si>
  <si>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</si>
  <si>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</si>
  <si>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</si>
  <si>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</si>
  <si>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</si>
  <si>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</si>
  <si>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</si>
  <si>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</si>
  <si>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</si>
  <si>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</si>
  <si>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</si>
  <si>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</si>
  <si>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</si>
  <si>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</si>
  <si>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</si>
  <si>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</si>
  <si>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</si>
  <si>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</si>
  <si>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</si>
  <si>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</si>
  <si>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</si>
  <si>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</si>
  <si>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</si>
  <si>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</si>
  <si>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</si>
  <si>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</si>
  <si>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</si>
  <si>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</si>
  <si>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</si>
  <si>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</si>
  <si>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</si>
  <si>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</si>
  <si>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</si>
  <si>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</si>
  <si>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</si>
  <si>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</si>
  <si>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</si>
  <si>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</si>
  <si>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</si>
  <si>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</si>
  <si>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</si>
  <si>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</si>
  <si>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</si>
  <si>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</si>
  <si>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</si>
  <si>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</si>
  <si>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</si>
  <si>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</si>
  <si>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</si>
  <si>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</si>
  <si>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</si>
  <si>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</si>
  <si>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</si>
  <si>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</si>
  <si>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</si>
  <si>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</si>
  <si>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</si>
  <si>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</si>
  <si>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</si>
  <si>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</si>
  <si>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</si>
  <si>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</si>
  <si>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</si>
  <si>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</si>
  <si>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</si>
  <si>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</si>
  <si>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</si>
  <si>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</si>
  <si>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</si>
  <si>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</si>
  <si>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</si>
  <si>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</si>
  <si>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</si>
  <si>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</si>
  <si>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</si>
  <si>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</si>
  <si>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</si>
  <si>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</si>
  <si>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</si>
  <si>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</si>
  <si>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</si>
  <si>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</si>
  <si>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</si>
  <si>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</si>
  <si>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</si>
  <si>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</si>
  <si>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</si>
  <si>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</si>
  <si>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</si>
  <si>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</si>
  <si>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</si>
  <si>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</si>
  <si>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</si>
  <si>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</si>
  <si>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</si>
  <si>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</si>
  <si>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</si>
  <si>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</si>
  <si>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</si>
  <si>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</si>
  <si>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</si>
  <si>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</si>
  <si>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</si>
  <si>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</si>
  <si>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</si>
  <si>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</si>
  <si>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</si>
  <si>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</si>
  <si>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</si>
  <si>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</si>
  <si>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</si>
  <si>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</si>
  <si>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</si>
  <si>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</si>
  <si>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</si>
  <si>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</si>
  <si>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</si>
  <si>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</si>
  <si>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</si>
  <si>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</si>
  <si>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</si>
  <si>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</si>
  <si>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</si>
  <si>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</si>
  <si>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</si>
  <si>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</si>
  <si>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</si>
  <si>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</si>
  <si>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</si>
  <si>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</si>
  <si>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</si>
  <si>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</si>
  <si>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</si>
  <si>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</si>
  <si>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</si>
  <si>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</si>
  <si>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</si>
  <si>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</si>
  <si>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</si>
  <si>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</si>
  <si>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</si>
  <si>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</si>
  <si>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</si>
  <si>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</si>
  <si>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</si>
  <si>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</si>
  <si>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</si>
  <si>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</si>
  <si>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</si>
  <si>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</si>
  <si>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</si>
  <si>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</si>
  <si>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</si>
  <si>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</si>
  <si>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</si>
  <si>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</si>
  <si>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</si>
  <si>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</si>
  <si>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</si>
  <si>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</si>
  <si>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</si>
  <si>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</si>
  <si>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</si>
  <si>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</si>
  <si>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</si>
  <si>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</si>
  <si>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</si>
  <si>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</si>
  <si>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</si>
  <si>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</si>
  <si>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</si>
  <si>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</si>
  <si>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</si>
  <si>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</si>
  <si>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</si>
  <si>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</si>
  <si>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</si>
  <si>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</si>
  <si>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</si>
  <si>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</si>
  <si>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</si>
  <si>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</si>
  <si>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</si>
  <si>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</si>
  <si>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</si>
  <si>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</si>
  <si>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</si>
  <si>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</si>
  <si>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</si>
  <si>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</si>
  <si>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</si>
  <si>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</si>
  <si>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</si>
  <si>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</si>
  <si>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</si>
  <si>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</si>
  <si>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</si>
  <si>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</si>
  <si>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</si>
  <si>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</si>
  <si>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</si>
  <si>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</si>
  <si>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</si>
  <si>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</si>
  <si>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</si>
  <si>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</si>
  <si>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</si>
  <si>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</si>
  <si>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</si>
  <si>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</si>
  <si>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</si>
  <si>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</si>
  <si>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</si>
  <si>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</si>
  <si>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</si>
  <si>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</si>
  <si>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</si>
  <si>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</si>
  <si>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</si>
  <si>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</si>
  <si>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</si>
  <si>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</si>
  <si>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</si>
  <si>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</si>
  <si>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</si>
  <si>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</si>
  <si>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</si>
  <si>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</si>
  <si>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</si>
  <si>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</si>
  <si>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</si>
  <si>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</si>
  <si>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</si>
  <si>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</si>
  <si>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</si>
  <si>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</si>
  <si>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</si>
  <si>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</si>
  <si>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</si>
  <si>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</si>
  <si>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</si>
  <si>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</si>
  <si>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</si>
  <si>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</si>
  <si>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</si>
  <si>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</si>
  <si>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</si>
  <si>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</si>
  <si>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</si>
  <si>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</si>
  <si>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</si>
  <si>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</si>
  <si>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</si>
  <si>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</si>
  <si>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</si>
  <si>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</si>
  <si>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</si>
  <si>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</si>
  <si>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</si>
  <si>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</si>
  <si>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</si>
  <si>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</si>
  <si>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</si>
  <si>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</si>
  <si>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</si>
  <si>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</si>
  <si>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</si>
  <si>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</si>
  <si>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</si>
  <si>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</si>
  <si>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</si>
  <si>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</si>
  <si>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</si>
  <si>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</si>
  <si>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</si>
  <si>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</si>
  <si>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</si>
  <si>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</si>
  <si>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</si>
  <si>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</si>
  <si>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</si>
  <si>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</si>
  <si>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</si>
  <si>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</si>
  <si>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</si>
  <si>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</si>
  <si>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</si>
  <si>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</si>
  <si>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</si>
  <si>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</si>
  <si>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</si>
  <si>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</si>
  <si>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</si>
  <si>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</si>
  <si>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</si>
  <si>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</si>
  <si>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</si>
  <si>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</si>
  <si>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</si>
  <si>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</si>
  <si>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</si>
  <si>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</si>
  <si>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</si>
  <si>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</si>
  <si>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</si>
  <si>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</si>
  <si>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</si>
  <si>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</si>
  <si>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</si>
  <si>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</si>
  <si>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</si>
  <si>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</si>
  <si>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</si>
  <si>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</si>
  <si>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</si>
  <si>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</si>
  <si>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</si>
  <si>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</si>
  <si>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</si>
  <si>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</si>
  <si>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</si>
  <si>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</si>
  <si>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</si>
  <si>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</si>
  <si>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</si>
  <si>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</si>
  <si>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</si>
  <si>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</si>
  <si>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</si>
  <si>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</si>
  <si>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</si>
  <si>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</si>
  <si>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</si>
  <si>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</si>
  <si>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</si>
  <si>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</si>
  <si>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</si>
  <si>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</si>
  <si>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</si>
  <si>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</si>
  <si>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</si>
  <si>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</si>
  <si>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</si>
  <si>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</si>
  <si>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</si>
  <si>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</si>
  <si>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</si>
  <si>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</si>
  <si>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</si>
  <si>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</si>
  <si>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</si>
  <si>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</si>
  <si>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</si>
  <si>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</si>
  <si>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</si>
  <si>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</si>
  <si>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</si>
  <si>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</si>
  <si>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</si>
  <si>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</si>
  <si>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</si>
  <si>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</si>
  <si>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</si>
  <si>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</si>
  <si>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</si>
  <si>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</si>
  <si>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</si>
  <si>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</si>
  <si>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</si>
  <si>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</si>
  <si>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</si>
  <si>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</si>
  <si>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</si>
  <si>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</si>
  <si>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</si>
  <si>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</si>
  <si>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</si>
  <si>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</si>
  <si>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</si>
  <si>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</si>
  <si>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</si>
  <si>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</si>
  <si>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</si>
  <si>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</si>
  <si>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</si>
  <si>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</si>
  <si>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</si>
  <si>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</si>
  <si>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</si>
  <si>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</si>
  <si>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</si>
  <si>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</si>
  <si>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</si>
  <si>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</si>
  <si>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</si>
  <si>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</si>
  <si>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</si>
  <si>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</si>
  <si>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</si>
  <si>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</si>
  <si>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</si>
  <si>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</si>
  <si>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</si>
  <si>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</si>
  <si>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</si>
  <si>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</si>
  <si>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</si>
  <si>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</si>
  <si>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</si>
  <si>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</si>
  <si>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</si>
  <si>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</si>
  <si>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</si>
  <si>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</si>
  <si>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</si>
  <si>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</si>
  <si>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</si>
  <si>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</si>
  <si>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</si>
  <si>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</si>
  <si>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</si>
  <si>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</si>
  <si>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</si>
  <si>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</si>
  <si>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</si>
  <si>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</si>
  <si>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</si>
  <si>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</si>
  <si>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</si>
  <si>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</si>
  <si>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</si>
  <si>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</si>
  <si>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</si>
  <si>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</si>
  <si>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</si>
  <si>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</si>
  <si>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</si>
  <si>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</si>
  <si>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</si>
  <si>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</si>
  <si>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</si>
  <si>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</si>
  <si>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</si>
  <si>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</si>
  <si>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</si>
  <si>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</si>
  <si>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</si>
  <si>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</si>
  <si>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</si>
  <si>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</si>
  <si>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</si>
  <si>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</si>
  <si>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</si>
  <si>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</si>
  <si>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</si>
  <si>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</si>
  <si>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</si>
  <si>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</si>
  <si>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</si>
  <si>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</si>
  <si>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</si>
  <si>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</si>
  <si>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</si>
  <si>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</si>
  <si>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</si>
  <si>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</si>
  <si>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</si>
  <si>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</si>
  <si>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</si>
  <si>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</si>
  <si>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</si>
  <si>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</si>
  <si>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</si>
  <si>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</si>
  <si>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</si>
  <si>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</si>
  <si>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</si>
  <si>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</si>
  <si>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</si>
  <si>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</si>
  <si>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</si>
  <si>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</si>
  <si>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</si>
  <si>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</si>
  <si>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</si>
  <si>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</si>
  <si>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</si>
  <si>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</si>
  <si>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</si>
  <si>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</si>
  <si>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</si>
  <si>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</si>
  <si>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</si>
  <si>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</si>
  <si>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</si>
  <si>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</si>
  <si>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</si>
  <si>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</si>
  <si>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</si>
  <si>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</si>
  <si>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</si>
  <si>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</si>
  <si>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</si>
  <si>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</si>
  <si>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</si>
  <si>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</si>
  <si>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</si>
  <si>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</si>
  <si>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</si>
  <si>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</si>
  <si>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</si>
  <si>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</si>
  <si>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</si>
  <si>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</si>
  <si>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</si>
  <si>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</si>
  <si>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</si>
  <si>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</si>
  <si>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</si>
  <si>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</si>
  <si>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</si>
  <si>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</si>
  <si>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</si>
  <si>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</si>
  <si>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</si>
  <si>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</si>
  <si>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</si>
  <si>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</si>
  <si>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</si>
  <si>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</si>
  <si>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</si>
  <si>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</si>
  <si>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</si>
  <si>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</si>
  <si>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</si>
  <si>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</si>
  <si>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</si>
  <si>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</si>
  <si>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</si>
  <si>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</si>
  <si>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</si>
  <si>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</si>
  <si>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</si>
  <si>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</si>
  <si>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</si>
  <si>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</si>
  <si>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</si>
  <si>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</si>
  <si>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</si>
  <si>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</si>
  <si>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</si>
  <si>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</si>
  <si>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</si>
  <si>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</si>
  <si>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</si>
  <si>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</si>
  <si>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</si>
  <si>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</si>
  <si>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</si>
  <si>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</si>
  <si>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</si>
  <si>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</si>
  <si>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</si>
  <si>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</si>
  <si>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</si>
  <si>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</si>
  <si>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</si>
  <si>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</si>
  <si>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</si>
  <si>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</si>
  <si>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</si>
  <si>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</si>
  <si>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</si>
  <si>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</si>
  <si>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</si>
  <si>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</si>
  <si>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</si>
  <si>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</si>
  <si>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</si>
  <si>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</si>
  <si>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</si>
  <si>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</si>
  <si>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</si>
  <si>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</si>
  <si>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</si>
  <si>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</si>
  <si>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</si>
  <si>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</si>
  <si>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</si>
  <si>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</si>
  <si>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</si>
  <si>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</si>
  <si>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</si>
  <si>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</si>
  <si>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</si>
  <si>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</si>
  <si>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</si>
  <si>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</si>
  <si>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</si>
  <si>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</si>
  <si>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</si>
  <si>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</si>
  <si>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</si>
  <si>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</si>
  <si>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</si>
  <si>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</si>
  <si>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</si>
  <si>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</si>
  <si>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</si>
  <si>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</si>
  <si>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</si>
  <si>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</si>
  <si>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</si>
  <si>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</si>
  <si>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</si>
  <si>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</si>
  <si>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</si>
  <si>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</si>
  <si>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</si>
  <si>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</si>
  <si>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</si>
  <si>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</si>
  <si>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</si>
  <si>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</si>
  <si>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</si>
  <si>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</si>
  <si>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</si>
  <si>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</si>
  <si>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</si>
  <si>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</si>
  <si>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</si>
  <si>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</si>
  <si>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</si>
  <si>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</si>
  <si>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</si>
  <si>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</si>
  <si>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</si>
  <si>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</si>
  <si>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</si>
  <si>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</si>
  <si>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</si>
  <si>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</si>
  <si>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</si>
  <si>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</si>
  <si>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</si>
  <si>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</si>
  <si>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</si>
  <si>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</si>
  <si>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</si>
  <si>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</si>
  <si>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</si>
  <si>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</si>
  <si>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</si>
  <si>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</si>
  <si>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</si>
  <si>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</si>
  <si>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</si>
  <si>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</si>
  <si>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</si>
  <si>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</si>
  <si>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</si>
  <si>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</si>
  <si>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</si>
  <si>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</si>
  <si>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</si>
  <si>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</si>
  <si>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</si>
  <si>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</si>
  <si>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</si>
  <si>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</si>
  <si>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</si>
  <si>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</si>
  <si>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</si>
  <si>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</si>
  <si>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</si>
  <si>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</si>
  <si>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</si>
  <si>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</si>
  <si>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</si>
  <si>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</si>
  <si>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</si>
  <si>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</si>
  <si>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</si>
  <si>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</si>
  <si>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</si>
  <si>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</si>
  <si>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</si>
  <si>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</si>
  <si>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</si>
  <si>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</si>
  <si>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</si>
  <si>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</si>
  <si>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</si>
  <si>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</si>
  <si>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</si>
  <si>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</si>
  <si>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</si>
  <si>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</si>
  <si>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</si>
  <si>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</si>
  <si>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</si>
  <si>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</si>
  <si>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</si>
  <si>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</si>
  <si>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</si>
  <si>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</si>
  <si>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</si>
  <si>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</si>
  <si>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</si>
  <si>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</si>
  <si>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</si>
  <si>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</si>
  <si>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</si>
  <si>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</si>
  <si>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</si>
  <si>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</si>
  <si>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</si>
  <si>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</si>
  <si>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</si>
  <si>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</si>
  <si>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</si>
  <si>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</si>
  <si>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</si>
  <si>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</si>
  <si>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</si>
  <si>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</si>
  <si>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</si>
  <si>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</si>
  <si>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</si>
  <si>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</si>
  <si>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</si>
  <si>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</si>
  <si>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</si>
  <si>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</si>
  <si>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</si>
  <si>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</si>
  <si>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</si>
  <si>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</si>
  <si>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</si>
  <si>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</si>
  <si>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</si>
  <si>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</si>
  <si>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</si>
  <si>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</si>
  <si>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</si>
  <si>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</si>
  <si>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</si>
  <si>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</si>
  <si>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</si>
  <si>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</si>
  <si>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</si>
  <si>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</si>
  <si>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</si>
  <si>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</si>
  <si>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</si>
  <si>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</si>
  <si>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</si>
  <si>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</si>
  <si>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</si>
  <si>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</si>
  <si>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</si>
  <si>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</si>
  <si>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</si>
  <si>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</si>
  <si>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</si>
  <si>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</si>
  <si>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</si>
  <si>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</si>
  <si>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</si>
  <si>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</si>
  <si>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</si>
  <si>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</si>
  <si>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</si>
  <si>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</si>
  <si>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</si>
  <si>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</si>
  <si>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</si>
  <si>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</si>
  <si>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</si>
  <si>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</si>
  <si>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</si>
  <si>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</si>
  <si>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</si>
  <si>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</si>
  <si>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</si>
  <si>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</si>
  <si>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</si>
  <si>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</si>
  <si>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</si>
  <si>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</si>
  <si>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</si>
  <si>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</si>
  <si>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</si>
  <si>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</si>
  <si>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</si>
  <si>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</si>
  <si>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</si>
  <si>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</si>
  <si>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</si>
  <si>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</si>
  <si>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</si>
  <si>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</si>
  <si>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</si>
  <si>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</si>
  <si>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</si>
  <si>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</si>
  <si>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</si>
  <si>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</si>
  <si>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</si>
  <si>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</si>
  <si>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</si>
  <si>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</si>
  <si>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</si>
  <si>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</si>
  <si>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</si>
  <si>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</si>
  <si>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</si>
  <si>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</si>
  <si>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</si>
  <si>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</si>
  <si>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</si>
  <si>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</si>
  <si>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</si>
  <si>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</si>
  <si>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</si>
  <si>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</si>
  <si>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</si>
  <si>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</si>
  <si>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</si>
  <si>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</si>
  <si>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</si>
  <si>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</si>
  <si>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</si>
  <si>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</si>
  <si>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</si>
  <si>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</si>
  <si>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</si>
  <si>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</si>
  <si>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</si>
  <si>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</si>
  <si>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</si>
  <si>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</si>
  <si>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</si>
  <si>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</si>
  <si>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</si>
  <si>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</si>
  <si>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</si>
  <si>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</si>
  <si>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</si>
  <si>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</si>
  <si>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</si>
  <si>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</si>
  <si>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</si>
  <si>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</si>
  <si>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</si>
  <si>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</si>
  <si>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</si>
  <si>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</si>
  <si>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</si>
  <si>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</si>
  <si>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</si>
  <si>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</si>
  <si>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</si>
  <si>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</si>
  <si>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</si>
  <si>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</si>
  <si>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</si>
  <si>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</si>
  <si>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</si>
  <si>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</si>
  <si>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</si>
  <si>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</si>
  <si>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</si>
  <si>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</si>
  <si>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</si>
  <si>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</si>
  <si>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</si>
  <si>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</si>
  <si>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</si>
  <si>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</si>
  <si>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</si>
  <si>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</si>
  <si>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</si>
  <si>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</si>
  <si>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</si>
  <si>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</si>
  <si>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</si>
  <si>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</si>
  <si>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</si>
  <si>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</si>
  <si>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</si>
  <si>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</si>
  <si>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</si>
  <si>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</si>
  <si>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</si>
  <si>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</si>
  <si>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</si>
  <si>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</si>
  <si>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</si>
  <si>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</si>
  <si>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</si>
  <si>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</si>
  <si>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</si>
  <si>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</si>
  <si>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</si>
  <si>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</si>
  <si>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</si>
  <si>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</si>
  <si>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</si>
  <si>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</si>
  <si>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</si>
  <si>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</si>
  <si>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</si>
  <si>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</si>
  <si>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</si>
  <si>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</si>
  <si>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</si>
  <si>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</si>
  <si>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</si>
  <si>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</si>
  <si>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</si>
  <si>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</si>
  <si>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</si>
  <si>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</si>
  <si>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</si>
  <si>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</si>
  <si>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</si>
  <si>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</si>
  <si>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</si>
  <si>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</si>
  <si>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</si>
  <si>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</si>
  <si>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</si>
  <si>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</si>
  <si>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</si>
  <si>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</si>
  <si>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</si>
  <si>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</si>
  <si>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</si>
  <si>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</si>
  <si>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</si>
  <si>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</si>
  <si>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</si>
  <si>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</si>
  <si>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</si>
  <si>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</si>
  <si>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</si>
  <si>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</si>
  <si>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</si>
  <si>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</si>
  <si>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</si>
  <si>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</si>
  <si>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</si>
  <si>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</si>
  <si>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</si>
  <si>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</si>
  <si>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</si>
  <si>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</si>
  <si>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</si>
  <si>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</si>
  <si>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</si>
  <si>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</si>
  <si>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</si>
  <si>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</si>
  <si>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</si>
  <si>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</si>
  <si>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</si>
  <si>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</si>
  <si>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</si>
  <si>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</si>
  <si>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</si>
  <si>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</si>
  <si>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</si>
  <si>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</si>
  <si>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</si>
  <si>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</si>
  <si>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</si>
  <si>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</si>
  <si>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</si>
  <si>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</si>
  <si>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</si>
  <si>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</si>
  <si>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</si>
  <si>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</si>
  <si>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</si>
  <si>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</si>
  <si>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</si>
  <si>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</si>
  <si>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</si>
  <si>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</si>
  <si>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</si>
  <si>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</si>
  <si>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</si>
  <si>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</si>
  <si>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</si>
  <si>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</si>
  <si>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</si>
  <si>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</si>
  <si>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</si>
  <si>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</si>
  <si>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</si>
  <si>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</si>
  <si>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</si>
  <si>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</si>
  <si>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</si>
  <si>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</si>
  <si>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</si>
  <si>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</si>
  <si>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</si>
  <si>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</si>
  <si>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</si>
  <si>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</si>
  <si>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</si>
  <si>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</si>
  <si>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</si>
  <si>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</si>
  <si>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</si>
  <si>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</si>
  <si>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</si>
  <si>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</si>
  <si>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</si>
  <si>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</si>
  <si>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</si>
  <si>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</si>
  <si>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</si>
  <si>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</si>
  <si>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</si>
  <si>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</si>
  <si>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</si>
  <si>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</si>
  <si>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</si>
  <si>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</si>
  <si>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</si>
  <si>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</si>
  <si>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</si>
  <si>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</si>
  <si>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</si>
  <si>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</si>
  <si>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</si>
  <si>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</si>
  <si>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</si>
  <si>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</si>
  <si>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</si>
  <si>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</si>
  <si>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</si>
  <si>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</si>
  <si>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</si>
  <si>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</si>
  <si>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</si>
  <si>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</si>
  <si>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</si>
  <si>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</si>
  <si>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</si>
  <si>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</si>
  <si>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</si>
  <si>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</si>
  <si>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</si>
  <si>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</si>
  <si>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</si>
  <si>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</si>
  <si>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</si>
  <si>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</si>
  <si>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</si>
  <si>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</si>
  <si>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</si>
  <si>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</si>
  <si>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</si>
  <si>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</si>
  <si>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</si>
  <si>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</si>
  <si>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</si>
  <si>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</si>
  <si>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</si>
  <si>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</si>
  <si>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</si>
  <si>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</si>
  <si>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</si>
  <si>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</si>
  <si>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</si>
  <si>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</si>
  <si>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</si>
  <si>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</si>
  <si>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</si>
  <si>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</si>
  <si>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</si>
  <si>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</si>
  <si>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</si>
  <si>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</si>
  <si>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</si>
  <si>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</si>
  <si>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</si>
  <si>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</si>
  <si>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</si>
  <si>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</si>
  <si>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</si>
  <si>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</si>
  <si>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</si>
  <si>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</si>
  <si>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</si>
  <si>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</si>
  <si>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</si>
  <si>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</si>
  <si>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</si>
  <si>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</si>
  <si>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</si>
  <si>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</si>
  <si>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</si>
  <si>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</si>
  <si>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</si>
  <si>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</si>
  <si>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</si>
  <si>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</si>
  <si>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</si>
  <si>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</si>
  <si>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</si>
  <si>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</si>
  <si>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</si>
  <si>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</si>
  <si>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</si>
  <si>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</si>
  <si>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</si>
  <si>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</si>
  <si>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</si>
  <si>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</si>
  <si>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</si>
  <si>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</si>
  <si>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</si>
  <si>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</si>
  <si>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</si>
  <si>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</si>
  <si>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</si>
  <si>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</si>
  <si>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</si>
  <si>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</si>
  <si>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</si>
  <si>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</si>
  <si>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</si>
  <si>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</si>
  <si>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</si>
  <si>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</si>
  <si>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</si>
  <si>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</si>
  <si>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</si>
  <si>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</si>
  <si>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</si>
  <si>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</si>
  <si>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</si>
  <si>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</si>
  <si>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</si>
  <si>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</si>
  <si>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</si>
  <si>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</si>
  <si>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</si>
  <si>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</si>
  <si>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</si>
  <si>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</si>
  <si>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</si>
  <si>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</si>
  <si>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</si>
  <si>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</si>
  <si>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</si>
  <si>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</si>
  <si>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</si>
  <si>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</si>
  <si>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</si>
  <si>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</si>
  <si>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</si>
  <si>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</si>
  <si>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</si>
  <si>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</si>
  <si>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</si>
  <si>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</si>
  <si>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</si>
  <si>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</si>
  <si>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</si>
  <si>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</si>
  <si>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</si>
  <si>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</si>
  <si>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</si>
  <si>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</si>
  <si>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</si>
  <si>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</si>
  <si>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</si>
  <si>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</si>
  <si>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</si>
  <si>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</si>
  <si>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</si>
  <si>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</si>
  <si>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</si>
  <si>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</si>
  <si>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</si>
  <si>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</si>
  <si>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</si>
  <si>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</si>
  <si>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</si>
  <si>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</si>
  <si>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</si>
  <si>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</si>
  <si>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</si>
  <si>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</si>
  <si>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</si>
  <si>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</si>
  <si>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</si>
  <si>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</si>
  <si>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</si>
  <si>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</si>
  <si>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</si>
  <si>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</si>
  <si>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</si>
  <si>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</si>
  <si>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</si>
  <si>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</si>
  <si>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</si>
  <si>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</si>
  <si>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</si>
  <si>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</si>
  <si>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</si>
  <si>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</si>
  <si>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</si>
  <si>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</si>
  <si>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</si>
  <si>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</si>
  <si>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</si>
  <si>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</si>
  <si>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</si>
  <si>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</si>
  <si>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</si>
  <si>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</si>
  <si>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</si>
  <si>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</si>
  <si>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</si>
  <si>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</si>
  <si>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</si>
  <si>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</si>
  <si>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</si>
  <si>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</si>
  <si>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</si>
  <si>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</si>
  <si>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</si>
  <si>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</si>
  <si>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</si>
  <si>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</si>
  <si>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</si>
  <si>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</si>
  <si>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</si>
  <si>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</si>
  <si>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</si>
  <si>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</si>
  <si>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</si>
  <si>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</si>
  <si>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</si>
  <si>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</si>
  <si>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</si>
  <si>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</si>
  <si>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</si>
  <si>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</si>
  <si>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</si>
  <si>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</si>
  <si>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</si>
  <si>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</si>
  <si>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</si>
  <si>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</si>
  <si>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</si>
  <si>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</si>
  <si>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</si>
  <si>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</si>
  <si>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</si>
  <si>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</si>
  <si>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</si>
  <si>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</si>
  <si>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</si>
  <si>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</si>
  <si>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</si>
  <si>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</si>
  <si>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</si>
  <si>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</si>
  <si>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</si>
  <si>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</si>
  <si>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</si>
  <si>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</si>
  <si>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</si>
  <si>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</si>
  <si>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</si>
  <si>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</si>
  <si>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</si>
  <si>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</si>
  <si>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</si>
  <si>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</si>
  <si>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</si>
  <si>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</si>
  <si>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</si>
  <si>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</si>
  <si>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</si>
  <si>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</si>
  <si>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</si>
  <si>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</si>
  <si>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</si>
  <si>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</si>
  <si>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</si>
  <si>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</si>
  <si>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</si>
  <si>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</si>
  <si>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</si>
  <si>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</si>
  <si>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</si>
  <si>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</si>
  <si>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</si>
  <si>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</si>
  <si>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</si>
  <si>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</si>
  <si>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</si>
  <si>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</si>
  <si>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</si>
  <si>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</si>
  <si>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</si>
  <si>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</si>
  <si>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</si>
  <si>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</si>
  <si>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</si>
  <si>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</si>
  <si>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</si>
  <si>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</si>
  <si>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</si>
  <si>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</si>
  <si>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</si>
  <si>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</si>
  <si>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</si>
  <si>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</si>
  <si>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</si>
  <si>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</si>
  <si>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</si>
  <si>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</si>
  <si>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</si>
  <si>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</si>
  <si>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</si>
  <si>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</si>
  <si>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</si>
  <si>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</si>
  <si>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</si>
  <si>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</si>
  <si>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</si>
  <si>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</si>
  <si>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</si>
  <si>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</si>
  <si>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</si>
  <si>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</si>
  <si>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</si>
  <si>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</si>
  <si>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</si>
  <si>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</si>
  <si>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</si>
  <si>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</si>
  <si>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</si>
  <si>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</si>
  <si>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</si>
  <si>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</si>
  <si>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</si>
  <si>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</si>
  <si>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</si>
  <si>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</si>
  <si>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</si>
  <si>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</si>
  <si>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</si>
  <si>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</si>
  <si>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</si>
  <si>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</si>
  <si>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</si>
  <si>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</si>
  <si>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</si>
  <si>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</si>
  <si>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</si>
  <si>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</si>
  <si>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</si>
  <si>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</si>
  <si>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</si>
  <si>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</si>
  <si>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</si>
  <si>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</si>
  <si>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</si>
  <si>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</si>
  <si>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</si>
  <si>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</si>
  <si>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</si>
  <si>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</si>
  <si>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</si>
  <si>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</si>
  <si>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</si>
  <si>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</si>
  <si>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</si>
  <si>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</si>
  <si>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</si>
  <si>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</si>
  <si>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</si>
  <si>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</si>
  <si>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</si>
  <si>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</si>
  <si>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</si>
  <si>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</si>
  <si>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</si>
  <si>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</si>
  <si>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</si>
  <si>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</si>
  <si>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</si>
  <si>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</si>
  <si>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</si>
  <si>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</si>
  <si>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</si>
  <si>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</si>
  <si>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</si>
  <si>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</si>
  <si>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</si>
  <si>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</si>
  <si>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</si>
  <si>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</si>
  <si>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</si>
  <si>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</si>
  <si>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</si>
  <si>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</si>
  <si>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</si>
  <si>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</si>
  <si>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</si>
  <si>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</si>
  <si>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</si>
  <si>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</si>
  <si>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</si>
  <si>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</si>
  <si>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</si>
  <si>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</si>
  <si>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</si>
  <si>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</si>
  <si>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</si>
  <si>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</si>
  <si>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</si>
  <si>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</si>
  <si>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</si>
  <si>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</si>
  <si>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</si>
  <si>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</si>
  <si>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</si>
  <si>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</si>
  <si>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</si>
  <si>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</si>
  <si>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</si>
  <si>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</si>
  <si>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</si>
  <si>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</si>
  <si>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</si>
  <si>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</si>
  <si>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</si>
  <si>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</si>
  <si>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</si>
  <si>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</si>
  <si>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</si>
  <si>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</si>
  <si>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</si>
  <si>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</si>
  <si>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</si>
  <si>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</si>
  <si>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</si>
  <si>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</si>
  <si>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</si>
  <si>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</si>
  <si>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</si>
  <si>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</si>
  <si>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</si>
  <si>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</si>
  <si>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</si>
  <si>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</si>
  <si>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</si>
  <si>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</si>
  <si>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</si>
  <si>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</si>
  <si>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</si>
  <si>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</si>
  <si>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</si>
  <si>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</si>
  <si>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</si>
  <si>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</si>
  <si>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</si>
  <si>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</si>
  <si>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</si>
  <si>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</si>
  <si>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</si>
  <si>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</si>
  <si>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</si>
  <si>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</si>
  <si>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</si>
  <si>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</si>
  <si>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</si>
  <si>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</si>
  <si>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</si>
  <si>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</si>
  <si>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</si>
  <si>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</si>
  <si>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</si>
  <si>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</si>
  <si>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</si>
  <si>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</si>
  <si>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</si>
  <si>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</si>
  <si>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</si>
  <si>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</si>
  <si>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</si>
  <si>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</si>
  <si>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</si>
  <si>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</si>
  <si>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</si>
  <si>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</si>
  <si>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</si>
  <si>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</si>
  <si>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</si>
  <si>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</si>
  <si>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</si>
  <si>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</si>
  <si>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</si>
  <si>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</si>
  <si>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</si>
  <si>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</si>
  <si>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</si>
  <si>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</si>
  <si>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</si>
  <si>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</si>
  <si>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</si>
  <si>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</si>
  <si>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</si>
  <si>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</si>
  <si>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</si>
  <si>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</si>
  <si>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</si>
  <si>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</si>
  <si>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</si>
  <si>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</si>
  <si>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</si>
  <si>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</si>
  <si>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</si>
  <si>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</si>
  <si>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</si>
  <si>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</si>
  <si>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</si>
  <si>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</si>
  <si>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</si>
  <si>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</si>
  <si>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</si>
  <si>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</si>
  <si>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</si>
  <si>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</si>
  <si>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</si>
  <si>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</si>
  <si>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</si>
  <si>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</si>
  <si>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</si>
  <si>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</si>
  <si>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</si>
  <si>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</si>
  <si>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</si>
  <si>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</si>
  <si>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</si>
  <si>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</si>
  <si>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</si>
  <si>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</si>
  <si>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</si>
  <si>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</si>
  <si>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</si>
  <si>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</si>
  <si>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</si>
  <si>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</si>
  <si>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</si>
  <si>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</si>
  <si>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</si>
  <si>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</si>
  <si>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</si>
  <si>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</si>
  <si>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</si>
  <si>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</si>
  <si>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</si>
  <si>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</si>
  <si>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</si>
  <si>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</si>
  <si>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</si>
  <si>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</si>
  <si>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</si>
  <si>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</si>
  <si>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</si>
  <si>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</si>
  <si>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</si>
  <si>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</si>
  <si>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</si>
  <si>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</si>
  <si>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</si>
  <si>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</si>
  <si>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</si>
  <si>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</si>
  <si>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</si>
  <si>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</si>
  <si>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</si>
  <si>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</si>
  <si>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</si>
  <si>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</si>
  <si>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</si>
  <si>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</si>
  <si>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</si>
  <si>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</si>
  <si>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</si>
  <si>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</si>
  <si>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</si>
  <si>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</si>
  <si>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</si>
  <si>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</si>
  <si>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</si>
  <si>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</si>
  <si>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</si>
  <si>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</si>
  <si>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</si>
  <si>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</si>
  <si>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</si>
  <si>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</si>
  <si>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</si>
  <si>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</si>
  <si>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</si>
  <si>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</si>
  <si>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</si>
  <si>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</si>
  <si>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</si>
  <si>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</si>
  <si>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</si>
  <si>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</si>
  <si>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</si>
  <si>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</si>
  <si>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</si>
  <si>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</si>
  <si>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</si>
  <si>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</si>
  <si>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</si>
  <si>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</si>
  <si>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</si>
  <si>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</si>
  <si>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</si>
  <si>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</si>
  <si>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</si>
  <si>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</si>
  <si>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</si>
  <si>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</si>
  <si>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</si>
  <si>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</si>
  <si>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</si>
  <si>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</si>
  <si>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</si>
  <si>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</si>
  <si>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</si>
  <si>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</si>
  <si>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</si>
  <si>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</si>
  <si>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</si>
  <si>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</si>
  <si>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</si>
  <si>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</si>
  <si>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</si>
  <si>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</si>
  <si>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</si>
  <si>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</si>
  <si>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</si>
  <si>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</si>
  <si>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</si>
  <si>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</si>
  <si>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</si>
  <si>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</si>
  <si>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</si>
  <si>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</si>
  <si>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</si>
  <si>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</si>
  <si>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</si>
  <si>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</si>
  <si>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</si>
  <si>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</si>
  <si>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</si>
  <si>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</si>
  <si>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</si>
  <si>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</si>
  <si>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</si>
  <si>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</si>
  <si>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</si>
  <si>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</si>
  <si>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</si>
  <si>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</si>
  <si>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</si>
  <si>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</si>
  <si>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</si>
  <si>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</si>
  <si>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</si>
  <si>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</si>
  <si>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</si>
  <si>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</si>
  <si>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</si>
  <si>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</si>
  <si>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</si>
  <si>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</si>
  <si>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</si>
  <si>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</si>
  <si>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</si>
  <si>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</si>
  <si>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</si>
  <si>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</si>
  <si>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</si>
  <si>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</si>
  <si>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</si>
  <si>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</si>
  <si>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</si>
  <si>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</si>
  <si>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</si>
  <si>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</si>
  <si>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</si>
  <si>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</si>
  <si>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</si>
  <si>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</si>
  <si>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</si>
  <si>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</si>
  <si>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</si>
  <si>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</si>
  <si>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</si>
  <si>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</si>
  <si>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</si>
  <si>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</si>
  <si>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</si>
  <si>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</si>
  <si>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</si>
  <si>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</si>
  <si>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</si>
  <si>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</si>
  <si>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</si>
  <si>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</si>
  <si>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</si>
  <si>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</si>
  <si>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</si>
  <si>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</si>
  <si>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</si>
  <si>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</si>
  <si>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</si>
  <si>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</si>
  <si>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</si>
  <si>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</si>
  <si>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</si>
  <si>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</si>
  <si>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</si>
  <si>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</si>
  <si>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</si>
  <si>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</si>
  <si>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</si>
  <si>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</si>
  <si>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</si>
  <si>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</si>
  <si>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</si>
  <si>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</si>
  <si>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</si>
  <si>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</si>
  <si>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</si>
  <si>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</si>
  <si>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</si>
  <si>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</si>
  <si>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</si>
  <si>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</si>
  <si>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</si>
  <si>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</si>
  <si>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</si>
  <si>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</si>
  <si>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</si>
  <si>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</si>
  <si>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</si>
  <si>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</si>
  <si>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</si>
  <si>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</si>
  <si>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</si>
  <si>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</si>
  <si>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</si>
  <si>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</si>
  <si>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</si>
  <si>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</si>
  <si>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</si>
  <si>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</si>
  <si>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</si>
  <si>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</si>
  <si>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</si>
  <si>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</si>
  <si>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</si>
  <si>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</si>
  <si>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</si>
  <si>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</si>
  <si>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</si>
  <si>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</si>
  <si>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</si>
  <si>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</si>
  <si>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</si>
  <si>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</si>
  <si>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</si>
  <si>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</si>
  <si>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</si>
  <si>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</si>
  <si>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</si>
  <si>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</si>
  <si>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</si>
  <si>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</si>
  <si>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</si>
  <si>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</si>
  <si>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</si>
  <si>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</si>
  <si>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</si>
  <si>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</si>
  <si>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</si>
  <si>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</si>
  <si>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</si>
  <si>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</si>
  <si>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</si>
  <si>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</si>
  <si>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</si>
  <si>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</si>
  <si>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</si>
  <si>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</si>
  <si>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</si>
  <si>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</si>
  <si>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</si>
  <si>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</si>
  <si>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</si>
  <si>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</si>
  <si>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</si>
  <si>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</si>
  <si>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</si>
  <si>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</si>
  <si>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</si>
  <si>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</si>
  <si>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</si>
  <si>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</si>
  <si>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</si>
  <si>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</si>
  <si>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</si>
  <si>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</si>
  <si>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</si>
  <si>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</si>
  <si>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</si>
  <si>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</si>
  <si>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</si>
  <si>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</si>
  <si>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</si>
  <si>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</si>
  <si>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</si>
  <si>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</si>
  <si>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</si>
  <si>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</si>
  <si>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</si>
  <si>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</si>
  <si>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</si>
  <si>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</si>
  <si>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</si>
  <si>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</si>
  <si>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</si>
  <si>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</si>
  <si>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</si>
  <si>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</si>
  <si>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</si>
  <si>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</si>
  <si>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</si>
  <si>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</si>
  <si>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</si>
  <si>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</si>
  <si>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</si>
  <si>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</si>
  <si>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</si>
  <si>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</si>
  <si>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</si>
  <si>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</si>
  <si>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</si>
  <si>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</si>
  <si>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</si>
  <si>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</si>
  <si>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</si>
  <si>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</si>
  <si>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</si>
  <si>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</si>
  <si>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</si>
  <si>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</si>
  <si>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</si>
  <si>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</si>
  <si>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</si>
  <si>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</si>
  <si>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</si>
  <si>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</si>
  <si>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</si>
  <si>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</si>
  <si>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</si>
  <si>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</si>
  <si>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</si>
  <si>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</si>
  <si>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</si>
  <si>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</si>
  <si>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</si>
  <si>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</si>
  <si>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</si>
  <si>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</si>
  <si>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</si>
  <si>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</si>
  <si>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</si>
  <si>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</si>
  <si>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</si>
  <si>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</si>
  <si>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</si>
  <si>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</si>
  <si>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</si>
  <si>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</si>
  <si>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</si>
  <si>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</si>
  <si>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</si>
  <si>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</si>
  <si>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</si>
  <si>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</si>
  <si>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</si>
  <si>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</si>
  <si>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</si>
  <si>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</si>
  <si>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</si>
  <si>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</si>
  <si>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</si>
  <si>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</si>
  <si>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</si>
  <si>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</si>
  <si>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</si>
  <si>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</si>
  <si>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</si>
  <si>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</si>
  <si>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</si>
  <si>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</si>
  <si>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</si>
  <si>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</si>
  <si>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</si>
  <si>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</si>
  <si>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</si>
  <si>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</si>
  <si>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</si>
  <si>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</si>
  <si>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</si>
  <si>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</si>
  <si>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</si>
  <si>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</si>
  <si>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</si>
  <si>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</si>
  <si>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</si>
  <si>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</si>
  <si>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</si>
  <si>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</si>
  <si>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</si>
  <si>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</si>
  <si>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</si>
  <si>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</si>
  <si>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</si>
  <si>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</si>
  <si>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</si>
  <si>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</si>
  <si>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</si>
  <si>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</si>
  <si>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</si>
  <si>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</si>
  <si>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</si>
  <si>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</si>
  <si>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</si>
  <si>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</si>
  <si>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</si>
  <si>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</si>
  <si>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</si>
  <si>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</si>
  <si>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</si>
  <si>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</si>
  <si>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</si>
  <si>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</si>
  <si>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</si>
  <si>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</si>
  <si>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</si>
  <si>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</si>
  <si>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</si>
  <si>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</si>
  <si>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</si>
  <si>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</si>
  <si>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</si>
  <si>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</si>
  <si>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</si>
  <si>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</si>
  <si>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</si>
  <si>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</si>
  <si>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</si>
  <si>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</si>
  <si>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</si>
  <si>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</si>
  <si>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</si>
  <si>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</si>
  <si>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</si>
  <si>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</si>
  <si>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</si>
  <si>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</si>
  <si>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</si>
  <si>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</si>
  <si>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</si>
  <si>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</si>
  <si>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</si>
  <si>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</si>
  <si>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</si>
  <si>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</si>
  <si>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</si>
  <si>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</si>
  <si>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</si>
  <si>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</si>
  <si>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</si>
  <si>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</si>
  <si>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</si>
  <si>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</si>
  <si>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</si>
  <si>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</si>
  <si>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</si>
  <si>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</si>
  <si>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</si>
  <si>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</si>
  <si>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</si>
  <si>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</si>
  <si>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</si>
  <si>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</si>
  <si>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</si>
  <si>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</si>
  <si>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</si>
  <si>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</si>
  <si>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</si>
  <si>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</si>
  <si>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</si>
  <si>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</si>
  <si>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</si>
  <si>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</si>
  <si>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</si>
  <si>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</si>
  <si>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</si>
  <si>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</si>
  <si>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</si>
  <si>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</si>
  <si>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</si>
  <si>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</si>
  <si>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</si>
  <si>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</si>
  <si>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</si>
  <si>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</si>
  <si>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</si>
  <si>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</si>
  <si>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</si>
  <si>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</si>
  <si>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</si>
  <si>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</si>
  <si>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</si>
  <si>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</si>
  <si>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</si>
  <si>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</si>
  <si>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</si>
  <si>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</si>
  <si>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</si>
  <si>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</si>
  <si>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</si>
  <si>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</si>
  <si>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</si>
  <si>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</si>
  <si>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</si>
  <si>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</si>
  <si>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</si>
  <si>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</si>
  <si>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</si>
  <si>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</si>
  <si>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</si>
  <si>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</si>
  <si>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</si>
  <si>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</si>
  <si>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</si>
  <si>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</si>
  <si>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</si>
  <si>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</si>
  <si>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</si>
  <si>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</si>
  <si>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</si>
  <si>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</si>
  <si>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</si>
  <si>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</si>
  <si>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</si>
  <si>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</si>
  <si>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</si>
  <si>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</si>
  <si>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</si>
  <si>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</si>
  <si>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</si>
  <si>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</si>
  <si>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</si>
  <si>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</si>
  <si>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</si>
  <si>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</si>
  <si>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</si>
  <si>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</si>
  <si>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</si>
  <si>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</si>
  <si>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</si>
  <si>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</si>
  <si>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</si>
  <si>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</si>
  <si>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</si>
  <si>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</si>
  <si>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</si>
  <si>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</si>
  <si>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</si>
  <si>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</si>
  <si>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</si>
  <si>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</si>
  <si>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</si>
  <si>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</si>
  <si>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</si>
  <si>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</si>
  <si>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</si>
  <si>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</si>
  <si>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</si>
  <si>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</si>
  <si>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</si>
  <si>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</si>
  <si>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</si>
  <si>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</si>
  <si>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</si>
  <si>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</si>
  <si>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</si>
  <si>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</si>
  <si>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</si>
  <si>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</si>
  <si>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</si>
  <si>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</si>
  <si>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</si>
  <si>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</si>
  <si>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</si>
  <si>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</si>
  <si>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</si>
  <si>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</si>
  <si>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</si>
  <si>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</si>
  <si>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</si>
  <si>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</si>
  <si>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</si>
  <si>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</si>
  <si>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</si>
  <si>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</si>
  <si>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</si>
  <si>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</si>
  <si>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</si>
  <si>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</si>
  <si>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</si>
  <si>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</si>
  <si>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</si>
  <si>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</si>
  <si>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</si>
  <si>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</si>
  <si>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</si>
  <si>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</si>
  <si>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</si>
  <si>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</si>
  <si>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</si>
  <si>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</si>
  <si>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</si>
  <si>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</si>
  <si>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</si>
  <si>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</si>
  <si>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</si>
  <si>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</si>
  <si>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</si>
  <si>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</si>
  <si>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</si>
  <si>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</si>
  <si>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</si>
  <si>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</si>
  <si>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</si>
  <si>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</si>
  <si>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</si>
  <si>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</si>
  <si>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</si>
  <si>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</si>
  <si>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</si>
  <si>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</si>
  <si>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</si>
  <si>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</si>
  <si>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</si>
  <si>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</si>
  <si>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</si>
  <si>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</si>
  <si>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</si>
  <si>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</si>
  <si>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</si>
  <si>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</si>
  <si>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</si>
  <si>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</si>
  <si>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</si>
  <si>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</si>
  <si>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</si>
  <si>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</si>
  <si>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</si>
  <si>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</si>
  <si>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</si>
  <si>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</si>
  <si>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</si>
  <si>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</si>
  <si>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</si>
  <si>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</si>
  <si>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</si>
  <si>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</si>
  <si>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</si>
  <si>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</si>
  <si>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</si>
  <si>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</si>
  <si>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</si>
  <si>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</si>
  <si>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</si>
  <si>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</si>
  <si>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</si>
  <si>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</si>
  <si>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</si>
  <si>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</si>
  <si>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</si>
  <si>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</si>
  <si>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</si>
  <si>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</si>
  <si>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</si>
  <si>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</si>
  <si>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</si>
  <si>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</si>
  <si>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</si>
  <si>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</si>
  <si>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</si>
  <si>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</si>
  <si>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</si>
  <si>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</si>
  <si>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</si>
  <si>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</si>
  <si>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</si>
  <si>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</si>
  <si>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</si>
  <si>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</si>
  <si>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</si>
  <si>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</si>
  <si>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</si>
  <si>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</si>
  <si>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</si>
  <si>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</si>
  <si>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</si>
  <si>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</si>
  <si>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</si>
  <si>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</si>
  <si>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</si>
  <si>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</si>
  <si>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</si>
  <si>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</si>
  <si>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</si>
  <si>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</si>
  <si>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</si>
  <si>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</si>
  <si>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</si>
  <si>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</si>
  <si>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</si>
  <si>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</si>
  <si>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</si>
  <si>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</si>
  <si>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</si>
  <si>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</si>
  <si>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</si>
  <si>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</si>
  <si>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</si>
  <si>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</si>
  <si>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</si>
  <si>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</si>
  <si>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</si>
  <si>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</si>
  <si>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</si>
  <si>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</si>
  <si>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</si>
  <si>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</si>
  <si>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</si>
  <si>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</si>
  <si>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</si>
  <si>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</si>
  <si>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</si>
  <si>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</si>
  <si>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</si>
  <si>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</si>
  <si>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</si>
  <si>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</si>
  <si>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</si>
  <si>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</si>
  <si>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</si>
  <si>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</si>
  <si>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</si>
  <si>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</si>
  <si>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</si>
  <si>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</si>
  <si>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</si>
  <si>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</si>
  <si>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</si>
  <si>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</si>
  <si>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</si>
  <si>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</si>
  <si>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</si>
  <si>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</si>
  <si>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</si>
  <si>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</si>
  <si>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</si>
  <si>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</si>
  <si>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</si>
  <si>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</si>
  <si>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</si>
  <si>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</si>
  <si>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</si>
  <si>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</si>
  <si>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</si>
  <si>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</si>
  <si>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</si>
  <si>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</si>
  <si>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</si>
  <si>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</si>
  <si>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</si>
  <si>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</si>
  <si>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</si>
  <si>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</si>
  <si>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</si>
  <si>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</si>
  <si>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</si>
  <si>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</si>
  <si>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</si>
  <si>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</si>
  <si>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</si>
  <si>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</si>
  <si>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</si>
  <si>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</si>
  <si>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</si>
  <si>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</si>
  <si>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</si>
  <si>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</si>
  <si>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</si>
  <si>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</si>
  <si>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</si>
  <si>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</si>
  <si>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</si>
  <si>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</si>
  <si>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</si>
  <si>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</si>
  <si>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</si>
  <si>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</si>
  <si>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</si>
  <si>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</si>
  <si>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</si>
  <si>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</si>
  <si>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</si>
  <si>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</si>
  <si>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</si>
  <si>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</si>
  <si>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</si>
  <si>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</si>
  <si>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</si>
  <si>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</si>
  <si>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</si>
  <si>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</si>
  <si>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</si>
  <si>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</si>
  <si>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</si>
  <si>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</si>
  <si>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</si>
  <si>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</si>
  <si>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</si>
  <si>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</si>
  <si>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</si>
  <si>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</si>
  <si>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</si>
  <si>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</si>
  <si>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</si>
  <si>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</si>
  <si>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</si>
  <si>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</si>
  <si>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</si>
  <si>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</si>
  <si>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</si>
  <si>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</si>
  <si>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</si>
  <si>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</si>
  <si>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</si>
  <si>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</si>
  <si>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</si>
  <si>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</si>
  <si>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</si>
  <si>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</si>
  <si>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</si>
  <si>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</si>
  <si>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</si>
  <si>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</si>
  <si>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</si>
  <si>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</si>
  <si>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</si>
  <si>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</si>
  <si>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</si>
  <si>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</si>
  <si>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</si>
  <si>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</si>
  <si>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</si>
  <si>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</si>
  <si>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</si>
  <si>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</si>
  <si>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</si>
  <si>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</si>
  <si>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</si>
  <si>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</si>
  <si>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</si>
  <si>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</si>
  <si>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</si>
  <si>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</si>
  <si>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</si>
  <si>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</si>
  <si>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</si>
  <si>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</si>
  <si>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</si>
  <si>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</si>
  <si>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</si>
  <si>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</si>
  <si>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</si>
  <si>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</si>
  <si>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</si>
  <si>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</si>
  <si>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</si>
  <si>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</si>
  <si>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</si>
  <si>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</si>
  <si>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</si>
  <si>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</si>
  <si>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</si>
  <si>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</si>
  <si>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</si>
  <si>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</si>
  <si>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</si>
  <si>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</si>
  <si>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</si>
  <si>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</si>
  <si>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</si>
  <si>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</si>
  <si>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</si>
  <si>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</si>
  <si>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</si>
  <si>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</si>
  <si>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</si>
  <si>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</si>
  <si>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</si>
  <si>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</si>
  <si>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</si>
  <si>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</si>
  <si>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</si>
  <si>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</si>
  <si>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</si>
  <si>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</si>
  <si>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</si>
  <si>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</si>
  <si>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</si>
  <si>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</si>
  <si>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</si>
  <si>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</si>
  <si>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</si>
  <si>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</si>
  <si>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</si>
  <si>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</si>
  <si>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</si>
  <si>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</si>
  <si>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</si>
  <si>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</si>
  <si>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</si>
  <si>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</si>
  <si>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</si>
  <si>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</si>
  <si>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</si>
  <si>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</si>
  <si>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</si>
  <si>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</si>
  <si>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</si>
  <si>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</si>
  <si>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</si>
  <si>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</si>
  <si>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</si>
  <si>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</si>
  <si>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</si>
  <si>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</si>
  <si>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</si>
  <si>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</si>
  <si>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</si>
  <si>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</si>
  <si>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</si>
  <si>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</si>
  <si>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</si>
  <si>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</si>
  <si>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</si>
  <si>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</si>
  <si>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</si>
  <si>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</si>
  <si>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</si>
  <si>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</si>
  <si>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</si>
  <si>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</si>
  <si>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</si>
  <si>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</si>
  <si>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</si>
  <si>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</si>
  <si>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</si>
  <si>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</si>
  <si>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</si>
  <si>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</si>
  <si>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</si>
  <si>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</si>
  <si>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</si>
  <si>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</si>
  <si>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</si>
  <si>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</si>
  <si>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</si>
  <si>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</si>
  <si>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</si>
  <si>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</si>
  <si>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</si>
  <si>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</si>
  <si>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</si>
  <si>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</si>
  <si>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</si>
  <si>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</si>
  <si>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</si>
  <si>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</si>
  <si>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</si>
  <si>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</si>
  <si>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</si>
  <si>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</si>
  <si>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</si>
  <si>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</si>
  <si>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</si>
  <si>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</si>
  <si>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</si>
  <si>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</si>
  <si>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</si>
  <si>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</si>
  <si>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</si>
  <si>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</si>
  <si>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</si>
  <si>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</si>
  <si>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</si>
  <si>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</si>
  <si>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</si>
  <si>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</si>
  <si>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</si>
  <si>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</si>
  <si>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</si>
  <si>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</si>
  <si>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</si>
  <si>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</si>
  <si>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</si>
  <si>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</si>
  <si>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</si>
  <si>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</si>
  <si>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</si>
  <si>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</si>
  <si>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</si>
  <si>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</si>
  <si>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</si>
  <si>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</si>
  <si>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</si>
  <si>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</si>
  <si>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</si>
  <si>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</si>
  <si>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</si>
  <si>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</si>
  <si>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</si>
  <si>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</si>
  <si>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</si>
  <si>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</si>
  <si>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</si>
  <si>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</si>
  <si>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</si>
  <si>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</si>
  <si>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</si>
  <si>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</si>
  <si>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</si>
  <si>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</si>
  <si>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</si>
  <si>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</si>
  <si>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</si>
  <si>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</si>
  <si>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</si>
  <si>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</si>
  <si>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</si>
  <si>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</si>
  <si>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</si>
  <si>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</si>
  <si>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</si>
  <si>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</si>
  <si>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</si>
  <si>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</si>
  <si>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</si>
  <si>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</si>
  <si>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</si>
  <si>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</si>
  <si>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</si>
  <si>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</si>
  <si>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</si>
  <si>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</si>
  <si>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</si>
  <si>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</si>
  <si>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</si>
  <si>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</si>
  <si>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</si>
  <si>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</si>
  <si>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</si>
  <si>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</si>
  <si>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</si>
  <si>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</si>
  <si>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</si>
  <si>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</si>
  <si>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</si>
  <si>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</si>
  <si>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</si>
  <si>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</si>
  <si>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</si>
  <si>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</si>
  <si>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</si>
  <si>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</si>
  <si>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</si>
  <si>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</si>
  <si>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</si>
  <si>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</si>
  <si>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</si>
  <si>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</si>
  <si>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</si>
  <si>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</si>
  <si>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</si>
  <si>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</si>
  <si>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</si>
  <si>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</si>
  <si>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</si>
  <si>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</si>
  <si>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</si>
  <si>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</si>
  <si>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</si>
  <si>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</si>
  <si>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</si>
  <si>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</si>
  <si>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</si>
  <si>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</si>
  <si>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</si>
  <si>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</si>
  <si>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</si>
  <si>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</si>
  <si>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</si>
  <si>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</si>
  <si>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</si>
  <si>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</si>
  <si>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</si>
  <si>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</si>
  <si>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</si>
  <si>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</si>
  <si>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</si>
  <si>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</si>
  <si>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</si>
  <si>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</si>
  <si>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</si>
  <si>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</si>
  <si>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</si>
  <si>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</si>
  <si>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</si>
  <si>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</si>
  <si>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</si>
  <si>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</si>
  <si>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</si>
  <si>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</si>
  <si>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</si>
  <si>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</si>
  <si>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</si>
  <si>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</si>
  <si>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</si>
  <si>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</si>
  <si>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</si>
  <si>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</si>
  <si>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</si>
  <si>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</si>
  <si>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</si>
  <si>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</si>
  <si>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</si>
  <si>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</si>
  <si>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</si>
  <si>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</si>
  <si>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</si>
  <si>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</si>
  <si>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</si>
  <si>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</si>
  <si>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</si>
  <si>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</si>
  <si>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</si>
  <si>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</si>
  <si>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</si>
  <si>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</si>
  <si>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</si>
  <si>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</si>
  <si>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</si>
  <si>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</si>
  <si>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</si>
  <si>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</si>
  <si>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</si>
  <si>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</si>
  <si>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</si>
  <si>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</si>
  <si>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</si>
  <si>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</si>
  <si>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</si>
  <si>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</si>
  <si>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</si>
  <si>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</si>
  <si>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</si>
  <si>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</si>
  <si>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</si>
  <si>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</si>
  <si>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</si>
  <si>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</si>
  <si>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</si>
  <si>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</si>
  <si>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</si>
  <si>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</si>
  <si>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</si>
  <si>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</si>
  <si>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</si>
  <si>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</si>
  <si>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</si>
  <si>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</si>
  <si>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</si>
  <si>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</si>
  <si>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</si>
  <si>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</si>
  <si>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</si>
  <si>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</si>
  <si>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</si>
  <si>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</si>
  <si>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</si>
  <si>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</si>
  <si>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</si>
  <si>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</si>
  <si>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</si>
  <si>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</si>
  <si>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</si>
  <si>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</si>
  <si>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</si>
  <si>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</si>
  <si>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</si>
  <si>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</si>
  <si>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</si>
  <si>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</si>
  <si>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</si>
  <si>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</si>
  <si>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</si>
  <si>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</si>
  <si>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</si>
  <si>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</si>
  <si>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</si>
  <si>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</si>
  <si>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</si>
  <si>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</si>
  <si>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</si>
  <si>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</si>
  <si>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</si>
  <si>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</si>
  <si>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</si>
  <si>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</si>
  <si>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</si>
  <si>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</si>
  <si>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</si>
  <si>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</si>
  <si>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</si>
  <si>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</si>
  <si>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</si>
  <si>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</si>
  <si>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</si>
  <si>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</si>
  <si>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</si>
  <si>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</si>
  <si>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</si>
  <si>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</si>
  <si>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</si>
  <si>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</si>
  <si>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</si>
  <si>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</si>
  <si>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</si>
  <si>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</si>
  <si>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</si>
  <si>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</si>
  <si>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</si>
  <si>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</si>
  <si>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</si>
  <si>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</si>
  <si>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</si>
  <si>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</si>
  <si>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</si>
  <si>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</si>
  <si>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</si>
  <si>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</si>
  <si>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</si>
  <si>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</si>
  <si>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</si>
  <si>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</si>
  <si>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</si>
  <si>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</si>
  <si>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</si>
  <si>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</si>
  <si>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</si>
  <si>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</si>
  <si>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</si>
  <si>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</si>
  <si>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</si>
  <si>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</si>
  <si>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</si>
  <si>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</si>
  <si>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</si>
  <si>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</si>
  <si>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</si>
  <si>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</si>
  <si>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</si>
  <si>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</si>
  <si>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</si>
  <si>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</si>
  <si>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</si>
  <si>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</si>
  <si>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</si>
  <si>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</si>
  <si>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</si>
  <si>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</si>
  <si>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</si>
  <si>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</si>
  <si>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</si>
  <si>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</si>
  <si>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</si>
  <si>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</si>
  <si>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</si>
  <si>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</si>
  <si>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</si>
  <si>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</si>
  <si>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</si>
  <si>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</si>
  <si>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</si>
  <si>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</si>
  <si>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</si>
  <si>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</si>
  <si>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</si>
  <si>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</si>
  <si>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</si>
  <si>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</si>
  <si>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</si>
  <si>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</si>
  <si>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</si>
  <si>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</si>
  <si>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</si>
  <si>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</si>
  <si>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</si>
  <si>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</si>
  <si>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</si>
  <si>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</si>
  <si>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</si>
  <si>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</si>
  <si>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</si>
  <si>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</si>
  <si>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</si>
  <si>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</si>
  <si>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</si>
  <si>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</si>
  <si>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</si>
  <si>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</si>
  <si>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</si>
  <si>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</si>
  <si>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</si>
  <si>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</si>
  <si>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</si>
  <si>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</si>
  <si>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</si>
  <si>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</si>
  <si>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</si>
  <si>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</si>
  <si>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</si>
  <si>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</si>
  <si>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</si>
  <si>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</si>
  <si>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</si>
  <si>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</si>
  <si>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</si>
  <si>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</si>
  <si>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</si>
  <si>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</si>
  <si>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</si>
  <si>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</si>
  <si>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</si>
  <si>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</si>
  <si>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</si>
  <si>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</si>
  <si>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</si>
  <si>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</si>
  <si>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</si>
  <si>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</si>
  <si>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</si>
  <si>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</si>
  <si>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</si>
  <si>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</si>
  <si>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</si>
  <si>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</si>
  <si>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</si>
  <si>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</si>
  <si>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</si>
  <si>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</si>
  <si>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</si>
  <si>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</si>
  <si>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</si>
  <si>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</si>
  <si>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</si>
  <si>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</si>
  <si>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</si>
  <si>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</si>
  <si>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</si>
  <si>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</si>
  <si>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</si>
  <si>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</si>
  <si>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</si>
  <si>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</si>
  <si>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</si>
  <si>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</si>
  <si>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</si>
  <si>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</si>
  <si>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</si>
  <si>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</si>
  <si>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</si>
  <si>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</si>
  <si>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</si>
  <si>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</si>
  <si>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</si>
  <si>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</si>
  <si>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</si>
  <si>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</si>
  <si>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</si>
  <si>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</si>
  <si>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</si>
  <si>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</si>
  <si>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</si>
  <si>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</si>
  <si>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</si>
  <si>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</si>
  <si>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</si>
  <si>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</si>
  <si>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</si>
  <si>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</si>
  <si>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</si>
  <si>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</si>
  <si>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</si>
  <si>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</si>
  <si>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</si>
  <si>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</si>
  <si>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</si>
  <si>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</si>
  <si>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</si>
  <si>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</si>
  <si>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</si>
  <si>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</si>
  <si>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</si>
  <si>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</si>
  <si>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</si>
  <si>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</si>
  <si>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</si>
  <si>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</si>
  <si>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</si>
  <si>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</si>
  <si>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</si>
  <si>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</si>
  <si>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</si>
  <si>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</si>
  <si>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</si>
  <si>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</si>
  <si>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</si>
  <si>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</si>
  <si>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</si>
  <si>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</si>
  <si>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</si>
  <si>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</si>
  <si>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</si>
  <si>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</si>
  <si>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</si>
  <si>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</si>
  <si>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</si>
  <si>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</si>
  <si>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</si>
  <si>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</si>
  <si>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</si>
  <si>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</si>
  <si>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</si>
  <si>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</si>
  <si>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</si>
  <si>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</si>
  <si>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</si>
  <si>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</si>
  <si>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</si>
  <si>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</si>
  <si>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</si>
  <si>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</si>
  <si>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</si>
  <si>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</si>
  <si>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</si>
  <si>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</si>
  <si>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</si>
  <si>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</si>
  <si>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</si>
  <si>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</si>
  <si>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</si>
  <si>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</si>
  <si>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</si>
  <si>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</si>
  <si>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</si>
  <si>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</si>
  <si>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</si>
  <si>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</si>
  <si>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</si>
  <si>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</si>
  <si>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</si>
  <si>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</si>
  <si>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</si>
  <si>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</si>
  <si>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</si>
  <si>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</si>
  <si>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</si>
  <si>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</si>
  <si>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</si>
  <si>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</si>
  <si>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</si>
  <si>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</si>
  <si>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</si>
  <si>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</si>
  <si>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</si>
  <si>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</si>
  <si>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</si>
  <si>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</si>
  <si>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</si>
  <si>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</si>
  <si>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</si>
  <si>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</si>
  <si>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</si>
  <si>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</si>
  <si>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</si>
  <si>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</si>
  <si>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</si>
  <si>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</si>
  <si>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</si>
  <si>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</si>
  <si>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</si>
  <si>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</si>
  <si>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</si>
  <si>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</si>
  <si>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</si>
  <si>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</si>
  <si>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</si>
  <si>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</si>
  <si>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</si>
  <si>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</si>
  <si>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</si>
  <si>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</si>
  <si>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</si>
  <si>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</si>
  <si>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</si>
  <si>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</si>
  <si>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</si>
  <si>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</si>
  <si>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</si>
  <si>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</si>
  <si>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</si>
  <si>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</si>
  <si>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</si>
  <si>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</si>
  <si>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</si>
  <si>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</si>
  <si>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</si>
  <si>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</si>
  <si>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</si>
  <si>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</si>
  <si>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</si>
  <si>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</si>
  <si>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</si>
  <si>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</si>
  <si>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</si>
  <si>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</si>
  <si>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</si>
  <si>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</si>
  <si>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</si>
  <si>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</si>
  <si>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</si>
  <si>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</si>
  <si>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</si>
  <si>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</si>
  <si>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</si>
  <si>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</si>
  <si>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</si>
  <si>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</si>
  <si>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</si>
  <si>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</si>
  <si>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</si>
  <si>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</si>
  <si>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</si>
  <si>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</si>
  <si>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</si>
  <si>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</si>
  <si>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</si>
  <si>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</si>
  <si>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</si>
  <si>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</si>
  <si>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</si>
  <si>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</si>
  <si>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</si>
  <si>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</si>
  <si>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</si>
  <si>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</si>
  <si>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</si>
  <si>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</si>
  <si>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</si>
  <si>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</si>
  <si>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</si>
  <si>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</si>
  <si>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</si>
  <si>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</si>
  <si>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</si>
  <si>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</si>
  <si>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</si>
  <si>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</si>
  <si>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</si>
  <si>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</si>
  <si>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</si>
  <si>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</si>
  <si>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</si>
  <si>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</si>
  <si>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</si>
  <si>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</si>
  <si>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</si>
  <si>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</si>
  <si>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</si>
  <si>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</si>
  <si>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</si>
  <si>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</si>
  <si>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</si>
  <si>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</si>
  <si>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</si>
  <si>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</si>
  <si>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</si>
  <si>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</si>
  <si>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</si>
  <si>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</si>
  <si>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</si>
  <si>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</si>
  <si>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</si>
  <si>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</si>
  <si>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</si>
  <si>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</si>
  <si>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</si>
  <si>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</si>
  <si>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</si>
  <si>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</si>
  <si>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</si>
  <si>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</si>
  <si>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</si>
  <si>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</si>
  <si>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</si>
  <si>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</si>
  <si>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</si>
  <si>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</si>
  <si>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</si>
  <si>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</si>
  <si>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</si>
  <si>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</si>
  <si>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</si>
  <si>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</si>
  <si>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</si>
  <si>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</si>
  <si>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</si>
  <si>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</si>
  <si>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</si>
  <si>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</si>
  <si>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</si>
  <si>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</si>
  <si>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</si>
  <si>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</si>
  <si>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</si>
  <si>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</si>
  <si>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</si>
  <si>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</si>
  <si>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</si>
  <si>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</si>
  <si>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</si>
  <si>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</si>
  <si>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</si>
  <si>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</si>
  <si>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</si>
  <si>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</si>
  <si>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</si>
  <si>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</si>
  <si>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</si>
  <si>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</si>
  <si>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</si>
  <si>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</si>
  <si>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</si>
  <si>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</si>
  <si>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</si>
  <si>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</si>
  <si>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</si>
  <si>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</si>
  <si>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</si>
  <si>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</si>
  <si>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</si>
  <si>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</si>
  <si>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</si>
  <si>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</si>
  <si>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</si>
  <si>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</si>
  <si>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</si>
  <si>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</si>
  <si>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</si>
  <si>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</si>
  <si>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</si>
  <si>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</si>
  <si>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</si>
  <si>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</si>
  <si>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</si>
  <si>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</si>
  <si>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</si>
  <si>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</si>
  <si>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</si>
  <si>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</si>
  <si>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</si>
  <si>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</si>
  <si>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</si>
  <si>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</si>
  <si>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</si>
  <si>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</si>
  <si>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</si>
  <si>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</si>
  <si>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</si>
  <si>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</si>
  <si>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</si>
  <si>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</si>
  <si>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</si>
  <si>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</si>
  <si>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</si>
  <si>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</si>
  <si>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</si>
  <si>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</si>
  <si>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</si>
  <si>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</si>
  <si>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</si>
  <si>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</si>
  <si>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</si>
  <si>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</si>
  <si>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</si>
  <si>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</si>
  <si>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</si>
  <si>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</si>
  <si>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</si>
  <si>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</si>
  <si>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</si>
  <si>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</si>
  <si>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</si>
  <si>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</si>
  <si>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</si>
  <si>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</si>
  <si>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</si>
  <si>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</si>
  <si>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</si>
  <si>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</si>
  <si>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</si>
  <si>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</si>
  <si>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</si>
  <si>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</si>
  <si>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</si>
  <si>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</si>
  <si>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</si>
  <si>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</si>
  <si>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</si>
  <si>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</si>
  <si>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</si>
  <si>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</si>
  <si>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</si>
  <si>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</si>
  <si>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</si>
  <si>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</si>
  <si>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</si>
  <si>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</si>
  <si>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</si>
  <si>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</si>
  <si>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</si>
  <si>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</si>
  <si>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</si>
  <si>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</si>
  <si>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</si>
  <si>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</si>
  <si>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</si>
  <si>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</si>
  <si>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</si>
  <si>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</si>
  <si>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</si>
  <si>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</si>
  <si>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</si>
  <si>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</si>
  <si>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</si>
  <si>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</si>
  <si>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</si>
  <si>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</si>
  <si>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</si>
  <si>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</si>
  <si>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</si>
  <si>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</si>
  <si>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</si>
  <si>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</si>
  <si>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</si>
  <si>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</si>
  <si>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</si>
  <si>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</si>
  <si>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</si>
  <si>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</si>
  <si>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</si>
  <si>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</si>
  <si>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</si>
  <si>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</si>
  <si>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</si>
  <si>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</si>
  <si>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</si>
  <si>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</si>
  <si>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</si>
  <si>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</si>
  <si>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</si>
  <si>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</si>
  <si>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</si>
  <si>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</si>
  <si>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</si>
  <si>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</si>
  <si>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</si>
  <si>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</si>
  <si>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</si>
  <si>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</si>
  <si>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</si>
  <si>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</si>
  <si>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</si>
  <si>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</si>
  <si>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</si>
  <si>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</si>
  <si>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</si>
  <si>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</si>
  <si>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</si>
  <si>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</si>
  <si>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</si>
  <si>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</si>
  <si>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</si>
  <si>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</si>
  <si>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</si>
  <si>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</si>
  <si>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</si>
  <si>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</si>
  <si>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</si>
  <si>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</si>
  <si>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</si>
  <si>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</si>
  <si>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</si>
  <si>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</si>
  <si>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</si>
  <si>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</si>
  <si>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</si>
  <si>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</si>
  <si>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</si>
  <si>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</si>
  <si>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</si>
  <si>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</si>
  <si>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</si>
  <si>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</si>
  <si>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</si>
  <si>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</si>
  <si>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</si>
  <si>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</si>
  <si>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</si>
  <si>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</si>
  <si>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</si>
  <si>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</si>
  <si>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</si>
  <si>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</si>
  <si>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</si>
  <si>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</si>
  <si>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</si>
  <si>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</si>
  <si>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</si>
  <si>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</si>
  <si>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</si>
  <si>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</si>
  <si>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</si>
  <si>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</si>
  <si>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</si>
  <si>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</si>
  <si>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</si>
  <si>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</si>
  <si>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</si>
  <si>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</si>
  <si>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</si>
  <si>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</si>
  <si>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</si>
  <si>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</si>
  <si>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</si>
  <si>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</si>
  <si>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</si>
  <si>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</si>
  <si>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</si>
  <si>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</si>
  <si>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</si>
  <si>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</si>
  <si>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</si>
  <si>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</si>
  <si>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</si>
  <si>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</si>
  <si>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</si>
  <si>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</si>
  <si>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</si>
  <si>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</si>
  <si>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</si>
  <si>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</si>
  <si>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</si>
  <si>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</si>
  <si>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</si>
  <si>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</si>
  <si>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</si>
  <si>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</si>
  <si>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</si>
  <si>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</si>
  <si>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</si>
  <si>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</si>
  <si>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</si>
  <si>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</si>
  <si>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</si>
  <si>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</si>
  <si>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</si>
  <si>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</si>
  <si>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</si>
  <si>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</si>
  <si>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</si>
  <si>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</si>
  <si>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</si>
  <si>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</si>
  <si>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</si>
  <si>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</si>
  <si>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</si>
  <si>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</si>
  <si>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</si>
  <si>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</si>
  <si>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</si>
  <si>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</si>
  <si>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</si>
  <si>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</si>
  <si>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</si>
  <si>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</si>
  <si>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</si>
  <si>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</si>
  <si>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</si>
  <si>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</si>
  <si>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</si>
  <si>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</si>
  <si>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</si>
  <si>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</si>
  <si>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</si>
  <si>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</si>
  <si>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</si>
  <si>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</si>
  <si>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</si>
  <si>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</si>
  <si>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</si>
  <si>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</si>
  <si>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</si>
  <si>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</si>
  <si>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</si>
  <si>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</si>
  <si>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</si>
  <si>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</si>
  <si>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</si>
  <si>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</si>
  <si>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</si>
  <si>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</si>
  <si>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</si>
  <si>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</si>
  <si>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</si>
  <si>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</si>
  <si>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</si>
  <si>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</si>
  <si>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</si>
  <si>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</si>
  <si>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</si>
  <si>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</si>
  <si>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</si>
  <si>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</si>
  <si>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</si>
  <si>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</si>
  <si>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</si>
  <si>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</si>
  <si>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</si>
  <si>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</si>
  <si>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</si>
  <si>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</si>
  <si>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</si>
  <si>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</si>
  <si>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</si>
  <si>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</si>
  <si>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</si>
  <si>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</si>
  <si>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</si>
  <si>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</si>
  <si>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</si>
  <si>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</si>
  <si>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</si>
  <si>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</si>
  <si>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</si>
  <si>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</si>
  <si>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</si>
  <si>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</si>
  <si>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</si>
  <si>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</si>
  <si>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</si>
  <si>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</si>
  <si>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</si>
  <si>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</si>
  <si>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</si>
  <si>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</si>
  <si>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</si>
  <si>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</si>
  <si>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</si>
  <si>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</si>
  <si>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</si>
  <si>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</si>
  <si>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</si>
  <si>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</si>
  <si>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</si>
  <si>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</si>
  <si>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</si>
  <si>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</si>
  <si>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</si>
  <si>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</si>
  <si>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</si>
  <si>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</si>
  <si>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</si>
  <si>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</si>
  <si>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</si>
  <si>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</si>
  <si>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</si>
  <si>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</si>
  <si>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</si>
  <si>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</si>
  <si>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</si>
  <si>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</si>
  <si>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</si>
  <si>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</si>
  <si>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</si>
  <si>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</si>
  <si>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</si>
  <si>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</si>
  <si>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</si>
  <si>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</si>
  <si>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</si>
  <si>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</si>
  <si>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</si>
  <si>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</si>
  <si>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</si>
  <si>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</si>
  <si>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</si>
  <si>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</si>
  <si>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</si>
  <si>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</si>
  <si>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</si>
  <si>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</si>
  <si>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</si>
  <si>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</si>
  <si>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</si>
  <si>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</si>
  <si>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</si>
  <si>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</si>
  <si>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</si>
  <si>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</si>
  <si>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</si>
  <si>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</si>
  <si>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</si>
  <si>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</si>
  <si>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</si>
  <si>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</si>
  <si>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</si>
  <si>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</si>
  <si>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</si>
  <si>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</si>
  <si>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</si>
  <si>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</si>
  <si>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</si>
  <si>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</si>
  <si>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</si>
  <si>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</si>
  <si>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</si>
  <si>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</si>
  <si>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</si>
  <si>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</si>
  <si>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</si>
  <si>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</si>
  <si>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</si>
  <si>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</si>
  <si>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</si>
  <si>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</si>
  <si>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</si>
  <si>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</si>
  <si>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</si>
  <si>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</si>
  <si>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</si>
  <si>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</si>
  <si>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</si>
  <si>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</si>
  <si>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</si>
  <si>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</si>
  <si>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</si>
  <si>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</si>
  <si>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</si>
  <si>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</si>
  <si>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</si>
  <si>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</si>
  <si>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</si>
  <si>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</si>
  <si>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</si>
  <si>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</si>
  <si>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</si>
  <si>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</si>
  <si>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</si>
  <si>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</si>
  <si>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</si>
  <si>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</si>
  <si>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</si>
  <si>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</si>
  <si>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</si>
  <si>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</si>
  <si>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</si>
  <si>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</si>
  <si>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</si>
  <si>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</si>
  <si>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</si>
  <si>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</si>
  <si>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</si>
  <si>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</si>
  <si>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</si>
  <si>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</si>
  <si>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</si>
  <si>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</si>
  <si>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</si>
  <si>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</si>
  <si>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</si>
  <si>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</si>
  <si>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</si>
  <si>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</si>
  <si>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</si>
  <si>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</si>
  <si>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</si>
  <si>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</si>
  <si>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</si>
  <si>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</si>
  <si>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</si>
  <si>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</si>
  <si>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</si>
  <si>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</si>
  <si>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</si>
  <si>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</si>
  <si>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</si>
  <si>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</si>
  <si>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</si>
  <si>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</si>
  <si>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</si>
  <si>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</si>
  <si>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</si>
  <si>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</si>
  <si>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</si>
  <si>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</si>
  <si>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</si>
  <si>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</si>
  <si>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</si>
  <si>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</si>
  <si>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</si>
  <si>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</si>
  <si>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</si>
  <si>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</si>
  <si>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</si>
  <si>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</si>
  <si>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</si>
  <si>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</si>
  <si>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</si>
  <si>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</si>
  <si>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</si>
  <si>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</si>
  <si>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</si>
  <si>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</si>
  <si>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</si>
  <si>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</si>
  <si>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</si>
  <si>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</si>
  <si>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</si>
  <si>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</si>
  <si>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</si>
  <si>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</si>
  <si>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</si>
  <si>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</si>
  <si>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</si>
  <si>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</si>
  <si>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</si>
  <si>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</si>
  <si>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</si>
  <si>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</si>
  <si>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</si>
  <si>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</si>
  <si>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</si>
  <si>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</si>
  <si>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</si>
  <si>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</si>
  <si>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</si>
  <si>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</si>
  <si>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</si>
  <si>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</si>
  <si>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</si>
  <si>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</si>
  <si>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</si>
  <si>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</si>
  <si>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</si>
  <si>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</si>
  <si>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</si>
  <si>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</si>
  <si>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</si>
  <si>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</si>
  <si>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</si>
  <si>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</si>
  <si>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</si>
  <si>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</si>
  <si>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</si>
  <si>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</si>
  <si>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</si>
  <si>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</si>
  <si>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</si>
  <si>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</si>
  <si>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</si>
  <si>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</si>
  <si>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</si>
  <si>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</si>
  <si>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</si>
  <si>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</si>
  <si>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</si>
  <si>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</si>
  <si>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</si>
  <si>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</si>
  <si>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</si>
  <si>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</si>
  <si>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</si>
  <si>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</si>
  <si>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</si>
  <si>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</si>
  <si>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</si>
  <si>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</si>
  <si>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</si>
  <si>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</si>
  <si>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</si>
  <si>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</si>
  <si>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</si>
  <si>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</si>
  <si>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</si>
  <si>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</si>
  <si>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</si>
  <si>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</si>
  <si>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</si>
  <si>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</si>
  <si>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</si>
  <si>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</si>
  <si>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</si>
  <si>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</si>
  <si>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</si>
  <si>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</si>
  <si>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</si>
  <si>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</si>
  <si>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</si>
  <si>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</si>
  <si>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</si>
  <si>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</si>
  <si>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</si>
  <si>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</si>
  <si>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</si>
  <si>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</si>
  <si>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</si>
  <si>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</si>
  <si>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</si>
  <si>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</si>
  <si>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</si>
  <si>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</si>
  <si>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</si>
  <si>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</si>
  <si>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</si>
  <si>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</si>
  <si>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</si>
  <si>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</si>
  <si>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</si>
  <si>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</si>
  <si>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</si>
  <si>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</si>
  <si>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</si>
  <si>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</si>
  <si>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</si>
  <si>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</si>
  <si>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</si>
  <si>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</si>
  <si>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</si>
  <si>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</si>
  <si>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</si>
  <si>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</si>
  <si>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</si>
  <si>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</si>
  <si>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</si>
  <si>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</si>
  <si>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</si>
  <si>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</si>
  <si>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</si>
  <si>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</si>
  <si>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</si>
  <si>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</si>
  <si>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</si>
  <si>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</si>
  <si>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</si>
  <si>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</si>
  <si>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</si>
  <si>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</si>
  <si>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</si>
  <si>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</si>
  <si>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</si>
  <si>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</si>
  <si>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</si>
  <si>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</si>
  <si>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</si>
  <si>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</si>
  <si>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</si>
  <si>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</si>
  <si>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</si>
  <si>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</si>
  <si>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</si>
  <si>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</si>
  <si>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</si>
  <si>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</si>
  <si>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</si>
  <si>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</si>
  <si>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</si>
  <si>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</si>
  <si>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</si>
  <si>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</si>
  <si>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</si>
  <si>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</si>
  <si>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</si>
  <si>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</si>
  <si>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</si>
  <si>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</si>
  <si>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</si>
  <si>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</si>
  <si>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</si>
  <si>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</si>
  <si>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</si>
  <si>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</si>
  <si>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</si>
  <si>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</si>
  <si>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</si>
  <si>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</si>
  <si>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</si>
  <si>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</si>
  <si>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</si>
  <si>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</si>
  <si>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</si>
  <si>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</si>
  <si>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</si>
  <si>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</si>
  <si>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</si>
  <si>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</si>
  <si>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</si>
  <si>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</si>
  <si>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</si>
  <si>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</si>
  <si>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</si>
  <si>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</si>
  <si>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</si>
  <si>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</si>
  <si>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</si>
  <si>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</si>
  <si>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</si>
  <si>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</si>
  <si>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</si>
  <si>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</si>
  <si>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</si>
  <si>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</si>
  <si>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</si>
  <si>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</si>
  <si>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</si>
  <si>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</si>
  <si>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</si>
  <si>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</si>
  <si>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</si>
  <si>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</si>
  <si>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</si>
  <si>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</si>
  <si>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</si>
  <si>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</si>
  <si>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</si>
  <si>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</si>
  <si>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</si>
  <si>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</si>
  <si>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</si>
  <si>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</si>
  <si>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</si>
  <si>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</si>
  <si>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</si>
  <si>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</si>
  <si>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</si>
  <si>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</si>
  <si>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</si>
  <si>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</si>
  <si>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</si>
  <si>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</si>
  <si>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</si>
  <si>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</si>
  <si>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</si>
  <si>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</si>
  <si>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</si>
  <si>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</si>
  <si>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</si>
  <si>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</si>
  <si>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</si>
  <si>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</si>
  <si>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</si>
  <si>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</si>
  <si>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</si>
  <si>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</si>
  <si>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</si>
  <si>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</si>
  <si>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</si>
  <si>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</si>
  <si>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</si>
  <si>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</si>
  <si>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</si>
  <si>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</si>
  <si>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</si>
  <si>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</si>
  <si>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</si>
  <si>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</si>
  <si>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</si>
  <si>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</si>
  <si>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</si>
  <si>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</si>
  <si>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</si>
  <si>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</si>
  <si>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</si>
  <si>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</si>
  <si>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</si>
  <si>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</si>
  <si>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</si>
  <si>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</si>
  <si>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</si>
  <si>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</si>
  <si>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</si>
  <si>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</si>
  <si>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</si>
  <si>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</si>
  <si>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</si>
  <si>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</si>
  <si>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</si>
  <si>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</si>
  <si>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</si>
  <si>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</si>
  <si>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</si>
  <si>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</si>
  <si>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</si>
  <si>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</si>
  <si>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</si>
  <si>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</si>
  <si>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</si>
  <si>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</si>
  <si>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</si>
  <si>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</si>
  <si>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</si>
  <si>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</si>
  <si>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</si>
  <si>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</si>
  <si>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</si>
  <si>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</si>
  <si>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</si>
  <si>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</si>
  <si>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</si>
  <si>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</si>
  <si>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</si>
  <si>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</si>
  <si>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</si>
  <si>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</si>
  <si>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</si>
  <si>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</si>
  <si>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</si>
  <si>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</si>
  <si>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</si>
  <si>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</si>
  <si>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</si>
  <si>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</si>
  <si>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</si>
  <si>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</si>
  <si>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</si>
  <si>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</si>
  <si>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</si>
  <si>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</si>
  <si>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</si>
  <si>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</si>
  <si>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</si>
  <si>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</si>
  <si>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</si>
  <si>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</si>
  <si>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</si>
  <si>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</si>
  <si>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</si>
  <si>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</si>
  <si>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</si>
  <si>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</si>
  <si>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</si>
  <si>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</si>
  <si>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</si>
  <si>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</si>
  <si>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</si>
  <si>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</si>
  <si>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</si>
  <si>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</si>
  <si>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</si>
  <si>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</si>
  <si>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</si>
  <si>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</si>
  <si>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</si>
  <si>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</si>
  <si>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</si>
  <si>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</si>
  <si>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</si>
  <si>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</si>
  <si>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</si>
  <si>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</si>
  <si>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</si>
  <si>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</si>
  <si>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</si>
  <si>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</si>
  <si>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</si>
  <si>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</si>
  <si>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</si>
  <si>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</si>
  <si>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</si>
  <si>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</si>
  <si>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</si>
  <si>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</si>
  <si>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</si>
  <si>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</si>
  <si>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</si>
  <si>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</si>
  <si>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</si>
  <si>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</si>
  <si>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</si>
  <si>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</si>
  <si>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</si>
  <si>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</si>
  <si>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</si>
  <si>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</si>
  <si>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</si>
  <si>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</si>
  <si>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</si>
  <si>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</si>
  <si>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</si>
  <si>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</si>
  <si>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</si>
  <si>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</si>
  <si>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</si>
  <si>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</si>
  <si>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</si>
  <si>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</si>
  <si>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</si>
  <si>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</si>
  <si>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</si>
  <si>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</si>
  <si>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</si>
  <si>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</si>
  <si>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</si>
  <si>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</si>
  <si>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</si>
  <si>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</si>
  <si>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</si>
  <si>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</si>
  <si>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</si>
  <si>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</si>
  <si>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</si>
  <si>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</si>
  <si>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</si>
  <si>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</si>
  <si>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</si>
  <si>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</si>
  <si>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</si>
  <si>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</si>
  <si>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</si>
  <si>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</si>
  <si>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</si>
  <si>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</si>
  <si>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</si>
  <si>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</si>
  <si>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</si>
  <si>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</si>
  <si>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</si>
  <si>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</si>
  <si>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</si>
  <si>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</si>
  <si>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</si>
  <si>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</si>
  <si>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</si>
  <si>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</si>
  <si>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</si>
  <si>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</si>
  <si>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</si>
  <si>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</si>
  <si>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</si>
  <si>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</si>
  <si>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</si>
  <si>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</si>
  <si>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</si>
  <si>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</si>
  <si>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</si>
  <si>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</si>
  <si>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</si>
  <si>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</si>
  <si>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</si>
  <si>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</si>
  <si>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</si>
  <si>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</si>
  <si>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</si>
  <si>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</si>
  <si>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</si>
  <si>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</si>
  <si>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</si>
  <si>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</si>
  <si>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</si>
  <si>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</si>
  <si>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</si>
  <si>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</si>
  <si>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</si>
  <si>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</si>
  <si>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</si>
  <si>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</si>
  <si>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</si>
  <si>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</si>
  <si>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</si>
  <si>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</si>
  <si>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</si>
  <si>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</si>
  <si>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</si>
  <si>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</si>
  <si>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</si>
  <si>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</si>
  <si>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</si>
  <si>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</si>
  <si>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</si>
  <si>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</si>
  <si>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</si>
  <si>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</si>
  <si>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</si>
  <si>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</si>
  <si>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</si>
  <si>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</si>
  <si>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</si>
  <si>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</si>
  <si>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</si>
  <si>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</si>
  <si>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</si>
  <si>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</si>
  <si>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</si>
  <si>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</si>
  <si>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</si>
  <si>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</si>
  <si>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</si>
  <si>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</si>
  <si>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</si>
  <si>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</si>
  <si>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</si>
  <si>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</si>
  <si>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</si>
  <si>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</si>
  <si>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</si>
  <si>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</si>
  <si>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</si>
  <si>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</si>
  <si>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</si>
  <si>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</si>
  <si>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</si>
  <si>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</si>
  <si>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</si>
  <si>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</si>
  <si>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</si>
  <si>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</si>
  <si>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</si>
  <si>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</si>
  <si>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</si>
  <si>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</si>
  <si>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</si>
  <si>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</si>
  <si>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</si>
  <si>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</si>
  <si>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</si>
  <si>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</si>
  <si>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</si>
  <si>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</si>
  <si>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</si>
  <si>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</si>
  <si>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</si>
  <si>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</si>
  <si>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</si>
  <si>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</si>
  <si>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</si>
  <si>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</si>
  <si>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</si>
  <si>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</si>
  <si>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</si>
  <si>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</si>
  <si>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</si>
  <si>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</si>
  <si>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</si>
  <si>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</si>
  <si>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</si>
  <si>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</si>
  <si>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</si>
  <si>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</si>
  <si>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</si>
  <si>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</si>
  <si>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</si>
  <si>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</si>
  <si>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</si>
  <si>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</si>
  <si>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</si>
  <si>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</si>
  <si>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</si>
  <si>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</si>
  <si>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</si>
  <si>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</si>
  <si>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</si>
  <si>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</si>
  <si>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</si>
  <si>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</si>
  <si>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</si>
  <si>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</si>
  <si>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</si>
  <si>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</si>
  <si>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</si>
  <si>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</si>
  <si>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</si>
  <si>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</si>
  <si>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</si>
  <si>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</si>
  <si>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</si>
  <si>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</si>
  <si>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</si>
  <si>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</si>
  <si>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</si>
  <si>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</si>
  <si>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</si>
  <si>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</si>
  <si>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</si>
  <si>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</si>
  <si>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</si>
  <si>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</si>
  <si>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</si>
  <si>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</si>
  <si>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</si>
  <si>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</si>
  <si>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</si>
  <si>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</si>
  <si>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</si>
  <si>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</si>
  <si>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</si>
  <si>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</si>
  <si>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</si>
  <si>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</si>
  <si>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</si>
  <si>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</si>
  <si>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</si>
  <si>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</si>
  <si>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</si>
  <si>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</si>
  <si>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</si>
  <si>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</si>
  <si>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</si>
  <si>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</si>
  <si>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</si>
  <si>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</si>
  <si>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</si>
  <si>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</si>
  <si>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</si>
  <si>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</si>
  <si>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</si>
  <si>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</si>
  <si>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</si>
  <si>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</si>
  <si>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</si>
  <si>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</si>
  <si>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</si>
  <si>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</si>
  <si>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</si>
  <si>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</si>
  <si>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</si>
  <si>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</si>
  <si>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</si>
  <si>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</si>
  <si>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</si>
  <si>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</si>
  <si>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</si>
  <si>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</si>
  <si>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</si>
  <si>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</si>
  <si>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</si>
  <si>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</si>
  <si>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</si>
  <si>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</si>
  <si>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</si>
  <si>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</si>
  <si>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</si>
  <si>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</si>
  <si>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</si>
  <si>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</si>
  <si>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</si>
  <si>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</si>
  <si>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</si>
  <si>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</si>
  <si>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</si>
  <si>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</si>
  <si>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</si>
  <si>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</si>
  <si>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</si>
  <si>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</si>
  <si>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</si>
  <si>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</si>
  <si>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</si>
  <si>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</si>
  <si>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</si>
  <si>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</si>
  <si>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</si>
  <si>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</si>
  <si>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</si>
  <si>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</si>
  <si>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</si>
  <si>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</si>
  <si>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</si>
  <si>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</si>
  <si>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</si>
  <si>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</si>
  <si>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</si>
  <si>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</si>
  <si>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</si>
  <si>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</si>
  <si>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</si>
  <si>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</si>
  <si>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</si>
  <si>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</si>
  <si>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</si>
  <si>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</si>
  <si>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</si>
  <si>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</si>
  <si>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</si>
  <si>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</si>
  <si>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</si>
  <si>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</si>
  <si>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</si>
  <si>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</si>
  <si>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</si>
  <si>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</si>
  <si>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</si>
  <si>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</si>
  <si>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</si>
  <si>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</si>
  <si>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</si>
  <si>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</si>
  <si>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</si>
  <si>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</si>
  <si>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</si>
  <si>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</si>
  <si>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</si>
  <si>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</si>
  <si>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</si>
  <si>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</si>
  <si>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</si>
  <si>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</si>
  <si>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</si>
  <si>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</si>
  <si>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</si>
  <si>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</si>
  <si>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</si>
  <si>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</si>
  <si>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</si>
  <si>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</si>
  <si>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</si>
  <si>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</si>
  <si>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</si>
  <si>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</si>
  <si>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</si>
  <si>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</si>
  <si>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</si>
  <si>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</si>
  <si>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</si>
  <si>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</si>
  <si>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</si>
  <si>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</si>
  <si>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</si>
  <si>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</si>
  <si>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</si>
  <si>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</si>
  <si>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</si>
  <si>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</si>
  <si>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</si>
  <si>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</si>
  <si>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</si>
  <si>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</si>
  <si>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</si>
  <si>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</si>
  <si>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</si>
  <si>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</si>
  <si>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</si>
  <si>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</si>
  <si>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</si>
  <si>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</si>
  <si>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</si>
  <si>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</si>
  <si>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</si>
  <si>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</si>
  <si>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</si>
  <si>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</si>
  <si>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</si>
  <si>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</si>
  <si>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</si>
  <si>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</si>
  <si>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</si>
  <si>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</si>
  <si>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</si>
  <si>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</si>
  <si>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</si>
  <si>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</si>
  <si>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</si>
  <si>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</si>
  <si>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</si>
  <si>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</si>
  <si>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</si>
  <si>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</si>
  <si>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</si>
  <si>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</si>
  <si>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</si>
  <si>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</si>
  <si>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</si>
  <si>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</si>
  <si>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</si>
  <si>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</si>
  <si>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</si>
  <si>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</si>
  <si>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</si>
  <si>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</si>
  <si>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</si>
  <si>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</si>
  <si>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</si>
  <si>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</si>
  <si>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</si>
  <si>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</si>
  <si>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</si>
  <si>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</si>
  <si>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</si>
  <si>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</si>
  <si>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</si>
  <si>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</si>
  <si>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</si>
  <si>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</si>
  <si>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</si>
  <si>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</si>
  <si>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</si>
  <si>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</si>
  <si>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</si>
  <si>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</si>
  <si>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</si>
  <si>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</si>
  <si>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</si>
  <si>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</si>
  <si>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</si>
  <si>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</si>
  <si>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</si>
  <si>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</si>
  <si>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</si>
  <si>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</si>
  <si>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</si>
  <si>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</si>
  <si>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</si>
  <si>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</si>
  <si>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</si>
  <si>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</si>
  <si>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</si>
  <si>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</si>
  <si>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</si>
  <si>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</si>
  <si>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</si>
  <si>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</si>
  <si>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</si>
  <si>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</si>
  <si>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</si>
  <si>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</si>
  <si>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</si>
  <si>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</si>
  <si>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</si>
  <si>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</si>
  <si>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</si>
  <si>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</si>
  <si>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</si>
  <si>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</si>
  <si>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</si>
  <si>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</si>
  <si>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</si>
  <si>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</si>
  <si>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</si>
  <si>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</si>
  <si>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</si>
  <si>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</si>
  <si>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</si>
  <si>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</si>
  <si>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</si>
  <si>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</si>
  <si>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</si>
  <si>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</si>
  <si>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</si>
  <si>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</si>
  <si>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</si>
  <si>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</si>
  <si>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</si>
  <si>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</si>
  <si>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</si>
  <si>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</si>
  <si>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</si>
  <si>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</si>
  <si>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</si>
  <si>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</si>
  <si>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</si>
  <si>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</si>
  <si>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</si>
  <si>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</si>
  <si>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</si>
  <si>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</si>
  <si>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</si>
  <si>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</si>
  <si>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</si>
  <si>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</si>
  <si>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</si>
  <si>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</si>
  <si>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</si>
  <si>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</si>
  <si>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</si>
  <si>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</si>
  <si>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</si>
  <si>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</si>
  <si>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</si>
  <si>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</si>
  <si>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</si>
  <si>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</si>
  <si>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</si>
  <si>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</si>
  <si>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</si>
  <si>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</si>
  <si>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</si>
  <si>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</si>
  <si>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</si>
  <si>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</si>
  <si>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</si>
  <si>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</si>
  <si>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</si>
  <si>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</si>
  <si>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</si>
  <si>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</si>
  <si>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</si>
  <si>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</si>
  <si>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</si>
  <si>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</si>
  <si>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</si>
  <si>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</si>
  <si>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</si>
  <si>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</si>
  <si>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</si>
  <si>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</si>
  <si>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</si>
  <si>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</si>
  <si>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</si>
  <si>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</si>
  <si>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</si>
  <si>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</si>
  <si>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</si>
  <si>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</si>
  <si>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</si>
  <si>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</si>
  <si>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</si>
  <si>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</si>
  <si>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</si>
  <si>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</si>
  <si>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</si>
  <si>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</si>
  <si>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</si>
  <si>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</si>
  <si>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</si>
  <si>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</si>
  <si>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</si>
  <si>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</si>
  <si>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</si>
  <si>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</si>
  <si>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</si>
  <si>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</si>
  <si>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</si>
  <si>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</si>
  <si>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</si>
  <si>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</si>
  <si>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</si>
  <si>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</si>
  <si>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</si>
  <si>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</si>
  <si>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</si>
  <si>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</si>
  <si>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</si>
  <si>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</si>
  <si>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</si>
  <si>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</si>
  <si>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</si>
  <si>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</si>
  <si>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</si>
  <si>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</si>
  <si>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</si>
  <si>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</si>
  <si>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</si>
  <si>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</si>
  <si>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</si>
  <si>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</si>
  <si>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</si>
  <si>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</si>
  <si>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</si>
  <si>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</si>
  <si>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</si>
  <si>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</si>
  <si>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</si>
  <si>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</si>
  <si>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</si>
  <si>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</si>
  <si>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</si>
  <si>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</si>
  <si>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</si>
  <si>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</si>
  <si>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</si>
  <si>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</si>
  <si>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</si>
  <si>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</si>
  <si>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</si>
  <si>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</si>
  <si>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</si>
  <si>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</si>
  <si>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</si>
  <si>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</si>
  <si>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</si>
  <si>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</si>
  <si>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</si>
  <si>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</si>
  <si>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</si>
  <si>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</si>
  <si>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</si>
  <si>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</si>
  <si>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</si>
  <si>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</si>
  <si>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</si>
  <si>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</si>
  <si>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</si>
  <si>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</si>
  <si>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</si>
  <si>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</si>
  <si>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</si>
  <si>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</si>
  <si>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</si>
  <si>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</si>
  <si>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</si>
  <si>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</si>
  <si>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</si>
  <si>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</si>
  <si>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</si>
  <si>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</si>
  <si>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</si>
  <si>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</si>
  <si>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</si>
  <si>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</si>
  <si>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</si>
  <si>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</si>
  <si>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</si>
  <si>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</si>
  <si>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</si>
  <si>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</si>
  <si>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</si>
  <si>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</si>
  <si>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</si>
  <si>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</si>
  <si>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</si>
  <si>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</si>
  <si>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</si>
  <si>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</si>
  <si>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</si>
  <si>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</si>
  <si>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</si>
  <si>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</si>
  <si>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</si>
  <si>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</si>
  <si>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</si>
  <si>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</si>
  <si>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</si>
  <si>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</si>
  <si>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</si>
  <si>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</si>
  <si>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</si>
  <si>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</si>
  <si>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</si>
  <si>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</si>
  <si>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</si>
  <si>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</si>
  <si>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</si>
  <si>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</si>
  <si>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</si>
  <si>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</si>
  <si>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</si>
  <si>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</si>
  <si>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</si>
  <si>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</si>
  <si>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</si>
  <si>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</si>
  <si>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</si>
  <si>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</si>
  <si>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</si>
  <si>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</si>
  <si>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</si>
  <si>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</si>
  <si>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</si>
  <si>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</si>
  <si>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</si>
  <si>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</si>
  <si>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</si>
  <si>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</si>
  <si>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</si>
  <si>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</si>
  <si>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</si>
  <si>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</si>
  <si>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</si>
  <si>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</si>
  <si>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</si>
  <si>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</si>
  <si>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</si>
  <si>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</si>
  <si>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</si>
  <si>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</si>
  <si>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</si>
  <si>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</si>
  <si>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</si>
  <si>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</si>
  <si>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</si>
  <si>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</si>
  <si>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</si>
  <si>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</si>
  <si>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</si>
  <si>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</si>
  <si>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</si>
  <si>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</si>
  <si>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</si>
  <si>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</si>
  <si>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</si>
  <si>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</si>
  <si>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</si>
  <si>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</si>
  <si>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</si>
  <si>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</si>
  <si>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</si>
  <si>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</si>
  <si>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</si>
  <si>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</si>
  <si>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</si>
  <si>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</si>
  <si>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</si>
  <si>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</si>
  <si>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</si>
  <si>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</si>
  <si>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</si>
  <si>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</si>
  <si>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</si>
  <si>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</si>
  <si>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</si>
  <si>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</si>
  <si>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</si>
  <si>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</si>
  <si>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</si>
  <si>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</si>
  <si>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</si>
  <si>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</si>
  <si>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</si>
  <si>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</si>
  <si>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</si>
  <si>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</si>
  <si>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</si>
  <si>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</si>
  <si>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</si>
  <si>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</si>
  <si>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</si>
  <si>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</si>
  <si>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</si>
  <si>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</si>
  <si>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</si>
  <si>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</si>
  <si>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</si>
  <si>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</si>
  <si>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</si>
  <si>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</si>
  <si>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</si>
  <si>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</si>
  <si>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</si>
  <si>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</si>
  <si>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</si>
  <si>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</si>
  <si>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</si>
  <si>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</si>
  <si>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</si>
  <si>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</si>
  <si>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</si>
  <si>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</si>
  <si>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</si>
  <si>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</si>
  <si>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</si>
  <si>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</si>
  <si>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</si>
  <si>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</si>
  <si>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</si>
  <si>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</si>
  <si>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</si>
  <si>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</si>
  <si>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</si>
  <si>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</si>
  <si>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</si>
  <si>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</si>
  <si>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</si>
  <si>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</si>
  <si>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</si>
  <si>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</si>
  <si>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</si>
  <si>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</si>
  <si>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</si>
  <si>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</si>
  <si>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</si>
  <si>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</si>
  <si>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</si>
  <si>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</si>
  <si>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</si>
  <si>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</si>
  <si>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</si>
  <si>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</si>
  <si>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</si>
  <si>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</si>
  <si>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</si>
  <si>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</si>
  <si>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</si>
  <si>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</si>
  <si>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</si>
  <si>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</si>
  <si>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</si>
  <si>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</si>
  <si>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</si>
  <si>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</si>
  <si>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</si>
  <si>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</si>
  <si>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</si>
  <si>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</si>
  <si>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</si>
  <si>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</si>
  <si>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</si>
  <si>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</si>
  <si>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</si>
  <si>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</si>
  <si>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</si>
  <si>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</si>
  <si>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</si>
  <si>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</si>
  <si>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</si>
  <si>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</si>
  <si>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</si>
  <si>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</si>
  <si>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</si>
  <si>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</si>
  <si>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</si>
  <si>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</si>
  <si>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</si>
  <si>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</si>
  <si>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</si>
  <si>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</si>
  <si>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</si>
  <si>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</si>
  <si>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</si>
  <si>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</si>
  <si>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</si>
  <si>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</si>
  <si>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</si>
  <si>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</si>
  <si>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</si>
  <si>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</si>
  <si>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</si>
  <si>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</si>
  <si>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</si>
  <si>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</si>
  <si>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</si>
  <si>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</si>
  <si>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</si>
  <si>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</si>
  <si>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</si>
  <si>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</si>
  <si>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</si>
  <si>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</si>
  <si>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</si>
  <si>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</si>
  <si>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</si>
  <si>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</si>
  <si>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</si>
  <si>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</si>
  <si>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</si>
  <si>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</si>
  <si>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</si>
  <si>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</si>
  <si>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</si>
  <si>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</si>
  <si>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</si>
  <si>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</si>
  <si>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</si>
  <si>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</si>
  <si>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</si>
  <si>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</si>
  <si>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</si>
  <si>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</si>
  <si>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</si>
  <si>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</si>
  <si>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</si>
  <si>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</si>
  <si>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</si>
  <si>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</si>
  <si>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</si>
  <si>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</si>
  <si>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</si>
  <si>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</si>
  <si>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</si>
  <si>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</si>
  <si>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</si>
  <si>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</si>
  <si>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</si>
  <si>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</si>
  <si>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</si>
  <si>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</si>
  <si>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</si>
  <si>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</si>
  <si>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</si>
  <si>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</si>
  <si>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</si>
  <si>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</si>
  <si>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</si>
  <si>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</si>
  <si>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</si>
  <si>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</si>
  <si>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</si>
  <si>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</si>
  <si>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</si>
  <si>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</si>
  <si>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</si>
  <si>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</si>
  <si>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</si>
  <si>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</si>
  <si>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</si>
  <si>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</si>
  <si>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</si>
  <si>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</si>
  <si>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</si>
  <si>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</si>
  <si>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</si>
  <si>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</si>
  <si>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</si>
  <si>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</si>
  <si>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</si>
  <si>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</si>
  <si>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</si>
  <si>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</si>
  <si>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</si>
  <si>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</si>
  <si>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</si>
  <si>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</si>
  <si>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</si>
  <si>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</si>
  <si>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</si>
  <si>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</si>
  <si>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</si>
  <si>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</si>
  <si>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</si>
  <si>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</si>
  <si>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</si>
  <si>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</si>
  <si>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</si>
  <si>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</si>
  <si>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</si>
  <si>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</si>
  <si>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</si>
  <si>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</si>
  <si>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</si>
  <si>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</si>
  <si>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</si>
  <si>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</si>
  <si>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</si>
  <si>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</si>
  <si>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</si>
  <si>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</si>
  <si>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</si>
  <si>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</si>
  <si>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</si>
  <si>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</si>
  <si>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</si>
  <si>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</si>
  <si>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</si>
  <si>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</si>
  <si>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</si>
  <si>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</si>
  <si>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</si>
  <si>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</si>
  <si>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</si>
  <si>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</si>
  <si>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</si>
  <si>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</si>
  <si>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</si>
  <si>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</si>
  <si>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</si>
  <si>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</si>
  <si>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</si>
  <si>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</si>
  <si>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</si>
  <si>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</si>
  <si>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</si>
  <si>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</si>
  <si>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</si>
  <si>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</si>
  <si>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</si>
  <si>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</si>
  <si>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</si>
  <si>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</si>
  <si>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</si>
  <si>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</si>
  <si>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</si>
  <si>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</si>
  <si>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</si>
  <si>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</si>
  <si>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</si>
  <si>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</si>
  <si>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</si>
  <si>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</si>
  <si>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</si>
  <si>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</si>
  <si>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</si>
  <si>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</si>
  <si>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</si>
  <si>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</si>
  <si>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</si>
  <si>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</si>
  <si>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</si>
  <si>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</si>
  <si>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</si>
  <si>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</si>
  <si>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</si>
  <si>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</si>
  <si>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</si>
  <si>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</si>
  <si>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</si>
  <si>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</si>
  <si>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</si>
  <si>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</si>
  <si>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</si>
  <si>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</si>
  <si>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</si>
  <si>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</si>
  <si>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</si>
  <si>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</si>
  <si>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</si>
  <si>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</si>
  <si>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</si>
  <si>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</si>
  <si>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</si>
  <si>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</si>
  <si>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</si>
  <si>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</si>
  <si>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</si>
  <si>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</si>
  <si>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</si>
  <si>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</si>
  <si>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</si>
  <si>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</si>
  <si>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</si>
  <si>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</si>
  <si>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</si>
  <si>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</si>
  <si>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</si>
  <si>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</si>
  <si>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</si>
  <si>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</si>
  <si>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</si>
  <si>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</si>
  <si>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</si>
  <si>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</si>
  <si>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</si>
  <si>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</si>
  <si>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</si>
  <si>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</si>
  <si>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</si>
  <si>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</si>
  <si>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</si>
  <si>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</si>
  <si>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</si>
  <si>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</si>
  <si>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</si>
  <si>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</si>
  <si>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</si>
  <si>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</si>
  <si>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</si>
  <si>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</si>
  <si>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</si>
  <si>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</si>
  <si>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</si>
  <si>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</si>
  <si>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</si>
  <si>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</si>
  <si>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</si>
  <si>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</si>
  <si>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</si>
  <si>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</si>
  <si>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</si>
  <si>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</si>
  <si>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</si>
  <si>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</si>
  <si>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</si>
  <si>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</si>
  <si>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</si>
  <si>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</si>
  <si>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</si>
  <si>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</si>
  <si>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</si>
  <si>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</si>
  <si>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</si>
  <si>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</si>
  <si>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</si>
  <si>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</si>
  <si>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</si>
  <si>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</si>
  <si>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</si>
  <si>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</si>
  <si>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</si>
  <si>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</si>
  <si>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</si>
  <si>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</si>
  <si>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</si>
  <si>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</si>
  <si>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</si>
  <si>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</si>
  <si>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</si>
  <si>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</si>
  <si>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</si>
  <si>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</si>
  <si>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</si>
  <si>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</si>
  <si>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</si>
  <si>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</si>
  <si>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</si>
  <si>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</si>
  <si>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</si>
  <si>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</si>
  <si>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</si>
  <si>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</si>
  <si>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</si>
  <si>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</si>
  <si>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</si>
  <si>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</si>
  <si>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</si>
  <si>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</si>
  <si>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</si>
  <si>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</si>
  <si>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</si>
  <si>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</si>
  <si>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</si>
  <si>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</si>
  <si>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</si>
  <si>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</si>
  <si>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</si>
  <si>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</si>
  <si>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</si>
  <si>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</si>
  <si>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</si>
  <si>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</si>
  <si>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</si>
  <si>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</si>
  <si>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</si>
  <si>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</si>
  <si>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</si>
  <si>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</si>
  <si>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</si>
  <si>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</si>
  <si>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</si>
  <si>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</si>
  <si>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</si>
  <si>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</si>
  <si>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</si>
  <si>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</si>
  <si>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</si>
  <si>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</si>
  <si>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</si>
  <si>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</si>
  <si>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</si>
  <si>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</si>
  <si>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</si>
  <si>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</si>
  <si>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</si>
  <si>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</si>
  <si>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</si>
  <si>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</si>
  <si>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</si>
  <si>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</si>
  <si>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</si>
  <si>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</si>
  <si>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</si>
  <si>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</si>
  <si>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</si>
  <si>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</si>
  <si>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</si>
  <si>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</si>
  <si>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</si>
  <si>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</si>
  <si>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</si>
  <si>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</si>
  <si>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</si>
  <si>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</si>
  <si>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</si>
  <si>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</si>
  <si>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</si>
  <si>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</si>
  <si>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</si>
  <si>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</si>
  <si>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</si>
  <si>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</si>
  <si>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</si>
  <si>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</si>
  <si>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</si>
  <si>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</si>
  <si>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</si>
  <si>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</si>
  <si>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</si>
  <si>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</si>
  <si>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</si>
  <si>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</si>
  <si>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</si>
  <si>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</si>
  <si>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</si>
  <si>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</si>
  <si>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</si>
  <si>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</si>
  <si>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</si>
  <si>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</si>
  <si>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</si>
  <si>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</si>
  <si>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</si>
  <si>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</si>
  <si>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</si>
  <si>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</si>
  <si>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</si>
  <si>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</si>
  <si>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</si>
  <si>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</si>
  <si>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</si>
  <si>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</si>
  <si>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</si>
  <si>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</si>
  <si>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</si>
  <si>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</si>
  <si>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</si>
  <si>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</si>
  <si>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</si>
  <si>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</si>
  <si>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</si>
  <si>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</si>
  <si>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</si>
  <si>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</si>
  <si>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</si>
  <si>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</si>
  <si>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</si>
  <si>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</si>
  <si>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</si>
  <si>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</si>
  <si>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</si>
  <si>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</si>
  <si>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</si>
  <si>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</si>
  <si>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</si>
  <si>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</si>
  <si>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</si>
  <si>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</si>
  <si>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</si>
  <si>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</si>
  <si>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</si>
  <si>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</si>
  <si>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</si>
  <si>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</si>
  <si>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</si>
  <si>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</si>
  <si>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</si>
  <si>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</si>
  <si>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</si>
  <si>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</si>
  <si>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</si>
  <si>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</si>
  <si>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</si>
  <si>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</si>
  <si>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</si>
  <si>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</si>
  <si>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</si>
  <si>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</si>
  <si>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</si>
  <si>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</si>
  <si>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</si>
  <si>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</si>
  <si>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</si>
  <si>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</si>
  <si>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</si>
  <si>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</si>
  <si>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</si>
  <si>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</si>
  <si>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</si>
  <si>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</si>
  <si>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</si>
  <si>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</si>
  <si>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</si>
  <si>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</si>
  <si>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</si>
  <si>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</si>
  <si>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</si>
  <si>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</si>
  <si>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</si>
  <si>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</si>
  <si>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</si>
  <si>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</si>
  <si>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</si>
  <si>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</si>
  <si>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</si>
  <si>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</si>
  <si>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</si>
  <si>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</si>
  <si>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</si>
  <si>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</si>
  <si>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</si>
  <si>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</si>
  <si>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</si>
  <si>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</si>
  <si>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</si>
  <si>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</si>
  <si>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</si>
  <si>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</si>
  <si>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</si>
  <si>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</si>
  <si>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</si>
  <si>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</si>
  <si>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</si>
  <si>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</si>
  <si>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</si>
  <si>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</si>
  <si>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</si>
  <si>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</si>
  <si>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</si>
  <si>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</si>
  <si>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</si>
  <si>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</si>
  <si>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</si>
  <si>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</si>
  <si>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</si>
  <si>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</si>
  <si>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</si>
  <si>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</si>
  <si>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</si>
  <si>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</si>
  <si>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</si>
  <si>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</si>
  <si>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</si>
  <si>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</si>
  <si>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</si>
  <si>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</si>
  <si>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</si>
  <si>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</si>
  <si>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</si>
  <si>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</si>
  <si>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</si>
  <si>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</si>
  <si>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</si>
  <si>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</si>
  <si>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</si>
  <si>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</si>
  <si>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</si>
  <si>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</si>
  <si>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</si>
  <si>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</si>
  <si>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</si>
  <si>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</si>
  <si>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</si>
  <si>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</si>
  <si>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</si>
  <si>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</si>
  <si>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</si>
  <si>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</si>
  <si>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</si>
  <si>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</si>
  <si>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</si>
  <si>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</si>
  <si>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</si>
  <si>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</si>
  <si>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</si>
  <si>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</si>
  <si>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</si>
  <si>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</si>
  <si>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</si>
  <si>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</si>
  <si>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</si>
  <si>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</si>
  <si>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</si>
  <si>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</si>
  <si>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</si>
  <si>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</si>
  <si>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</si>
  <si>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</si>
  <si>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</si>
  <si>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</si>
  <si>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</si>
  <si>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</si>
  <si>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</si>
  <si>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</si>
  <si>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</si>
  <si>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</si>
  <si>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</si>
  <si>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</si>
  <si>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</si>
  <si>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</si>
  <si>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</si>
  <si>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</si>
  <si>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</si>
  <si>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</si>
  <si>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</si>
  <si>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</si>
  <si>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</si>
  <si>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</si>
  <si>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</si>
  <si>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</si>
  <si>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</si>
  <si>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</si>
  <si>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</si>
  <si>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</si>
  <si>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</si>
  <si>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</si>
  <si>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</si>
  <si>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</si>
  <si>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</si>
  <si>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</si>
  <si>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</si>
  <si>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</si>
  <si>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</si>
  <si>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</si>
  <si>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</si>
  <si>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</si>
  <si>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</si>
  <si>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</si>
  <si>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</si>
  <si>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</si>
  <si>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</si>
  <si>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</si>
  <si>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</si>
  <si>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</si>
  <si>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</si>
  <si>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</si>
  <si>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</si>
  <si>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</si>
  <si>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</si>
  <si>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</si>
  <si>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</si>
  <si>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</si>
  <si>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</si>
  <si>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</si>
  <si>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</si>
  <si>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</si>
  <si>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</si>
  <si>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</si>
  <si>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</si>
  <si>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</si>
  <si>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</si>
  <si>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</si>
  <si>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</si>
  <si>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</si>
  <si>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</si>
  <si>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</si>
  <si>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</si>
  <si>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</si>
  <si>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</si>
  <si>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</si>
  <si>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</si>
  <si>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</si>
  <si>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</si>
  <si>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</si>
  <si>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</si>
  <si>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</si>
  <si>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</si>
  <si>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</si>
  <si>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</si>
  <si>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</si>
  <si>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</si>
  <si>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</si>
  <si>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</si>
  <si>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</si>
  <si>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</si>
  <si>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</si>
  <si>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</si>
  <si>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</si>
  <si>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</si>
  <si>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</si>
  <si>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</si>
  <si>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</si>
  <si>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</si>
  <si>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</si>
  <si>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</si>
  <si>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</si>
  <si>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</si>
  <si>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</si>
  <si>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</si>
  <si>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</si>
  <si>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</si>
  <si>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</si>
  <si>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</si>
  <si>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</si>
  <si>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</si>
  <si>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</si>
  <si>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</si>
  <si>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</si>
  <si>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</si>
  <si>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</si>
  <si>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</si>
  <si>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</si>
  <si>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</si>
  <si>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</si>
  <si>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</si>
  <si>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</si>
  <si>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</si>
  <si>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</si>
  <si>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</si>
  <si>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</si>
  <si>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</si>
  <si>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</si>
  <si>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</si>
  <si>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</si>
  <si>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</si>
  <si>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</si>
  <si>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</si>
  <si>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</si>
  <si>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</si>
  <si>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</si>
  <si>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</si>
  <si>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</si>
  <si>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</si>
  <si>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</si>
  <si>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</si>
  <si>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</si>
  <si>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</si>
  <si>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</si>
  <si>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</si>
  <si>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</si>
  <si>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</si>
  <si>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</si>
  <si>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</si>
  <si>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</si>
  <si>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</si>
  <si>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</si>
  <si>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</si>
  <si>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</si>
  <si>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</si>
  <si>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</si>
  <si>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</si>
  <si>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</si>
  <si>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</si>
  <si>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</si>
  <si>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</si>
  <si>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</si>
  <si>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</si>
  <si>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</si>
  <si>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</si>
  <si>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</si>
  <si>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</si>
  <si>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</si>
  <si>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</si>
  <si>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</si>
  <si>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</si>
  <si>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</si>
  <si>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</si>
  <si>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</si>
  <si>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</si>
  <si>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</si>
  <si>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</si>
  <si>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</si>
  <si>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</si>
  <si>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</si>
  <si>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</si>
  <si>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</si>
  <si>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</si>
  <si>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</si>
  <si>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</si>
  <si>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</si>
  <si>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</si>
  <si>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</si>
  <si>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</si>
  <si>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</si>
  <si>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</si>
  <si>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</si>
  <si>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</si>
  <si>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</si>
  <si>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</si>
  <si>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</si>
  <si>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</si>
  <si>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</si>
  <si>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</si>
  <si>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</si>
  <si>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</si>
  <si>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</si>
  <si>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</si>
  <si>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</si>
  <si>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</si>
  <si>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</si>
  <si>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</si>
  <si>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</si>
  <si>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</si>
  <si>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</si>
  <si>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</si>
  <si>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</si>
  <si>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</si>
  <si>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</si>
  <si>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</si>
  <si>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</si>
  <si>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</si>
  <si>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</si>
  <si>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</si>
  <si>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</si>
  <si>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</si>
  <si>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</si>
  <si>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</si>
  <si>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</si>
  <si>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</si>
  <si>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</si>
  <si>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</si>
  <si>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</si>
  <si>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</si>
  <si>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</si>
  <si>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</si>
  <si>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</si>
  <si>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</si>
  <si>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</si>
  <si>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</si>
  <si>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</si>
  <si>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</si>
  <si>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</si>
  <si>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</si>
  <si>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</si>
  <si>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</si>
  <si>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</si>
  <si>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</si>
  <si>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</si>
  <si>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</si>
  <si>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</si>
  <si>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</si>
  <si>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</si>
  <si>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</si>
  <si>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</si>
  <si>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</si>
  <si>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</si>
  <si>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</si>
  <si>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</si>
  <si>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</si>
  <si>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</si>
  <si>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</si>
  <si>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</si>
  <si>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</si>
  <si>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</si>
  <si>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</si>
  <si>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</si>
  <si>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</si>
  <si>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</si>
  <si>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</si>
  <si>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</si>
  <si>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</si>
  <si>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</si>
  <si>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</si>
  <si>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</si>
  <si>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</si>
  <si>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</si>
  <si>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</si>
  <si>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</si>
  <si>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</si>
  <si>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</si>
  <si>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</si>
  <si>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</si>
  <si>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</si>
  <si>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</si>
  <si>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</si>
  <si>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</si>
  <si>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</si>
  <si>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</si>
  <si>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</si>
  <si>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</si>
  <si>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</si>
  <si>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</si>
  <si>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</si>
  <si>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</si>
  <si>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</si>
  <si>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</si>
  <si>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</si>
  <si>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</si>
  <si>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</si>
  <si>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</si>
  <si>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</si>
  <si>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</si>
  <si>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</si>
  <si>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</si>
  <si>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</si>
  <si>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</si>
  <si>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</si>
  <si>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</si>
  <si>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</si>
  <si>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</si>
  <si>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</si>
  <si>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</si>
  <si>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</si>
  <si>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</si>
  <si>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</si>
  <si>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</si>
  <si>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</si>
  <si>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</si>
  <si>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</si>
  <si>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</si>
  <si>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</si>
  <si>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</si>
  <si>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</si>
  <si>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</si>
  <si>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</si>
  <si>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</si>
  <si>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</si>
  <si>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</si>
  <si>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</si>
  <si>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</si>
  <si>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</si>
  <si>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</si>
  <si>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</si>
  <si>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</si>
  <si>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</si>
  <si>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</si>
  <si>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</si>
  <si>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</si>
  <si>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</si>
  <si>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</si>
  <si>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</si>
  <si>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</si>
  <si>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</si>
  <si>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</si>
  <si>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</si>
  <si>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</si>
  <si>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</si>
  <si>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</si>
  <si>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</si>
  <si>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</si>
  <si>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</si>
  <si>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</si>
  <si>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</si>
  <si>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</si>
  <si>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</si>
  <si>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</si>
  <si>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</si>
  <si>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</si>
  <si>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</si>
  <si>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</si>
  <si>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</si>
  <si>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</si>
  <si>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</si>
  <si>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</si>
  <si>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</si>
  <si>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</si>
  <si>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</si>
  <si>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</si>
  <si>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</si>
  <si>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</si>
  <si>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</si>
  <si>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</si>
  <si>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</si>
  <si>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</si>
  <si>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</si>
  <si>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</si>
  <si>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</si>
  <si>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</si>
  <si>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</si>
  <si>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</si>
  <si>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</si>
  <si>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</si>
  <si>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</si>
  <si>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</si>
  <si>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</si>
  <si>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</si>
  <si>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</si>
  <si>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</si>
  <si>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</si>
  <si>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</si>
  <si>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</si>
  <si>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</si>
  <si>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</si>
  <si>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</si>
  <si>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</si>
  <si>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</si>
  <si>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</si>
  <si>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</si>
  <si>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</si>
  <si>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</si>
  <si>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</si>
  <si>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</si>
  <si>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</si>
  <si>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</si>
  <si>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</si>
  <si>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</si>
  <si>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</si>
  <si>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</si>
  <si>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</si>
  <si>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</si>
  <si>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</si>
  <si>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</si>
  <si>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</si>
  <si>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</si>
  <si>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</si>
  <si>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</si>
  <si>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</si>
  <si>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</si>
  <si>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</si>
  <si>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</si>
  <si>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</si>
  <si>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</si>
  <si>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</si>
  <si>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</si>
  <si>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</si>
  <si>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</si>
  <si>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</si>
  <si>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</si>
  <si>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</si>
  <si>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</si>
  <si>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</si>
  <si>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</si>
  <si>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</si>
  <si>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</si>
  <si>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</si>
  <si>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</si>
  <si>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</si>
  <si>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</si>
  <si>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</si>
  <si>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</si>
  <si>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</si>
  <si>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</si>
  <si>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</si>
  <si>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</si>
  <si>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</si>
  <si>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</si>
  <si>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</si>
  <si>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</si>
  <si>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</si>
  <si>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</si>
  <si>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</si>
  <si>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</si>
  <si>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</si>
  <si>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</si>
  <si>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</si>
  <si>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</si>
  <si>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</si>
  <si>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</si>
  <si>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</si>
  <si>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</si>
  <si>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</si>
  <si>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</si>
  <si>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</si>
  <si>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</si>
  <si>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</si>
  <si>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</si>
  <si>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</si>
  <si>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</si>
  <si>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</si>
  <si>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</si>
  <si>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</si>
  <si>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</si>
  <si>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</si>
  <si>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</si>
  <si>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</si>
  <si>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</si>
  <si>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</si>
  <si>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</si>
  <si>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</si>
  <si>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</si>
  <si>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</si>
  <si>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</si>
  <si>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</si>
  <si>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</si>
  <si>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</si>
  <si>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</si>
  <si>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</si>
  <si>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</si>
  <si>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</si>
  <si>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</si>
  <si>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</si>
  <si>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</si>
  <si>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</si>
  <si>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</si>
  <si>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</si>
  <si>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</si>
  <si>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</si>
  <si>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</si>
  <si>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</si>
  <si>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</si>
  <si>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</si>
  <si>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</si>
  <si>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</si>
  <si>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</si>
  <si>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</si>
  <si>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</si>
  <si>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</si>
  <si>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</si>
  <si>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</si>
  <si>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</si>
  <si>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</si>
  <si>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</si>
  <si>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</si>
  <si>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</si>
  <si>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</si>
  <si>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</si>
  <si>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</si>
  <si>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</si>
  <si>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</si>
  <si>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</si>
  <si>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</si>
  <si>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</si>
  <si>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</si>
  <si>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</si>
  <si>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</si>
  <si>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</si>
  <si>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</si>
  <si>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</si>
  <si>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</si>
  <si>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</si>
  <si>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</si>
  <si>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</si>
  <si>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</si>
  <si>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</si>
  <si>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</si>
  <si>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</si>
  <si>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</si>
  <si>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</si>
  <si>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</si>
  <si>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</si>
  <si>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</si>
  <si>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</si>
  <si>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</si>
  <si>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</si>
  <si>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</si>
  <si>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</si>
  <si>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</si>
  <si>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</si>
  <si>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</si>
  <si>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</si>
  <si>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</si>
  <si>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</si>
  <si>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</si>
  <si>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</si>
  <si>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</si>
  <si>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</si>
  <si>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</si>
  <si>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</si>
  <si>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</si>
  <si>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</si>
  <si>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</si>
  <si>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</si>
  <si>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</si>
  <si>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</si>
  <si>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</si>
  <si>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</si>
  <si>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</si>
  <si>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</si>
  <si>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</si>
  <si>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</si>
  <si>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</si>
  <si>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</si>
  <si>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</si>
  <si>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</si>
  <si>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</si>
  <si>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</si>
  <si>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</si>
  <si>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</si>
  <si>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</si>
  <si>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</si>
  <si>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</si>
  <si>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</si>
  <si>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</si>
  <si>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</si>
  <si>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</si>
  <si>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</si>
  <si>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</si>
  <si>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</si>
  <si>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</si>
  <si>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</si>
  <si>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</si>
  <si>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</si>
  <si>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</si>
  <si>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</si>
  <si>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</si>
  <si>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</si>
  <si>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</si>
  <si>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</si>
  <si>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</si>
  <si>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</si>
  <si>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</si>
  <si>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</si>
  <si>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</si>
  <si>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</si>
  <si>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</si>
  <si>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</si>
  <si>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</si>
  <si>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</si>
  <si>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</si>
  <si>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</si>
  <si>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</si>
  <si>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</si>
  <si>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</si>
  <si>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</si>
  <si>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</si>
  <si>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</si>
  <si>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</si>
  <si>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</si>
  <si>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</si>
  <si>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</si>
  <si>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</si>
  <si>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</si>
  <si>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</si>
  <si>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</si>
  <si>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</si>
  <si>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</si>
  <si>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</si>
  <si>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</si>
  <si>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</si>
  <si>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</si>
  <si>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</si>
  <si>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</si>
  <si>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</si>
  <si>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</si>
  <si>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</si>
  <si>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</si>
  <si>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</si>
  <si>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</si>
  <si>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</si>
  <si>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</si>
  <si>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</si>
  <si>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</si>
  <si>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</si>
  <si>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</si>
  <si>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</si>
  <si>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</si>
  <si>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</si>
  <si>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</si>
  <si>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</si>
  <si>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</si>
  <si>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</si>
  <si>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</si>
  <si>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</si>
  <si>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</si>
  <si>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</si>
  <si>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</si>
  <si>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</si>
  <si>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</si>
  <si>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</si>
  <si>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</si>
  <si>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</si>
  <si>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</si>
  <si>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</si>
  <si>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</si>
  <si>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</si>
  <si>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</si>
  <si>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</si>
  <si>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</si>
  <si>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</si>
  <si>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</si>
  <si>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</si>
  <si>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</si>
  <si>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</si>
  <si>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</si>
  <si>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</si>
  <si>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</si>
  <si>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</si>
  <si>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</si>
  <si>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</si>
  <si>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</si>
  <si>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</si>
  <si>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</si>
  <si>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</si>
  <si>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</si>
  <si>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</si>
  <si>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</si>
  <si>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</si>
  <si>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</si>
  <si>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</si>
  <si>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</si>
  <si>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</si>
  <si>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</si>
  <si>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</si>
  <si>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</si>
  <si>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</si>
  <si>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</si>
  <si>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</si>
  <si>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</si>
  <si>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</si>
  <si>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</si>
  <si>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</si>
  <si>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</si>
  <si>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</si>
  <si>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</si>
  <si>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</si>
  <si>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</si>
  <si>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</si>
  <si>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</si>
  <si>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</si>
  <si>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</si>
  <si>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</si>
  <si>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</si>
  <si>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</si>
  <si>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</si>
  <si>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</si>
  <si>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</si>
  <si>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</si>
  <si>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</si>
  <si>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</si>
  <si>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</si>
  <si>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</si>
  <si>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</si>
  <si>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</si>
  <si>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</si>
  <si>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</si>
  <si>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</si>
  <si>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</si>
  <si>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</si>
  <si>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</si>
  <si>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</si>
  <si>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</si>
  <si>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</si>
  <si>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</si>
  <si>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</si>
  <si>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</si>
  <si>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</si>
  <si>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</si>
  <si>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</si>
  <si>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</si>
  <si>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</si>
  <si>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</si>
  <si>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</si>
  <si>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</si>
  <si>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</si>
  <si>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</si>
  <si>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</si>
  <si>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</si>
  <si>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</si>
  <si>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</si>
  <si>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</si>
  <si>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</si>
  <si>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</si>
  <si>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</si>
  <si>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</si>
  <si>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</si>
  <si>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</si>
  <si>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</si>
  <si>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</si>
  <si>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</si>
  <si>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</si>
  <si>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</si>
  <si>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</si>
  <si>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</si>
  <si>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</si>
  <si>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</si>
  <si>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</si>
  <si>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</si>
  <si>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</si>
  <si>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</si>
  <si>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</si>
  <si>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</si>
  <si>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</si>
  <si>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</si>
  <si>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</si>
  <si>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</si>
  <si>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</si>
  <si>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</si>
  <si>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</si>
  <si>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</si>
  <si>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</si>
  <si>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</si>
  <si>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</si>
  <si>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</si>
  <si>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</si>
  <si>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</si>
  <si>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</si>
  <si>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</si>
  <si>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</si>
  <si>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</si>
  <si>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</si>
  <si>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</si>
  <si>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</si>
  <si>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</si>
  <si>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</si>
  <si>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</si>
  <si>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</si>
  <si>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</si>
  <si>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</si>
  <si>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</si>
  <si>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</si>
  <si>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</si>
  <si>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</si>
  <si>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</si>
  <si>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</si>
  <si>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</si>
  <si>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</si>
  <si>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</si>
  <si>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</si>
  <si>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</si>
  <si>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</si>
  <si>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</si>
  <si>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</si>
  <si>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</si>
  <si>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</si>
  <si>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</si>
  <si>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</si>
  <si>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</si>
  <si>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</si>
  <si>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</si>
  <si>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</si>
  <si>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</si>
  <si>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</si>
  <si>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</si>
  <si>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</si>
  <si>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</si>
  <si>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</si>
  <si>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</si>
  <si>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</si>
  <si>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</si>
  <si>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</si>
  <si>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</si>
  <si>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</si>
  <si>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</si>
  <si>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</si>
  <si>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</si>
  <si>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</si>
  <si>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</si>
  <si>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</si>
  <si>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</si>
  <si>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</si>
  <si>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</si>
  <si>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</si>
  <si>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</si>
  <si>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</si>
  <si>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</si>
  <si>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</si>
  <si>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</si>
  <si>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</si>
  <si>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</si>
  <si>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</si>
  <si>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</si>
  <si>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</si>
  <si>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</si>
  <si>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</si>
  <si>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</si>
  <si>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</si>
  <si>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</si>
  <si>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</si>
  <si>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</si>
  <si>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</si>
  <si>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</si>
  <si>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</si>
  <si>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</si>
  <si>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</si>
  <si>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</si>
  <si>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</si>
  <si>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</si>
  <si>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</si>
  <si>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</si>
  <si>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</si>
  <si>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</si>
  <si>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</si>
  <si>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</si>
  <si>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</si>
  <si>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</si>
  <si>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</si>
  <si>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</si>
  <si>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</si>
  <si>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</si>
  <si>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</si>
  <si>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</si>
  <si>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</si>
  <si>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</si>
  <si>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</si>
  <si>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</si>
  <si>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</si>
  <si>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</si>
  <si>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</si>
  <si>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</si>
  <si>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</si>
  <si>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</si>
  <si>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</si>
  <si>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</si>
  <si>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</si>
  <si>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</si>
  <si>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</si>
  <si>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</si>
  <si>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</si>
  <si>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</si>
  <si>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</si>
  <si>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</si>
  <si>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</si>
  <si>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</si>
  <si>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</si>
  <si>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</si>
  <si>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</si>
  <si>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</si>
  <si>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</si>
  <si>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</si>
  <si>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</si>
  <si>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</si>
  <si>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</si>
  <si>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</si>
  <si>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</si>
  <si>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</si>
  <si>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</si>
  <si>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</si>
  <si>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</si>
  <si>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</si>
  <si>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</si>
  <si>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</si>
  <si>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</si>
  <si>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</si>
  <si>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</si>
  <si>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</si>
  <si>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</si>
  <si>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</si>
  <si>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</si>
  <si>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</si>
  <si>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</si>
  <si>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</si>
  <si>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</si>
  <si>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</si>
  <si>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</si>
  <si>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</si>
  <si>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</si>
  <si>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</si>
  <si>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</si>
  <si>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</si>
  <si>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</si>
  <si>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</si>
  <si>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</si>
  <si>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</si>
  <si>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</si>
  <si>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</si>
  <si>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</si>
  <si>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</si>
  <si>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</si>
  <si>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</si>
  <si>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</si>
  <si>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</si>
  <si>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</si>
  <si>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</si>
  <si>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</si>
  <si>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</si>
  <si>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</si>
  <si>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</si>
  <si>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</si>
  <si>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</si>
  <si>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</si>
  <si>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</si>
  <si>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</si>
  <si>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</si>
  <si>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</si>
  <si>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</si>
  <si>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</si>
  <si>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</si>
  <si>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</si>
  <si>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</si>
  <si>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</si>
  <si>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</si>
  <si>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</si>
  <si>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</si>
  <si>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</si>
  <si>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</si>
  <si>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</si>
  <si>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</si>
  <si>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</si>
  <si>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</si>
  <si>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</si>
  <si>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</si>
  <si>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</si>
  <si>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</si>
  <si>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</si>
  <si>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</si>
  <si>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</si>
  <si>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</si>
  <si>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</si>
  <si>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</si>
  <si>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</si>
  <si>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</si>
  <si>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</si>
  <si>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</si>
  <si>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</si>
  <si>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</si>
  <si>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</si>
  <si>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</si>
  <si>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</si>
  <si>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</si>
  <si>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</si>
  <si>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</si>
  <si>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</si>
  <si>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</si>
  <si>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</si>
  <si>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</si>
  <si>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</si>
  <si>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</si>
  <si>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</si>
  <si>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</si>
  <si>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</si>
  <si>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</si>
  <si>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</si>
  <si>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</si>
  <si>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</si>
  <si>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</si>
  <si>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</si>
  <si>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</si>
  <si>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</si>
  <si>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</si>
  <si>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</si>
  <si>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</si>
  <si>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</si>
  <si>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</si>
  <si>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</si>
  <si>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</si>
  <si>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</si>
  <si>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</si>
  <si>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</si>
  <si>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</si>
  <si>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</si>
  <si>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</si>
  <si>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</si>
  <si>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</si>
  <si>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</si>
  <si>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</si>
  <si>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</si>
  <si>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</si>
  <si>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</si>
  <si>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</si>
  <si>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</si>
  <si>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</si>
  <si>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</si>
  <si>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</si>
  <si>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</si>
  <si>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</si>
  <si>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</si>
  <si>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</si>
  <si>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</si>
  <si>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</si>
  <si>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</si>
  <si>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</si>
  <si>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</si>
  <si>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</si>
  <si>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</si>
  <si>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</si>
  <si>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</si>
  <si>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</si>
  <si>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</si>
  <si>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</si>
  <si>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</si>
  <si>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</si>
  <si>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</si>
  <si>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</si>
  <si>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</si>
  <si>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</si>
  <si>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</si>
  <si>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</si>
  <si>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</si>
  <si>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</si>
  <si>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</si>
  <si>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</si>
  <si>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</si>
  <si>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</si>
  <si>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</si>
  <si>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</si>
  <si>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</si>
  <si>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</si>
  <si>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</si>
  <si>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</si>
  <si>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</si>
  <si>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</si>
  <si>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</si>
  <si>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</si>
  <si>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</si>
  <si>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</si>
  <si>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</si>
  <si>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</si>
  <si>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</si>
  <si>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</si>
  <si>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</si>
  <si>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</si>
  <si>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</si>
  <si>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</si>
  <si>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</si>
  <si>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</si>
  <si>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</si>
  <si>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</si>
  <si>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</si>
  <si>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</si>
  <si>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</si>
  <si>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</si>
  <si>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</si>
  <si>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</si>
  <si>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</si>
  <si>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</si>
  <si>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</si>
  <si>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</si>
  <si>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</si>
  <si>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</si>
  <si>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</si>
  <si>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</si>
  <si>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</si>
  <si>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</si>
  <si>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</si>
  <si>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</si>
  <si>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</si>
  <si>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</si>
  <si>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</si>
  <si>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</si>
  <si>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</si>
  <si>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</si>
  <si>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</si>
  <si>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</si>
  <si>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</si>
  <si>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</si>
  <si>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</si>
  <si>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</si>
  <si>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</si>
  <si>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</si>
  <si>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</si>
  <si>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</si>
  <si>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</si>
  <si>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</si>
  <si>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</si>
  <si>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</si>
  <si>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</si>
  <si>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</si>
  <si>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</si>
  <si>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</si>
  <si>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</si>
  <si>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</si>
  <si>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</si>
  <si>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</si>
  <si>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</si>
  <si>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</si>
  <si>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</si>
  <si>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</si>
  <si>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</si>
  <si>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</si>
  <si>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</si>
  <si>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</si>
  <si>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</si>
  <si>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</si>
  <si>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</si>
  <si>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</si>
  <si>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</si>
  <si>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</si>
  <si>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</si>
  <si>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</si>
  <si>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</si>
  <si>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</si>
  <si>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</si>
  <si>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</si>
  <si>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</si>
  <si>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</si>
  <si>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</si>
  <si>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</si>
  <si>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</si>
  <si>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</si>
  <si>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</si>
  <si>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</si>
  <si>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</si>
  <si>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</si>
  <si>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</si>
  <si>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</si>
  <si>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</si>
  <si>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</si>
  <si>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</si>
  <si>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</si>
  <si>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</si>
  <si>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</si>
  <si>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</si>
  <si>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</si>
  <si>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</si>
  <si>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</si>
  <si>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</si>
  <si>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</si>
  <si>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</si>
  <si>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</si>
  <si>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</si>
  <si>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</si>
  <si>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</si>
  <si>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</si>
  <si>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</si>
  <si>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</si>
  <si>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</si>
  <si>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</si>
  <si>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</si>
  <si>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</si>
  <si>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</si>
  <si>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</si>
  <si>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</si>
  <si>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</si>
  <si>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</si>
  <si>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</si>
  <si>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</si>
  <si>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</si>
  <si>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</si>
  <si>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</si>
  <si>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</si>
  <si>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</si>
  <si>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</si>
  <si>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</si>
  <si>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</si>
  <si>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</si>
  <si>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</si>
  <si>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</si>
  <si>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</si>
  <si>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</si>
  <si>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</si>
  <si>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</si>
  <si>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</si>
  <si>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</si>
  <si>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</si>
  <si>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</si>
  <si>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</si>
  <si>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</si>
  <si>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</si>
  <si>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</si>
  <si>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</si>
  <si>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</si>
  <si>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</si>
  <si>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</si>
  <si>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</si>
  <si>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</si>
  <si>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</si>
  <si>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</si>
  <si>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</si>
  <si>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</si>
  <si>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</si>
  <si>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</si>
  <si>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</si>
  <si>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</si>
  <si>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</si>
  <si>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</si>
  <si>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</si>
  <si>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</si>
  <si>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</si>
  <si>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</si>
  <si>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</si>
  <si>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</si>
  <si>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</si>
  <si>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</si>
  <si>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</si>
  <si>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</si>
  <si>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</si>
  <si>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</si>
  <si>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</si>
  <si>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</si>
  <si>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</si>
  <si>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</si>
  <si>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</si>
  <si>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</si>
  <si>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</si>
  <si>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</si>
  <si>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</si>
  <si>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</si>
  <si>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</si>
  <si>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</si>
  <si>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</si>
  <si>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</si>
  <si>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</si>
  <si>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</si>
  <si>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</si>
  <si>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</si>
  <si>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</si>
  <si>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</si>
  <si>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</si>
  <si>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</si>
  <si>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</si>
  <si>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</si>
  <si>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</si>
  <si>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</si>
  <si>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</si>
  <si>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</si>
  <si>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</si>
  <si>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이시맥, 김용진</t>
    <phoneticPr fontId="2" type="noConversion"/>
  </si>
  <si>
    <t>ML</t>
    <phoneticPr fontId="2" type="noConversion"/>
  </si>
  <si>
    <t>코멘트 검사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</si>
  <si>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</si>
  <si>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</si>
  <si>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</si>
  <si>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</si>
  <si>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</si>
  <si>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</si>
  <si>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</si>
  <si>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</si>
  <si>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</si>
  <si>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</si>
  <si>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</si>
  <si>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</si>
  <si>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</si>
  <si>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</si>
  <si>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</si>
  <si>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</si>
  <si>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</si>
  <si>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</si>
  <si>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</si>
  <si>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</si>
  <si>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</si>
  <si>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</si>
  <si>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</si>
  <si>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</si>
  <si>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</si>
  <si>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우신(1)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</si>
  <si>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</si>
  <si>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</si>
  <si>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</si>
  <si>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</si>
  <si>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</si>
  <si>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PV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</si>
  <si>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</si>
  <si>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</si>
  <si>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</si>
  <si>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</si>
  <si>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</si>
  <si>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</si>
  <si>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</si>
  <si>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</si>
  <si>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</si>
  <si>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</si>
  <si>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HOC</t>
    <phoneticPr fontId="2" type="noConversion"/>
  </si>
  <si>
    <t>조립</t>
    <phoneticPr fontId="2" type="noConversion"/>
  </si>
  <si>
    <t>HIO(3)</t>
    <phoneticPr fontId="2" type="noConversion"/>
  </si>
  <si>
    <t>포장</t>
    <phoneticPr fontId="2" type="noConversion"/>
  </si>
  <si>
    <t>이시맥기장</t>
    <phoneticPr fontId="2" type="noConversion"/>
  </si>
  <si>
    <t>2026-09-18 ~ 2026-09-22</t>
    <phoneticPr fontId="2" type="noConversion"/>
  </si>
  <si>
    <t>38주</t>
    <phoneticPr fontId="2" type="noConversion"/>
  </si>
  <si>
    <t>진진(2)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</si>
  <si>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</si>
  <si>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</si>
  <si>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</si>
  <si>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</si>
  <si>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</si>
  <si>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</si>
  <si>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</si>
  <si>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</si>
  <si>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설치, PUNCH 조치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</si>
  <si>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</si>
  <si>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</si>
  <si>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</si>
  <si>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미정</t>
    <phoneticPr fontId="2" type="noConversion"/>
  </si>
  <si>
    <t>39주</t>
    <phoneticPr fontId="2" type="noConversion"/>
  </si>
  <si>
    <t>인디게이터 설치, 플랫폼 간섭부 수정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</si>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</sst>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78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28" fillId="9" borderId="26" xfId="0" applyFont="1" applyFill="1" applyBorder="1" applyAlignment="1">
      <alignment horizontal="center" vertical="center" wrapText="1"/>
    </xf>
    <xf numFmtId="176" fontId="128" fillId="9" borderId="27" xfId="0" applyNumberFormat="1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wrapText="1"/>
    </xf>
    <xf numFmtId="0" fontId="128" fillId="9" borderId="27" xfId="0" applyFont="1" applyFill="1" applyBorder="1" applyAlignment="1">
      <alignment horizontal="center" vertical="center"/>
    </xf>
    <xf numFmtId="0" fontId="128" fillId="9" borderId="27" xfId="0" applyFont="1" applyFill="1" applyBorder="1" applyAlignment="1">
      <alignment horizontal="center" vertical="center" shrinkToFit="1"/>
    </xf>
    <xf numFmtId="0" fontId="128" fillId="9" borderId="28" xfId="0" applyFont="1" applyFill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8" fillId="0" borderId="30" xfId="0" quotePrefix="1" applyFont="1" applyBorder="1" applyAlignment="1">
      <alignment horizontal="center" vertical="center" wrapText="1" shrinkToFit="1"/>
    </xf>
    <xf numFmtId="0" fontId="6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 shrinkToFit="1"/>
    </xf>
    <xf numFmtId="0" fontId="6" fillId="0" borderId="32" xfId="0" applyFont="1" applyBorder="1" applyAlignment="1">
      <alignment horizontal="center" vertical="center" wrapText="1"/>
    </xf>
    <xf numFmtId="177" fontId="8" fillId="0" borderId="33" xfId="0" applyNumberFormat="1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112" fillId="0" borderId="7" xfId="0" applyFont="1" applyBorder="1">
      <alignment vertical="center"/>
    </xf>
    <xf numFmtId="0" fontId="112" fillId="0" borderId="35" xfId="0" applyFont="1" applyBorder="1" applyAlignment="1">
      <alignment horizontal="center" vertical="center"/>
    </xf>
    <xf numFmtId="0" fontId="112" fillId="0" borderId="36" xfId="0" applyFont="1" applyBorder="1" applyAlignment="1">
      <alignment horizontal="center" vertical="center"/>
    </xf>
    <xf numFmtId="0" fontId="112" fillId="0" borderId="39" xfId="0" applyFont="1" applyBorder="1" applyAlignment="1">
      <alignment horizontal="center" vertical="center"/>
    </xf>
    <xf numFmtId="0" fontId="112" fillId="0" borderId="41" xfId="0" applyFont="1" applyBorder="1" applyAlignment="1">
      <alignment horizontal="center" vertical="center"/>
    </xf>
    <xf numFmtId="0" fontId="112" fillId="0" borderId="33" xfId="0" applyFont="1" applyBorder="1" applyAlignment="1">
      <alignment horizontal="center" vertical="center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7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12" fillId="0" borderId="42" xfId="0" quotePrefix="1" applyFont="1" applyBorder="1" applyAlignment="1">
      <alignment horizontal="center" vertical="center"/>
    </xf>
    <xf numFmtId="0" fontId="112" fillId="0" borderId="43" xfId="0" quotePrefix="1" applyFont="1" applyBorder="1" applyAlignment="1">
      <alignment horizontal="center" vertical="center"/>
    </xf>
    <xf numFmtId="0" fontId="112" fillId="0" borderId="9" xfId="0" quotePrefix="1" applyFont="1" applyBorder="1" applyAlignment="1">
      <alignment horizontal="center" vertical="center"/>
    </xf>
    <xf numFmtId="0" fontId="112" fillId="0" borderId="40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7" xfId="0" applyFont="1" applyBorder="1" applyAlignment="1">
      <alignment horizontal="center" vertical="center"/>
    </xf>
    <xf numFmtId="0" fontId="112" fillId="0" borderId="38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28" fillId="9" borderId="44" xfId="0" applyFont="1" applyFill="1" applyBorder="1" applyAlignment="1">
      <alignment horizontal="center" vertical="center" wrapText="1"/>
    </xf>
    <xf numFmtId="0" fontId="8" fillId="0" borderId="7" xfId="0" quotePrefix="1" applyFont="1" applyBorder="1" applyAlignment="1">
      <alignment horizontal="center" vertical="center" wrapText="1" shrinkToFit="1"/>
    </xf>
    <xf numFmtId="0" fontId="8" fillId="0" borderId="7" xfId="0" applyFont="1" applyBorder="1" applyAlignment="1">
      <alignment horizontal="center" vertical="center" wrapText="1" shrinkToFit="1"/>
    </xf>
    <xf numFmtId="0" fontId="9" fillId="0" borderId="33" xfId="0" quotePrefix="1" applyFont="1" applyBorder="1" applyAlignment="1">
      <alignment horizontal="center" vertical="center" wrapText="1"/>
    </xf>
    <xf numFmtId="0" fontId="8" fillId="0" borderId="34" xfId="0" quotePrefix="1" applyFont="1" applyBorder="1" applyAlignment="1">
      <alignment horizontal="center" vertical="center" wrapText="1" shrinkToFit="1"/>
    </xf>
    <xf numFmtId="0" fontId="130" fillId="0" borderId="10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38"/>
  <sheetViews>
    <sheetView showGridLines="0" tabSelected="1" topLeftCell="B704" zoomScaleNormal="100" workbookViewId="0">
      <selection activeCell="L706" sqref="L706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71" t="s">
        <v>3261</v>
      </c>
      <c r="B1" s="871"/>
      <c r="C1" s="871"/>
      <c r="D1" s="871"/>
      <c r="E1" s="871"/>
      <c r="F1" s="871"/>
      <c r="G1" s="871"/>
      <c r="H1" s="871"/>
      <c r="I1" s="871"/>
      <c r="J1" s="871"/>
      <c r="K1" s="871"/>
      <c r="L1" s="871"/>
      <c r="M1" s="871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66"/>
      <c r="Q22" s="867"/>
      <c r="R22" s="867"/>
      <c r="S22" s="867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66"/>
      <c r="Q27" s="867"/>
      <c r="R27" s="867"/>
      <c r="S27" s="867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66"/>
      <c r="Q36" s="867"/>
      <c r="R36" s="867"/>
      <c r="S36" s="867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66"/>
      <c r="Q37" s="867"/>
      <c r="R37" s="867"/>
      <c r="S37" s="867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66"/>
      <c r="Q40" s="867"/>
      <c r="R40" s="867"/>
      <c r="S40" s="867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66"/>
      <c r="Q41" s="867"/>
      <c r="R41" s="867"/>
      <c r="S41" s="867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66" t="s">
        <v>4390</v>
      </c>
      <c r="Q43" s="867"/>
      <c r="R43" s="867"/>
      <c r="S43" s="867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66"/>
      <c r="Q61" s="867"/>
      <c r="R61" s="867"/>
      <c r="S61" s="867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66"/>
      <c r="Q64" s="867"/>
      <c r="R64" s="867"/>
      <c r="S64" s="867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66"/>
      <c r="Q67" s="867"/>
      <c r="R67" s="867"/>
      <c r="S67" s="867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66"/>
      <c r="Q74" s="867"/>
      <c r="R74" s="867"/>
      <c r="S74" s="867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66"/>
      <c r="Q83" s="867"/>
      <c r="R83" s="867"/>
      <c r="S83" s="867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66"/>
      <c r="Q85" s="867"/>
      <c r="R85" s="867"/>
      <c r="S85" s="867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66" t="s">
        <v>4390</v>
      </c>
      <c r="Q93" s="867"/>
      <c r="R93" s="867"/>
      <c r="S93" s="867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4"/>
      <c r="Q169" s="865"/>
      <c r="R169" s="865"/>
      <c r="S169" s="865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62" t="s">
        <v>4688</v>
      </c>
      <c r="Q182" s="863"/>
      <c r="R182" s="863"/>
      <c r="S182" s="863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68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69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69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70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68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69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69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7030</v>
      </c>
      <c r="F623" s="454" t="s">
        <v>3415</v>
      </c>
      <c r="G623" s="459" t="s">
        <v>23</v>
      </c>
      <c r="H623" s="800" t="s">
        <v>7025</v>
      </c>
      <c r="I623" s="797"/>
      <c r="J623" s="797" t="s">
        <v>7028</v>
      </c>
      <c r="K623" s="277" t="s">
        <v>15</v>
      </c>
      <c r="L623" s="16" t="s">
        <v>7029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7031</v>
      </c>
      <c r="H625" s="453" t="s">
        <v>7032</v>
      </c>
      <c r="I625" s="453" t="s">
        <v>1690</v>
      </c>
      <c r="J625" s="454" t="s">
        <v>316</v>
      </c>
      <c r="K625" s="136" t="s">
        <v>1356</v>
      </c>
      <c r="L625" s="459" t="s">
        <v>7033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7026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7035</v>
      </c>
      <c r="I628" s="797" t="s">
        <v>7034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7036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7037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7030</v>
      </c>
      <c r="F637" s="454" t="s">
        <v>3415</v>
      </c>
      <c r="G637" s="459" t="s">
        <v>23</v>
      </c>
      <c r="H637" s="800" t="s">
        <v>7043</v>
      </c>
      <c r="I637" s="797"/>
      <c r="J637" s="797" t="s">
        <v>7044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7038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7057</v>
      </c>
      <c r="D646" s="4" t="s">
        <v>17</v>
      </c>
      <c r="E646" s="800" t="s">
        <v>7058</v>
      </c>
      <c r="F646" s="797" t="s">
        <v>7059</v>
      </c>
      <c r="G646" s="16" t="s">
        <v>7060</v>
      </c>
      <c r="H646" s="800" t="s">
        <v>7061</v>
      </c>
      <c r="I646" s="797"/>
      <c r="J646" s="797" t="s">
        <v>7062</v>
      </c>
      <c r="K646" s="125" t="s">
        <v>7063</v>
      </c>
      <c r="L646" s="16" t="s">
        <v>7064</v>
      </c>
      <c r="M646" s="8">
        <v>2</v>
      </c>
      <c r="N646" s="799"/>
      <c r="O646" s="428" t="s">
        <v>7065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7067</v>
      </c>
      <c r="J648" s="797" t="s">
        <v>7066</v>
      </c>
      <c r="K648" s="125" t="s">
        <v>15</v>
      </c>
      <c r="L648" s="16" t="s">
        <v>7075</v>
      </c>
      <c r="M648" s="8">
        <v>2</v>
      </c>
      <c r="N648" s="799"/>
      <c r="O648" s="428" t="s">
        <v>7069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7067</v>
      </c>
      <c r="J649" s="797" t="s">
        <v>7068</v>
      </c>
      <c r="K649" s="125" t="s">
        <v>15</v>
      </c>
      <c r="L649" s="16" t="s">
        <v>7075</v>
      </c>
      <c r="M649" s="8">
        <v>2</v>
      </c>
      <c r="N649" s="799"/>
      <c r="O649" s="428" t="s">
        <v>7070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7045</v>
      </c>
      <c r="H650" s="800" t="s">
        <v>7108</v>
      </c>
      <c r="I650" s="797" t="s">
        <v>7067</v>
      </c>
      <c r="J650" s="797" t="s">
        <v>7068</v>
      </c>
      <c r="K650" s="125" t="s">
        <v>15</v>
      </c>
      <c r="L650" s="16" t="s">
        <v>7075</v>
      </c>
      <c r="M650" s="8">
        <v>2</v>
      </c>
      <c r="N650" s="799"/>
      <c r="O650" s="428" t="s">
        <v>7070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7039</v>
      </c>
      <c r="I652" s="800" t="s">
        <v>7071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7040</v>
      </c>
      <c r="I654" s="797" t="s">
        <v>7041</v>
      </c>
      <c r="J654" s="800" t="s">
        <v>7042</v>
      </c>
      <c r="K654" s="125" t="s">
        <v>1356</v>
      </c>
      <c r="L654" s="16" t="s">
        <v>33</v>
      </c>
      <c r="M654" s="8">
        <v>5</v>
      </c>
      <c r="N654" s="799"/>
      <c r="O654" s="819" t="s">
        <v>7074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7056</v>
      </c>
      <c r="H657" s="800" t="s">
        <v>7073</v>
      </c>
      <c r="I657" s="797" t="s">
        <v>7067</v>
      </c>
      <c r="J657" s="797" t="s">
        <v>1300</v>
      </c>
      <c r="K657" s="125" t="s">
        <v>15</v>
      </c>
      <c r="L657" s="16" t="s">
        <v>7076</v>
      </c>
      <c r="M657" s="8">
        <v>2</v>
      </c>
      <c r="N657" s="799"/>
      <c r="O657" s="428" t="s">
        <v>7048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7110</v>
      </c>
      <c r="I658" s="807" t="s">
        <v>7111</v>
      </c>
      <c r="J658" s="807" t="s">
        <v>7117</v>
      </c>
      <c r="K658" s="125" t="s">
        <v>7113</v>
      </c>
      <c r="L658" s="16" t="s">
        <v>7114</v>
      </c>
      <c r="M658" s="8">
        <v>2</v>
      </c>
      <c r="N658" s="817"/>
      <c r="O658" s="428" t="s">
        <v>7119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7052</v>
      </c>
      <c r="H659" s="791" t="s">
        <v>7115</v>
      </c>
      <c r="I659" s="786" t="s">
        <v>7116</v>
      </c>
      <c r="J659" s="786" t="s">
        <v>7053</v>
      </c>
      <c r="K659" s="125" t="s">
        <v>7054</v>
      </c>
      <c r="L659" s="16" t="s">
        <v>7055</v>
      </c>
      <c r="M659" s="8">
        <v>2</v>
      </c>
      <c r="N659" s="790" t="s">
        <v>7118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7120</v>
      </c>
      <c r="I660" s="807" t="s">
        <v>7121</v>
      </c>
      <c r="J660" s="807"/>
      <c r="K660" s="125" t="s">
        <v>7122</v>
      </c>
      <c r="L660" s="16" t="s">
        <v>7123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7104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7092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7141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7093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7126</v>
      </c>
      <c r="D665" s="4" t="s">
        <v>7127</v>
      </c>
      <c r="E665" s="807" t="s">
        <v>7130</v>
      </c>
      <c r="F665" s="807" t="s">
        <v>7129</v>
      </c>
      <c r="G665" s="807" t="s">
        <v>7128</v>
      </c>
      <c r="H665" s="818" t="s">
        <v>7131</v>
      </c>
      <c r="I665" s="807" t="s">
        <v>7111</v>
      </c>
      <c r="J665" s="807"/>
      <c r="K665" s="125"/>
      <c r="L665" s="16" t="s">
        <v>7132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7049</v>
      </c>
      <c r="D668" s="4" t="s">
        <v>7050</v>
      </c>
      <c r="E668" s="31" t="s">
        <v>107</v>
      </c>
      <c r="F668" s="31" t="s">
        <v>7051</v>
      </c>
      <c r="G668" s="16" t="s">
        <v>1721</v>
      </c>
      <c r="H668" s="193" t="s">
        <v>7109</v>
      </c>
      <c r="I668" s="31" t="s">
        <v>7111</v>
      </c>
      <c r="J668" s="31" t="s">
        <v>7112</v>
      </c>
      <c r="K668" s="125" t="s">
        <v>7113</v>
      </c>
      <c r="L668" s="16" t="s">
        <v>7137</v>
      </c>
      <c r="M668" s="8">
        <v>2</v>
      </c>
      <c r="N668" s="31" t="s">
        <v>7125</v>
      </c>
      <c r="O668" s="438" t="s">
        <v>7157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7105</v>
      </c>
      <c r="H669" s="818" t="s">
        <v>7133</v>
      </c>
      <c r="I669" s="807"/>
      <c r="J669" s="807" t="s">
        <v>7134</v>
      </c>
      <c r="K669" s="125" t="s">
        <v>7113</v>
      </c>
      <c r="L669" s="16" t="s">
        <v>7135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7150</v>
      </c>
      <c r="E670" s="807" t="s">
        <v>7151</v>
      </c>
      <c r="F670" s="807">
        <v>7060</v>
      </c>
      <c r="G670" s="16" t="s">
        <v>7152</v>
      </c>
      <c r="H670" s="818" t="s">
        <v>7153</v>
      </c>
      <c r="I670" s="807" t="s">
        <v>7154</v>
      </c>
      <c r="J670" s="807" t="s">
        <v>7155</v>
      </c>
      <c r="K670" s="125" t="s">
        <v>7113</v>
      </c>
      <c r="L670" s="16">
        <v>9080</v>
      </c>
      <c r="M670" s="8">
        <v>2</v>
      </c>
      <c r="N670" s="807"/>
      <c r="O670" s="438" t="s">
        <v>7156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7124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7049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7189</v>
      </c>
      <c r="I673" s="807" t="s">
        <v>7138</v>
      </c>
      <c r="J673" s="807" t="s">
        <v>7190</v>
      </c>
      <c r="K673" s="125" t="s">
        <v>7113</v>
      </c>
      <c r="L673" s="16" t="s">
        <v>7140</v>
      </c>
      <c r="M673" s="8">
        <v>2</v>
      </c>
      <c r="N673" s="807" t="s">
        <v>7174</v>
      </c>
      <c r="O673" s="837" t="s">
        <v>7191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7049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7106</v>
      </c>
      <c r="I674" s="807" t="s">
        <v>7111</v>
      </c>
      <c r="J674" s="807" t="s">
        <v>7136</v>
      </c>
      <c r="K674" s="125" t="s">
        <v>7113</v>
      </c>
      <c r="L674" s="16" t="s">
        <v>7137</v>
      </c>
      <c r="M674" s="8">
        <v>2</v>
      </c>
      <c r="N674" s="807"/>
      <c r="O674" s="438" t="s">
        <v>7107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7049</v>
      </c>
      <c r="D675" s="4" t="s">
        <v>14</v>
      </c>
      <c r="E675" s="807" t="s">
        <v>107</v>
      </c>
      <c r="F675" s="807" t="s">
        <v>7158</v>
      </c>
      <c r="G675" s="16" t="s">
        <v>7159</v>
      </c>
      <c r="H675" s="818" t="s">
        <v>7160</v>
      </c>
      <c r="I675" s="807"/>
      <c r="J675" s="807" t="s">
        <v>7161</v>
      </c>
      <c r="K675" s="125" t="s">
        <v>7162</v>
      </c>
      <c r="L675" s="16" t="s">
        <v>7163</v>
      </c>
      <c r="M675" s="8">
        <v>4</v>
      </c>
      <c r="N675" s="807"/>
      <c r="O675" s="438" t="s">
        <v>7168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7049</v>
      </c>
      <c r="D676" s="4" t="s">
        <v>14</v>
      </c>
      <c r="E676" s="807" t="s">
        <v>107</v>
      </c>
      <c r="F676" s="807" t="s">
        <v>7171</v>
      </c>
      <c r="G676" s="16" t="s">
        <v>7159</v>
      </c>
      <c r="H676" s="818" t="s">
        <v>7188</v>
      </c>
      <c r="I676" s="807" t="s">
        <v>7172</v>
      </c>
      <c r="J676" s="807" t="s">
        <v>7173</v>
      </c>
      <c r="K676" s="125" t="s">
        <v>15</v>
      </c>
      <c r="L676" s="16" t="s">
        <v>7170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7142</v>
      </c>
      <c r="D677" s="4" t="s">
        <v>7143</v>
      </c>
      <c r="E677" s="31" t="s">
        <v>7144</v>
      </c>
      <c r="F677" s="31" t="s">
        <v>7145</v>
      </c>
      <c r="G677" s="16" t="s">
        <v>7146</v>
      </c>
      <c r="H677" s="193" t="s">
        <v>7166</v>
      </c>
      <c r="I677" s="31"/>
      <c r="J677" s="193" t="s">
        <v>7164</v>
      </c>
      <c r="K677" s="125" t="s">
        <v>7147</v>
      </c>
      <c r="L677" s="16" t="s">
        <v>7135</v>
      </c>
      <c r="M677" s="8">
        <v>2</v>
      </c>
      <c r="N677" s="422"/>
      <c r="O677" s="438" t="s">
        <v>7169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7049</v>
      </c>
      <c r="D679" s="4" t="s">
        <v>14</v>
      </c>
      <c r="E679" s="807" t="s">
        <v>107</v>
      </c>
      <c r="F679" s="807" t="s">
        <v>7158</v>
      </c>
      <c r="G679" s="16" t="s">
        <v>7159</v>
      </c>
      <c r="H679" s="818" t="s">
        <v>7160</v>
      </c>
      <c r="I679" s="807"/>
      <c r="J679" s="807" t="s">
        <v>7161</v>
      </c>
      <c r="K679" s="125" t="s">
        <v>7162</v>
      </c>
      <c r="L679" s="16" t="s">
        <v>7163</v>
      </c>
      <c r="M679" s="8">
        <v>4</v>
      </c>
      <c r="N679" s="817"/>
      <c r="O679" s="438" t="s">
        <v>7168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7105</v>
      </c>
      <c r="H680" s="16" t="s">
        <v>7167</v>
      </c>
      <c r="I680" s="807" t="s">
        <v>7116</v>
      </c>
      <c r="J680" s="807" t="s">
        <v>7112</v>
      </c>
      <c r="K680" s="277" t="s">
        <v>15</v>
      </c>
      <c r="L680" s="16" t="s">
        <v>7137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7142</v>
      </c>
      <c r="D681" s="4" t="s">
        <v>7143</v>
      </c>
      <c r="E681" s="807" t="s">
        <v>7144</v>
      </c>
      <c r="F681" s="807" t="s">
        <v>7145</v>
      </c>
      <c r="G681" s="16" t="s">
        <v>7146</v>
      </c>
      <c r="H681" s="818" t="s">
        <v>7165</v>
      </c>
      <c r="I681" s="807"/>
      <c r="J681" s="818" t="s">
        <v>7164</v>
      </c>
      <c r="K681" s="125" t="s">
        <v>7147</v>
      </c>
      <c r="L681" s="16" t="s">
        <v>7135</v>
      </c>
      <c r="M681" s="8">
        <v>2</v>
      </c>
      <c r="N681" s="422"/>
      <c r="O681" s="438" t="s">
        <v>7169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7049</v>
      </c>
      <c r="D683" s="4" t="s">
        <v>14</v>
      </c>
      <c r="E683" s="807" t="s">
        <v>107</v>
      </c>
      <c r="F683" s="807" t="s">
        <v>7158</v>
      </c>
      <c r="G683" s="16" t="s">
        <v>7159</v>
      </c>
      <c r="H683" s="818" t="s">
        <v>7160</v>
      </c>
      <c r="I683" s="807"/>
      <c r="J683" s="807" t="s">
        <v>7161</v>
      </c>
      <c r="K683" s="125" t="s">
        <v>7162</v>
      </c>
      <c r="L683" s="16" t="s">
        <v>7163</v>
      </c>
      <c r="M683" s="8">
        <v>4</v>
      </c>
      <c r="N683" s="817"/>
      <c r="O683" s="438" t="s">
        <v>7168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7049</v>
      </c>
      <c r="D684" s="4" t="s">
        <v>14</v>
      </c>
      <c r="E684" s="807" t="s">
        <v>107</v>
      </c>
      <c r="F684" s="807" t="s">
        <v>7158</v>
      </c>
      <c r="G684" s="16" t="s">
        <v>7159</v>
      </c>
      <c r="H684" s="818" t="s">
        <v>7160</v>
      </c>
      <c r="I684" s="807"/>
      <c r="J684" s="807" t="s">
        <v>7161</v>
      </c>
      <c r="K684" s="125" t="s">
        <v>7162</v>
      </c>
      <c r="L684" s="16" t="s">
        <v>7163</v>
      </c>
      <c r="M684" s="8">
        <v>4</v>
      </c>
      <c r="N684" s="817" t="s">
        <v>7186</v>
      </c>
      <c r="O684" s="438" t="s">
        <v>7168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7213</v>
      </c>
      <c r="D686" s="4" t="s">
        <v>7214</v>
      </c>
      <c r="E686" s="830" t="s">
        <v>7215</v>
      </c>
      <c r="F686" s="825">
        <v>3306</v>
      </c>
      <c r="G686" s="16" t="s">
        <v>7216</v>
      </c>
      <c r="H686" s="830" t="s">
        <v>7217</v>
      </c>
      <c r="I686" s="830" t="s">
        <v>7218</v>
      </c>
      <c r="J686" s="830" t="s">
        <v>7219</v>
      </c>
      <c r="K686" s="125" t="s">
        <v>66</v>
      </c>
      <c r="L686" s="16" t="s">
        <v>7220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7213</v>
      </c>
      <c r="D687" s="4" t="s">
        <v>7214</v>
      </c>
      <c r="E687" s="830" t="s">
        <v>7215</v>
      </c>
      <c r="F687" s="825">
        <v>3306</v>
      </c>
      <c r="G687" s="16" t="s">
        <v>7216</v>
      </c>
      <c r="H687" s="830" t="s">
        <v>7217</v>
      </c>
      <c r="I687" s="830" t="s">
        <v>7218</v>
      </c>
      <c r="J687" s="830" t="s">
        <v>7219</v>
      </c>
      <c r="K687" s="125" t="s">
        <v>66</v>
      </c>
      <c r="L687" s="16" t="s">
        <v>7220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7213</v>
      </c>
      <c r="D688" s="4" t="s">
        <v>7214</v>
      </c>
      <c r="E688" s="830" t="s">
        <v>7215</v>
      </c>
      <c r="F688" s="825">
        <v>3306</v>
      </c>
      <c r="G688" s="16" t="s">
        <v>7216</v>
      </c>
      <c r="H688" s="830" t="s">
        <v>7217</v>
      </c>
      <c r="I688" s="830" t="s">
        <v>7218</v>
      </c>
      <c r="J688" s="830" t="s">
        <v>7219</v>
      </c>
      <c r="K688" s="125" t="s">
        <v>66</v>
      </c>
      <c r="L688" s="16" t="s">
        <v>7220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7197</v>
      </c>
      <c r="I690" s="825" t="s">
        <v>7222</v>
      </c>
      <c r="J690" s="31"/>
      <c r="K690" s="125" t="s">
        <v>6967</v>
      </c>
      <c r="L690" s="16" t="s">
        <v>7198</v>
      </c>
      <c r="M690" s="18" t="s">
        <v>7208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7058</v>
      </c>
      <c r="F691" s="825" t="s">
        <v>7059</v>
      </c>
      <c r="G691" s="16" t="s">
        <v>23</v>
      </c>
      <c r="H691" s="830" t="s">
        <v>7061</v>
      </c>
      <c r="I691" s="825"/>
      <c r="J691" s="830" t="s">
        <v>487</v>
      </c>
      <c r="K691" s="125" t="s">
        <v>42</v>
      </c>
      <c r="L691" s="16" t="s">
        <v>7221</v>
      </c>
      <c r="M691" s="8">
        <v>2</v>
      </c>
      <c r="N691" s="825"/>
      <c r="O691" s="437" t="s">
        <v>7227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7222</v>
      </c>
      <c r="J692" s="830"/>
      <c r="K692" s="277" t="s">
        <v>7210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7213</v>
      </c>
      <c r="D693" s="4" t="s">
        <v>7214</v>
      </c>
      <c r="E693" s="830" t="s">
        <v>7215</v>
      </c>
      <c r="F693" s="825">
        <v>3306</v>
      </c>
      <c r="G693" s="16" t="s">
        <v>7216</v>
      </c>
      <c r="H693" s="830" t="s">
        <v>7217</v>
      </c>
      <c r="I693" s="830" t="s">
        <v>7218</v>
      </c>
      <c r="J693" s="830" t="s">
        <v>7219</v>
      </c>
      <c r="K693" s="125" t="s">
        <v>66</v>
      </c>
      <c r="L693" s="16" t="s">
        <v>7220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7225</v>
      </c>
      <c r="I694" s="797"/>
      <c r="J694" s="830" t="s">
        <v>7224</v>
      </c>
      <c r="K694" s="125" t="s">
        <v>66</v>
      </c>
      <c r="L694" s="16" t="s">
        <v>7199</v>
      </c>
      <c r="M694" s="8">
        <v>3</v>
      </c>
      <c r="N694" s="797"/>
      <c r="O694" s="431" t="s">
        <v>7229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7226</v>
      </c>
      <c r="I695" s="825"/>
      <c r="J695" s="830" t="s">
        <v>7224</v>
      </c>
      <c r="K695" s="125" t="s">
        <v>66</v>
      </c>
      <c r="L695" s="16" t="s">
        <v>7199</v>
      </c>
      <c r="M695" s="8">
        <v>3</v>
      </c>
      <c r="N695" s="825"/>
      <c r="O695" s="431" t="s">
        <v>7229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7209</v>
      </c>
      <c r="J696" s="830"/>
      <c r="K696" s="277" t="s">
        <v>7210</v>
      </c>
      <c r="L696" s="16">
        <v>9080</v>
      </c>
      <c r="M696" s="18" t="s">
        <v>7223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7213</v>
      </c>
      <c r="D697" s="4" t="s">
        <v>7214</v>
      </c>
      <c r="E697" s="830" t="s">
        <v>7215</v>
      </c>
      <c r="F697" s="825">
        <v>3306</v>
      </c>
      <c r="G697" s="16" t="s">
        <v>7216</v>
      </c>
      <c r="H697" s="830" t="s">
        <v>7217</v>
      </c>
      <c r="I697" s="830" t="s">
        <v>7218</v>
      </c>
      <c r="J697" s="830" t="s">
        <v>7219</v>
      </c>
      <c r="K697" s="125" t="s">
        <v>66</v>
      </c>
      <c r="L697" s="16" t="s">
        <v>7220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7181</v>
      </c>
      <c r="F698" s="807" t="s">
        <v>7182</v>
      </c>
      <c r="G698" s="16" t="s">
        <v>7183</v>
      </c>
      <c r="H698" s="818" t="s">
        <v>7187</v>
      </c>
      <c r="I698" s="807" t="s">
        <v>7184</v>
      </c>
      <c r="J698" s="818" t="s">
        <v>7256</v>
      </c>
      <c r="K698" s="125" t="s">
        <v>7185</v>
      </c>
      <c r="L698" s="16">
        <v>9080</v>
      </c>
      <c r="M698" s="8">
        <v>3</v>
      </c>
      <c r="N698" s="807"/>
      <c r="O698" s="431" t="s">
        <v>7258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7192</v>
      </c>
      <c r="I699" s="825" t="s">
        <v>7193</v>
      </c>
      <c r="J699" s="830" t="s">
        <v>7194</v>
      </c>
      <c r="K699" s="125" t="s">
        <v>7195</v>
      </c>
      <c r="L699" s="16" t="s">
        <v>7196</v>
      </c>
      <c r="M699" s="8">
        <v>3</v>
      </c>
      <c r="N699" s="825"/>
      <c r="O699" s="431" t="s">
        <v>7228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7211</v>
      </c>
      <c r="J700" s="830"/>
      <c r="K700" s="277" t="s">
        <v>7210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7148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7148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7149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/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7209</v>
      </c>
      <c r="J705" s="830"/>
      <c r="K705" s="277" t="s">
        <v>7210</v>
      </c>
      <c r="L705" s="16">
        <v>9080</v>
      </c>
      <c r="M705" s="18" t="s">
        <v>7223</v>
      </c>
      <c r="N705" s="31"/>
      <c r="O705" s="429" t="s">
        <v>7027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7272</v>
      </c>
      <c r="F706" s="825" t="s">
        <v>7273</v>
      </c>
      <c r="G706" s="16" t="s">
        <v>7274</v>
      </c>
      <c r="H706" s="830" t="s">
        <v>7275</v>
      </c>
      <c r="I706" s="825" t="s">
        <v>7276</v>
      </c>
      <c r="J706" s="830"/>
      <c r="K706" s="277" t="s">
        <v>7277</v>
      </c>
      <c r="L706" s="16" t="s">
        <v>7278</v>
      </c>
      <c r="M706" s="18"/>
      <c r="N706" s="825"/>
      <c r="O706" s="430" t="s">
        <v>6766</v>
      </c>
      <c r="P706" s="825"/>
    </row>
    <row r="707" spans="1:16" s="17" customFormat="1" ht="33" customHeight="1" x14ac:dyDescent="0.3">
      <c r="A707" s="595"/>
      <c r="B707" s="399" t="s">
        <v>7269</v>
      </c>
      <c r="C707" s="4" t="s">
        <v>64</v>
      </c>
      <c r="D707" s="4" t="s">
        <v>7200</v>
      </c>
      <c r="E707" s="291" t="s">
        <v>7201</v>
      </c>
      <c r="F707" s="31" t="s">
        <v>7202</v>
      </c>
      <c r="G707" s="16" t="s">
        <v>7203</v>
      </c>
      <c r="H707" s="193" t="s">
        <v>7206</v>
      </c>
      <c r="I707" s="31"/>
      <c r="J707" s="31"/>
      <c r="K707" s="125" t="s">
        <v>66</v>
      </c>
      <c r="L707" s="16"/>
      <c r="M707" s="8"/>
      <c r="N707" s="31"/>
      <c r="O707" s="437"/>
      <c r="P707" s="31"/>
    </row>
    <row r="708" spans="1:16" s="17" customFormat="1" ht="33" customHeight="1" x14ac:dyDescent="0.3">
      <c r="A708" s="821"/>
      <c r="B708" s="399" t="s">
        <v>6575</v>
      </c>
      <c r="C708" s="4" t="s">
        <v>64</v>
      </c>
      <c r="D708" s="4" t="s">
        <v>7200</v>
      </c>
      <c r="E708" s="291" t="s">
        <v>7201</v>
      </c>
      <c r="F708" s="825" t="s">
        <v>7202</v>
      </c>
      <c r="G708" s="16" t="s">
        <v>7205</v>
      </c>
      <c r="H708" s="830" t="s">
        <v>7263</v>
      </c>
      <c r="I708" s="825"/>
      <c r="J708" s="825"/>
      <c r="K708" s="125" t="s">
        <v>66</v>
      </c>
      <c r="L708" s="16"/>
      <c r="M708" s="8"/>
      <c r="N708" s="825"/>
      <c r="O708" s="437"/>
      <c r="P708" s="825"/>
    </row>
    <row r="709" spans="1:16" s="17" customFormat="1" ht="33" customHeight="1" x14ac:dyDescent="0.3">
      <c r="A709" s="821"/>
      <c r="B709" s="399">
        <v>46294</v>
      </c>
      <c r="C709" s="4" t="s">
        <v>6707</v>
      </c>
      <c r="D709" s="4" t="s">
        <v>25</v>
      </c>
      <c r="E709" s="825" t="s">
        <v>6709</v>
      </c>
      <c r="F709" s="825">
        <v>7065</v>
      </c>
      <c r="G709" s="16" t="s">
        <v>145</v>
      </c>
      <c r="H709" s="830" t="s">
        <v>6706</v>
      </c>
      <c r="I709" s="825" t="s">
        <v>7209</v>
      </c>
      <c r="J709" s="830"/>
      <c r="K709" s="277" t="s">
        <v>7210</v>
      </c>
      <c r="L709" s="16">
        <v>9080</v>
      </c>
      <c r="M709" s="18" t="s">
        <v>7223</v>
      </c>
      <c r="N709" s="825"/>
      <c r="O709" s="431"/>
      <c r="P709" s="825"/>
    </row>
    <row r="710" spans="1:16" s="17" customFormat="1" ht="33" customHeight="1" x14ac:dyDescent="0.3">
      <c r="A710" s="821"/>
      <c r="B710" s="399">
        <v>46294</v>
      </c>
      <c r="C710" s="3" t="s">
        <v>21</v>
      </c>
      <c r="D710" s="3" t="s">
        <v>14</v>
      </c>
      <c r="E710" s="454" t="s">
        <v>211</v>
      </c>
      <c r="F710" s="454" t="s">
        <v>2916</v>
      </c>
      <c r="G710" s="459" t="s">
        <v>2917</v>
      </c>
      <c r="H710" s="830" t="s">
        <v>7265</v>
      </c>
      <c r="I710" s="825" t="s">
        <v>7204</v>
      </c>
      <c r="J710" s="825"/>
      <c r="K710" s="125" t="s">
        <v>7195</v>
      </c>
      <c r="L710" s="16" t="s">
        <v>7207</v>
      </c>
      <c r="M710" s="8">
        <v>2</v>
      </c>
      <c r="N710" s="825"/>
      <c r="O710" s="431"/>
      <c r="P710" s="825"/>
    </row>
    <row r="711" spans="1:16" s="17" customFormat="1" ht="33" customHeight="1" x14ac:dyDescent="0.3">
      <c r="A711" s="821"/>
      <c r="B711" s="399">
        <v>46295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830" t="s">
        <v>7266</v>
      </c>
      <c r="I711" s="825" t="s">
        <v>7204</v>
      </c>
      <c r="J711" s="825" t="s">
        <v>7264</v>
      </c>
      <c r="K711" s="125" t="s">
        <v>7195</v>
      </c>
      <c r="L711" s="16" t="s">
        <v>7207</v>
      </c>
      <c r="M711" s="8">
        <v>2</v>
      </c>
      <c r="N711" s="825"/>
      <c r="O711" s="431" t="s">
        <v>7267</v>
      </c>
      <c r="P711" s="825"/>
    </row>
    <row r="712" spans="1:16" s="17" customFormat="1" ht="33" customHeight="1" x14ac:dyDescent="0.3">
      <c r="A712" s="821"/>
      <c r="B712" s="399">
        <v>46295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7209</v>
      </c>
      <c r="J712" s="830"/>
      <c r="K712" s="277" t="s">
        <v>7210</v>
      </c>
      <c r="L712" s="16">
        <v>9080</v>
      </c>
      <c r="M712" s="18" t="s">
        <v>7223</v>
      </c>
      <c r="N712" s="829"/>
      <c r="O712" s="430"/>
      <c r="P712" s="825"/>
    </row>
    <row r="713" spans="1:16" s="17" customFormat="1" ht="33" customHeight="1" x14ac:dyDescent="0.3">
      <c r="A713" s="595"/>
      <c r="B713" s="399">
        <v>46296</v>
      </c>
      <c r="C713" s="3" t="s">
        <v>21</v>
      </c>
      <c r="D713" s="3" t="s">
        <v>14</v>
      </c>
      <c r="E713" s="454" t="s">
        <v>211</v>
      </c>
      <c r="F713" s="454" t="s">
        <v>2916</v>
      </c>
      <c r="G713" s="459" t="s">
        <v>2917</v>
      </c>
      <c r="H713" s="193" t="s">
        <v>7260</v>
      </c>
      <c r="I713" s="825" t="s">
        <v>7204</v>
      </c>
      <c r="J713" s="825"/>
      <c r="K713" s="125" t="s">
        <v>7195</v>
      </c>
      <c r="L713" s="16" t="s">
        <v>7207</v>
      </c>
      <c r="M713" s="8">
        <v>2</v>
      </c>
      <c r="N713" s="422"/>
      <c r="O713" s="430"/>
      <c r="P713" s="31"/>
    </row>
    <row r="714" spans="1:16" s="17" customFormat="1" ht="33" customHeight="1" x14ac:dyDescent="0.3">
      <c r="A714" s="821"/>
      <c r="B714" s="399">
        <v>46296</v>
      </c>
      <c r="C714" s="4" t="s">
        <v>6707</v>
      </c>
      <c r="D714" s="4" t="s">
        <v>25</v>
      </c>
      <c r="E714" s="825" t="s">
        <v>6709</v>
      </c>
      <c r="F714" s="825">
        <v>7065</v>
      </c>
      <c r="G714" s="16" t="s">
        <v>145</v>
      </c>
      <c r="H714" s="830" t="s">
        <v>6706</v>
      </c>
      <c r="I714" s="825" t="s">
        <v>7209</v>
      </c>
      <c r="J714" s="830"/>
      <c r="K714" s="277" t="s">
        <v>7210</v>
      </c>
      <c r="L714" s="16">
        <v>9080</v>
      </c>
      <c r="M714" s="18" t="s">
        <v>7223</v>
      </c>
      <c r="N714" s="829"/>
      <c r="O714" s="430"/>
      <c r="P714" s="825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7260</v>
      </c>
      <c r="I715" s="825" t="s">
        <v>7204</v>
      </c>
      <c r="J715" s="825"/>
      <c r="K715" s="125" t="s">
        <v>7195</v>
      </c>
      <c r="L715" s="16" t="s">
        <v>7207</v>
      </c>
      <c r="M715" s="8">
        <v>2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7209</v>
      </c>
      <c r="J716" s="830"/>
      <c r="K716" s="277" t="s">
        <v>7210</v>
      </c>
      <c r="L716" s="16">
        <v>9080</v>
      </c>
      <c r="M716" s="18" t="s">
        <v>7223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/>
      <c r="B719" s="399">
        <v>46300</v>
      </c>
      <c r="C719" s="4"/>
      <c r="D719" s="4"/>
      <c r="E719" s="825"/>
      <c r="F719" s="825"/>
      <c r="G719" s="16"/>
      <c r="H719" s="830"/>
      <c r="I719" s="825"/>
      <c r="J719" s="825"/>
      <c r="K719" s="125"/>
      <c r="L719" s="16"/>
      <c r="M719" s="8"/>
      <c r="N719" s="829"/>
      <c r="O719" s="437" t="s">
        <v>7268</v>
      </c>
      <c r="P719" s="31"/>
    </row>
    <row r="720" spans="1:16" s="17" customFormat="1" ht="33" customHeight="1" x14ac:dyDescent="0.3">
      <c r="A720" s="595"/>
      <c r="B720" s="399">
        <v>46301</v>
      </c>
      <c r="C720" s="4"/>
      <c r="D720" s="4"/>
      <c r="E720" s="291"/>
      <c r="F720" s="31"/>
      <c r="G720" s="16"/>
      <c r="H720" s="193"/>
      <c r="I720" s="31"/>
      <c r="J720" s="31"/>
      <c r="K720" s="125"/>
      <c r="L720" s="16"/>
      <c r="M720" s="8"/>
      <c r="N720" s="31"/>
      <c r="O720" s="431"/>
      <c r="P720" s="31"/>
    </row>
    <row r="721" spans="1:16" s="17" customFormat="1" ht="33" customHeight="1" x14ac:dyDescent="0.3">
      <c r="A721" s="595"/>
      <c r="B721" s="399">
        <v>46302</v>
      </c>
      <c r="C721" s="4" t="s">
        <v>21</v>
      </c>
      <c r="D721" s="4" t="s">
        <v>14</v>
      </c>
      <c r="E721" s="825" t="s">
        <v>107</v>
      </c>
      <c r="F721" s="830" t="s">
        <v>6745</v>
      </c>
      <c r="G721" s="16" t="s">
        <v>67</v>
      </c>
      <c r="H721" s="830" t="s">
        <v>213</v>
      </c>
      <c r="I721" s="825"/>
      <c r="J721" s="825" t="s">
        <v>255</v>
      </c>
      <c r="K721" s="125" t="s">
        <v>15</v>
      </c>
      <c r="L721" s="16" t="s">
        <v>4550</v>
      </c>
      <c r="M721" s="8">
        <v>1</v>
      </c>
      <c r="N721" s="422"/>
      <c r="O721" s="430"/>
      <c r="P721" s="31"/>
    </row>
    <row r="722" spans="1:16" s="17" customFormat="1" ht="33" customHeight="1" x14ac:dyDescent="0.3">
      <c r="A722" s="595"/>
      <c r="B722" s="399">
        <v>46303</v>
      </c>
      <c r="C722" s="4"/>
      <c r="D722" s="4"/>
      <c r="E722" s="31"/>
      <c r="F722" s="31"/>
      <c r="G722" s="16"/>
      <c r="H722" s="193"/>
      <c r="I722" s="31"/>
      <c r="J722" s="193"/>
      <c r="K722" s="125"/>
      <c r="L722" s="16"/>
      <c r="M722" s="8"/>
      <c r="N722" s="422"/>
      <c r="O722" s="430"/>
      <c r="P722" s="31"/>
    </row>
    <row r="723" spans="1:16" s="17" customFormat="1" ht="33" customHeight="1" x14ac:dyDescent="0.3">
      <c r="A723" s="595"/>
      <c r="B723" s="399">
        <v>46304</v>
      </c>
      <c r="C723" s="4" t="s">
        <v>7049</v>
      </c>
      <c r="D723" s="4" t="s">
        <v>14</v>
      </c>
      <c r="E723" s="807" t="s">
        <v>3728</v>
      </c>
      <c r="F723" s="807">
        <v>7062</v>
      </c>
      <c r="G723" s="16" t="s">
        <v>5265</v>
      </c>
      <c r="H723" s="818" t="s">
        <v>1314</v>
      </c>
      <c r="I723" s="31"/>
      <c r="J723" s="193"/>
      <c r="K723" s="125"/>
      <c r="L723" s="16"/>
      <c r="M723" s="8"/>
      <c r="N723" s="422"/>
      <c r="O723" s="430"/>
      <c r="P723" s="31"/>
    </row>
    <row r="724" spans="1:16" s="17" customFormat="1" ht="33" customHeight="1" x14ac:dyDescent="0.3">
      <c r="A724" s="596"/>
      <c r="B724" s="399">
        <v>46305</v>
      </c>
      <c r="C724" s="4" t="s">
        <v>21</v>
      </c>
      <c r="D724" s="4" t="s">
        <v>14</v>
      </c>
      <c r="E724" s="825" t="s">
        <v>1787</v>
      </c>
      <c r="F724" s="825" t="s">
        <v>2978</v>
      </c>
      <c r="G724" s="16" t="s">
        <v>23</v>
      </c>
      <c r="H724" s="830" t="s">
        <v>7212</v>
      </c>
      <c r="I724" s="825"/>
      <c r="J724" s="825" t="s">
        <v>7261</v>
      </c>
      <c r="K724" s="125" t="s">
        <v>7195</v>
      </c>
      <c r="L724" s="16" t="s">
        <v>7262</v>
      </c>
      <c r="M724" s="8">
        <v>2</v>
      </c>
      <c r="N724" s="31"/>
      <c r="O724" s="437" t="s">
        <v>7268</v>
      </c>
      <c r="P724" s="31"/>
    </row>
    <row r="725" spans="1:16" s="17" customFormat="1" ht="33" customHeight="1" x14ac:dyDescent="0.3">
      <c r="A725" s="322" t="s">
        <v>0</v>
      </c>
      <c r="B725" s="323" t="s">
        <v>1</v>
      </c>
      <c r="C725" s="322" t="s">
        <v>2</v>
      </c>
      <c r="D725" s="322" t="s">
        <v>3</v>
      </c>
      <c r="E725" s="322" t="s">
        <v>4</v>
      </c>
      <c r="F725" s="322" t="s">
        <v>5</v>
      </c>
      <c r="G725" s="322" t="s">
        <v>6</v>
      </c>
      <c r="H725" s="324" t="s">
        <v>7</v>
      </c>
      <c r="I725" s="322" t="s">
        <v>8</v>
      </c>
      <c r="J725" s="322" t="s">
        <v>9</v>
      </c>
      <c r="K725" s="325" t="s">
        <v>10</v>
      </c>
      <c r="L725" s="326" t="s">
        <v>11</v>
      </c>
      <c r="M725" s="322" t="s">
        <v>12</v>
      </c>
      <c r="N725" s="327" t="s">
        <v>13</v>
      </c>
      <c r="O725" s="427" t="s">
        <v>63</v>
      </c>
      <c r="P725" s="322" t="s">
        <v>123</v>
      </c>
    </row>
    <row r="726" spans="1:16" s="17" customFormat="1" ht="33" customHeight="1" x14ac:dyDescent="0.3">
      <c r="A726" s="594"/>
      <c r="B726" s="399">
        <v>46307</v>
      </c>
      <c r="C726" s="4"/>
      <c r="D726" s="4"/>
      <c r="E726" s="31"/>
      <c r="F726" s="31"/>
      <c r="G726" s="16"/>
      <c r="H726" s="193"/>
      <c r="I726" s="31"/>
      <c r="J726" s="31"/>
      <c r="K726" s="125"/>
      <c r="L726" s="16"/>
      <c r="M726" s="8"/>
      <c r="N726" s="31"/>
      <c r="O726" s="431"/>
      <c r="P726" s="31"/>
    </row>
    <row r="727" spans="1:16" s="17" customFormat="1" ht="33" customHeight="1" x14ac:dyDescent="0.3">
      <c r="A727" s="595"/>
      <c r="B727" s="399">
        <v>46308</v>
      </c>
      <c r="C727" s="4"/>
      <c r="D727" s="4"/>
      <c r="E727" s="291"/>
      <c r="F727" s="31"/>
      <c r="G727" s="16"/>
      <c r="H727" s="193"/>
      <c r="I727" s="31"/>
      <c r="J727" s="31"/>
      <c r="K727" s="125"/>
      <c r="L727" s="16"/>
      <c r="M727" s="8"/>
      <c r="N727" s="31"/>
      <c r="O727" s="431"/>
      <c r="P727" s="31"/>
    </row>
    <row r="728" spans="1:16" s="17" customFormat="1" ht="33" customHeight="1" x14ac:dyDescent="0.3">
      <c r="A728" s="595"/>
      <c r="B728" s="399">
        <v>46309</v>
      </c>
      <c r="C728" s="4"/>
      <c r="D728" s="4"/>
      <c r="E728" s="31"/>
      <c r="F728" s="31"/>
      <c r="G728" s="16"/>
      <c r="H728" s="193"/>
      <c r="I728" s="31"/>
      <c r="J728" s="193"/>
      <c r="K728" s="125"/>
      <c r="L728" s="16"/>
      <c r="M728" s="8"/>
      <c r="N728" s="422"/>
      <c r="O728" s="430"/>
      <c r="P728" s="31"/>
    </row>
    <row r="729" spans="1:16" s="17" customFormat="1" ht="33" customHeight="1" x14ac:dyDescent="0.3">
      <c r="A729" s="595"/>
      <c r="B729" s="399">
        <v>46310</v>
      </c>
      <c r="C729" s="4" t="s">
        <v>21</v>
      </c>
      <c r="D729" s="4" t="s">
        <v>14</v>
      </c>
      <c r="E729" s="825" t="s">
        <v>107</v>
      </c>
      <c r="F729" s="830" t="s">
        <v>6745</v>
      </c>
      <c r="G729" s="16" t="s">
        <v>376</v>
      </c>
      <c r="H729" s="830" t="s">
        <v>213</v>
      </c>
      <c r="I729" s="825"/>
      <c r="J729" s="825"/>
      <c r="K729" s="125" t="s">
        <v>15</v>
      </c>
      <c r="L729" s="16" t="s">
        <v>4550</v>
      </c>
      <c r="M729" s="8">
        <v>1</v>
      </c>
      <c r="N729" s="422"/>
      <c r="O729" s="430"/>
      <c r="P729" s="31"/>
    </row>
    <row r="730" spans="1:16" s="17" customFormat="1" ht="33" customHeight="1" x14ac:dyDescent="0.3">
      <c r="A730" s="595"/>
      <c r="B730" s="399">
        <v>46311</v>
      </c>
      <c r="C730" s="4"/>
      <c r="D730" s="4"/>
      <c r="E730" s="31"/>
      <c r="F730" s="31"/>
      <c r="G730" s="16"/>
      <c r="H730" s="193"/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 x14ac:dyDescent="0.3">
      <c r="A731" s="596"/>
      <c r="B731" s="369">
        <v>46312</v>
      </c>
      <c r="C731" s="4"/>
      <c r="D731" s="4"/>
      <c r="E731" s="291"/>
      <c r="F731" s="31"/>
      <c r="G731" s="16"/>
      <c r="H731" s="193"/>
      <c r="I731" s="31"/>
      <c r="J731" s="31"/>
      <c r="K731" s="125"/>
      <c r="L731" s="16"/>
      <c r="M731" s="8"/>
      <c r="N731" s="31"/>
      <c r="O731" s="432"/>
      <c r="P731" s="31"/>
    </row>
    <row r="732" spans="1:16" s="17" customFormat="1" ht="33" customHeight="1" x14ac:dyDescent="0.3">
      <c r="A732" s="322" t="s">
        <v>0</v>
      </c>
      <c r="B732" s="323" t="s">
        <v>1</v>
      </c>
      <c r="C732" s="322" t="s">
        <v>2</v>
      </c>
      <c r="D732" s="322" t="s">
        <v>3</v>
      </c>
      <c r="E732" s="322" t="s">
        <v>4</v>
      </c>
      <c r="F732" s="322" t="s">
        <v>5</v>
      </c>
      <c r="G732" s="322" t="s">
        <v>6</v>
      </c>
      <c r="H732" s="324" t="s">
        <v>7</v>
      </c>
      <c r="I732" s="322" t="s">
        <v>8</v>
      </c>
      <c r="J732" s="322" t="s">
        <v>9</v>
      </c>
      <c r="K732" s="325" t="s">
        <v>10</v>
      </c>
      <c r="L732" s="326" t="s">
        <v>11</v>
      </c>
      <c r="M732" s="322" t="s">
        <v>12</v>
      </c>
      <c r="N732" s="327" t="s">
        <v>13</v>
      </c>
      <c r="O732" s="427" t="s">
        <v>63</v>
      </c>
      <c r="P732" s="322" t="s">
        <v>123</v>
      </c>
    </row>
    <row r="733" spans="1:16" s="17" customFormat="1" ht="33" customHeight="1" x14ac:dyDescent="0.3">
      <c r="A733" s="792"/>
      <c r="B733" s="399">
        <v>46314</v>
      </c>
      <c r="C733" s="4"/>
      <c r="D733" s="4"/>
      <c r="E733" s="797"/>
      <c r="F733" s="797"/>
      <c r="G733" s="16"/>
      <c r="H733" s="800"/>
      <c r="I733" s="797"/>
      <c r="J733" s="797"/>
      <c r="K733" s="125"/>
      <c r="L733" s="16"/>
      <c r="M733" s="8"/>
      <c r="N733" s="797"/>
      <c r="O733" s="431"/>
      <c r="P733" s="797"/>
    </row>
    <row r="734" spans="1:16" s="17" customFormat="1" ht="33" customHeight="1" x14ac:dyDescent="0.3">
      <c r="A734" s="793"/>
      <c r="B734" s="399">
        <v>46315</v>
      </c>
      <c r="C734" s="4"/>
      <c r="D734" s="4"/>
      <c r="E734" s="291"/>
      <c r="F734" s="797"/>
      <c r="G734" s="16"/>
      <c r="H734" s="800"/>
      <c r="I734" s="797"/>
      <c r="J734" s="797"/>
      <c r="K734" s="125"/>
      <c r="L734" s="16"/>
      <c r="M734" s="8"/>
      <c r="N734" s="797"/>
      <c r="O734" s="431"/>
      <c r="P734" s="797"/>
    </row>
    <row r="735" spans="1:16" s="17" customFormat="1" ht="33" customHeight="1" x14ac:dyDescent="0.3">
      <c r="A735" s="793"/>
      <c r="B735" s="399">
        <v>46316</v>
      </c>
      <c r="C735" s="4"/>
      <c r="D735" s="4"/>
      <c r="E735" s="797"/>
      <c r="F735" s="797"/>
      <c r="G735" s="16"/>
      <c r="H735" s="800"/>
      <c r="I735" s="797"/>
      <c r="J735" s="800"/>
      <c r="K735" s="125"/>
      <c r="L735" s="16"/>
      <c r="M735" s="8"/>
      <c r="N735" s="799"/>
      <c r="O735" s="430"/>
      <c r="P735" s="797"/>
    </row>
    <row r="736" spans="1:16" s="17" customFormat="1" ht="33" customHeight="1" x14ac:dyDescent="0.3">
      <c r="A736" s="793"/>
      <c r="B736" s="399">
        <v>46317</v>
      </c>
      <c r="C736" s="4"/>
      <c r="D736" s="4"/>
      <c r="E736" s="797"/>
      <c r="F736" s="797"/>
      <c r="G736" s="16"/>
      <c r="H736" s="800"/>
      <c r="I736" s="797"/>
      <c r="J736" s="800"/>
      <c r="K736" s="125"/>
      <c r="L736" s="16"/>
      <c r="M736" s="8"/>
      <c r="N736" s="799"/>
      <c r="O736" s="430"/>
      <c r="P736" s="797"/>
    </row>
    <row r="737" spans="1:16" s="17" customFormat="1" ht="33" customHeight="1" x14ac:dyDescent="0.3">
      <c r="A737" s="793"/>
      <c r="B737" s="399">
        <v>46318</v>
      </c>
      <c r="C737" s="4"/>
      <c r="D737" s="4"/>
      <c r="E737" s="797"/>
      <c r="F737" s="797"/>
      <c r="G737" s="16"/>
      <c r="H737" s="800"/>
      <c r="I737" s="797"/>
      <c r="J737" s="800"/>
      <c r="K737" s="125"/>
      <c r="L737" s="16"/>
      <c r="M737" s="8"/>
      <c r="N737" s="799"/>
      <c r="O737" s="430"/>
      <c r="P737" s="797"/>
    </row>
    <row r="738" spans="1:16" s="17" customFormat="1" ht="33" customHeight="1" x14ac:dyDescent="0.3">
      <c r="A738" s="794"/>
      <c r="B738" s="369">
        <v>46319</v>
      </c>
      <c r="C738" s="4"/>
      <c r="D738" s="4"/>
      <c r="E738" s="291"/>
      <c r="F738" s="797"/>
      <c r="G738" s="16"/>
      <c r="H738" s="800"/>
      <c r="I738" s="797"/>
      <c r="J738" s="797"/>
      <c r="K738" s="125"/>
      <c r="L738" s="16"/>
      <c r="M738" s="8"/>
      <c r="N738" s="797"/>
      <c r="O738" s="432"/>
      <c r="P738" s="797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9"/>
  <sheetViews>
    <sheetView zoomScaleNormal="100" zoomScaleSheetLayoutView="115" workbookViewId="0">
      <pane ySplit="2" topLeftCell="A1665" activePane="bottomLeft" state="frozen"/>
      <selection pane="bottomLeft" activeCell="I1678" sqref="I167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73" t="s">
        <v>161</v>
      </c>
      <c r="B1" s="973" t="s">
        <v>162</v>
      </c>
      <c r="C1" s="971" t="s">
        <v>1</v>
      </c>
      <c r="D1" s="971" t="s">
        <v>2</v>
      </c>
      <c r="E1" s="971" t="s">
        <v>3</v>
      </c>
      <c r="F1" s="27" t="s">
        <v>54</v>
      </c>
      <c r="G1" s="971" t="s">
        <v>5</v>
      </c>
      <c r="H1" s="971" t="s">
        <v>6</v>
      </c>
      <c r="I1" s="971" t="s">
        <v>7</v>
      </c>
      <c r="J1" s="971" t="s">
        <v>55</v>
      </c>
      <c r="K1" s="975" t="s">
        <v>483</v>
      </c>
      <c r="L1" s="977" t="s">
        <v>56</v>
      </c>
      <c r="M1" s="969" t="s">
        <v>57</v>
      </c>
      <c r="N1" s="971" t="s">
        <v>58</v>
      </c>
    </row>
    <row r="2" spans="1:14" x14ac:dyDescent="0.3">
      <c r="A2" s="974"/>
      <c r="B2" s="974"/>
      <c r="C2" s="972"/>
      <c r="D2" s="972"/>
      <c r="E2" s="972"/>
      <c r="F2" s="28" t="s">
        <v>59</v>
      </c>
      <c r="G2" s="972"/>
      <c r="H2" s="972"/>
      <c r="I2" s="972"/>
      <c r="J2" s="972"/>
      <c r="K2" s="976"/>
      <c r="L2" s="978"/>
      <c r="M2" s="970"/>
      <c r="N2" s="972"/>
    </row>
    <row r="3" spans="1:14" ht="27" x14ac:dyDescent="0.3">
      <c r="A3" s="55">
        <v>1</v>
      </c>
      <c r="B3" s="93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4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3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5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5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3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48"/>
      <c r="C9" s="9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48"/>
      <c r="C10" s="9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4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48"/>
      <c r="C12" s="9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48"/>
      <c r="C13" s="9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48"/>
      <c r="C14" s="9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48"/>
      <c r="C15" s="9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48"/>
      <c r="C16" s="9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3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5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5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3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3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3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54"/>
    </row>
    <row r="24" spans="1:17" ht="27" x14ac:dyDescent="0.3">
      <c r="A24" s="55">
        <v>4</v>
      </c>
      <c r="B24" s="932" t="s">
        <v>21</v>
      </c>
      <c r="C24" s="93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8" t="s">
        <v>85</v>
      </c>
      <c r="K24" s="955" t="s">
        <v>41</v>
      </c>
      <c r="L24" s="6" t="s">
        <v>15</v>
      </c>
      <c r="M24" s="960">
        <v>180000</v>
      </c>
      <c r="N24" s="45" t="s">
        <v>194</v>
      </c>
    </row>
    <row r="25" spans="1:17" ht="27" x14ac:dyDescent="0.3">
      <c r="A25" s="55">
        <v>4</v>
      </c>
      <c r="B25" s="948"/>
      <c r="C25" s="93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9"/>
      <c r="K25" s="956"/>
      <c r="L25" s="6" t="s">
        <v>15</v>
      </c>
      <c r="M25" s="961"/>
      <c r="N25" s="45" t="s">
        <v>194</v>
      </c>
    </row>
    <row r="26" spans="1:17" x14ac:dyDescent="0.3">
      <c r="A26" s="55">
        <v>4</v>
      </c>
      <c r="B26" s="948"/>
      <c r="C26" s="93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33"/>
      <c r="C27" s="93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3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4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48"/>
      <c r="C32" s="93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48"/>
      <c r="C33" s="93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3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32" t="s">
        <v>20</v>
      </c>
      <c r="C35" s="93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33"/>
      <c r="C36" s="93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32" t="s">
        <v>20</v>
      </c>
      <c r="C37" s="93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33"/>
      <c r="C38" s="93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6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67"/>
      <c r="C40" s="93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67"/>
      <c r="C41" s="93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6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5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58"/>
      <c r="C45" s="95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58"/>
      <c r="C46" s="96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5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6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6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6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6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6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6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3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4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3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5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5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5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32" t="s">
        <v>64</v>
      </c>
      <c r="C67" s="93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55" t="s">
        <v>435</v>
      </c>
      <c r="L67" s="6" t="s">
        <v>436</v>
      </c>
      <c r="M67" s="960">
        <v>750000</v>
      </c>
      <c r="N67" s="45" t="s">
        <v>446</v>
      </c>
    </row>
    <row r="68" spans="1:15" ht="27" x14ac:dyDescent="0.3">
      <c r="A68" s="55">
        <v>19</v>
      </c>
      <c r="B68" s="948"/>
      <c r="C68" s="95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56"/>
      <c r="L68" s="6" t="s">
        <v>411</v>
      </c>
      <c r="M68" s="961"/>
      <c r="N68" s="45" t="s">
        <v>445</v>
      </c>
    </row>
    <row r="69" spans="1:15" x14ac:dyDescent="0.3">
      <c r="A69" s="55">
        <v>19</v>
      </c>
      <c r="B69" s="948"/>
      <c r="C69" s="93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4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3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3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4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4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4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3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3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4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3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3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3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3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48"/>
      <c r="C83" s="93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48"/>
      <c r="C84" s="93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48"/>
      <c r="C85" s="93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48"/>
      <c r="C86" s="93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4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4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3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3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3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3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48"/>
      <c r="C93" s="93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48"/>
      <c r="C94" s="95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48"/>
      <c r="C95" s="93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4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3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32" t="s">
        <v>21</v>
      </c>
      <c r="C99" s="93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48"/>
      <c r="C100" s="93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4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4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3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3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4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4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3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3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3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9" t="s">
        <v>658</v>
      </c>
      <c r="C110" s="94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50"/>
      <c r="C111" s="98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50"/>
      <c r="C112" s="98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2"/>
      <c r="C113" s="98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50"/>
      <c r="C115" s="94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51"/>
      <c r="C116" s="98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32" t="s">
        <v>20</v>
      </c>
      <c r="C117" s="99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8" t="s">
        <v>168</v>
      </c>
      <c r="K117" s="955" t="s">
        <v>645</v>
      </c>
      <c r="L117" s="57" t="s">
        <v>209</v>
      </c>
      <c r="M117" s="984">
        <f>250000*5</f>
        <v>1250000</v>
      </c>
      <c r="N117" s="932" t="s">
        <v>121</v>
      </c>
    </row>
    <row r="118" spans="1:14" x14ac:dyDescent="0.3">
      <c r="A118" s="101">
        <v>28</v>
      </c>
      <c r="B118" s="948"/>
      <c r="C118" s="95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94"/>
      <c r="K118" s="993"/>
      <c r="L118" s="57" t="s">
        <v>209</v>
      </c>
      <c r="M118" s="985"/>
      <c r="N118" s="948"/>
    </row>
    <row r="119" spans="1:14" x14ac:dyDescent="0.3">
      <c r="A119" s="101">
        <v>28</v>
      </c>
      <c r="B119" s="948"/>
      <c r="C119" s="95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9"/>
      <c r="K119" s="956"/>
      <c r="L119" s="57" t="s">
        <v>209</v>
      </c>
      <c r="M119" s="986"/>
      <c r="N119" s="933"/>
    </row>
    <row r="120" spans="1:14" x14ac:dyDescent="0.3">
      <c r="A120" s="101">
        <v>28</v>
      </c>
      <c r="B120" s="933"/>
      <c r="C120" s="93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9" t="s">
        <v>307</v>
      </c>
      <c r="C122" s="94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50"/>
      <c r="C123" s="95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9" t="s">
        <v>664</v>
      </c>
      <c r="K123" s="957" t="s">
        <v>707</v>
      </c>
      <c r="L123" s="110" t="s">
        <v>324</v>
      </c>
      <c r="M123" s="987" t="s">
        <v>708</v>
      </c>
      <c r="N123" s="110"/>
    </row>
    <row r="124" spans="1:14" x14ac:dyDescent="0.3">
      <c r="A124" s="55">
        <v>29</v>
      </c>
      <c r="B124" s="950"/>
      <c r="C124" s="95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50"/>
      <c r="K124" s="958"/>
      <c r="L124" s="110" t="s">
        <v>324</v>
      </c>
      <c r="M124" s="988"/>
      <c r="N124" s="110"/>
    </row>
    <row r="125" spans="1:14" x14ac:dyDescent="0.3">
      <c r="A125" s="55">
        <v>29</v>
      </c>
      <c r="B125" s="950"/>
      <c r="C125" s="95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51"/>
      <c r="K125" s="959"/>
      <c r="L125" s="110" t="s">
        <v>324</v>
      </c>
      <c r="M125" s="989"/>
      <c r="N125" s="110"/>
    </row>
    <row r="126" spans="1:14" x14ac:dyDescent="0.3">
      <c r="A126" s="55">
        <v>29</v>
      </c>
      <c r="B126" s="951"/>
      <c r="C126" s="95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5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5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50"/>
      <c r="C130" s="94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50"/>
      <c r="C131" s="95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50"/>
      <c r="C132" s="94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50"/>
      <c r="C133" s="95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5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32" t="s">
        <v>618</v>
      </c>
      <c r="C135" s="93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48"/>
      <c r="C136" s="95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48"/>
      <c r="C137" s="95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33"/>
      <c r="C138" s="93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3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48"/>
      <c r="C140" s="93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48"/>
      <c r="C141" s="93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32" t="s">
        <v>735</v>
      </c>
    </row>
    <row r="142" spans="1:14" x14ac:dyDescent="0.3">
      <c r="A142" s="55">
        <v>30</v>
      </c>
      <c r="B142" s="93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3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3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3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32" t="s">
        <v>20</v>
      </c>
      <c r="C146" s="930" t="s">
        <v>869</v>
      </c>
      <c r="D146" s="955" t="s">
        <v>19</v>
      </c>
      <c r="E146" s="99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33"/>
      <c r="C147" s="931"/>
      <c r="D147" s="956"/>
      <c r="E147" s="99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32" t="s">
        <v>123</v>
      </c>
      <c r="C148" s="930" t="s">
        <v>782</v>
      </c>
      <c r="D148" s="955" t="s">
        <v>19</v>
      </c>
      <c r="E148" s="99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33"/>
      <c r="C149" s="931"/>
      <c r="D149" s="956"/>
      <c r="E149" s="99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3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4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3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3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32" t="s">
        <v>247</v>
      </c>
    </row>
    <row r="154" spans="1:14" ht="27" x14ac:dyDescent="0.3">
      <c r="A154" s="55">
        <v>34</v>
      </c>
      <c r="B154" s="948"/>
      <c r="C154" s="93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8"/>
    </row>
    <row r="155" spans="1:14" ht="27" x14ac:dyDescent="0.3">
      <c r="A155" s="55">
        <v>34</v>
      </c>
      <c r="B155" s="948"/>
      <c r="C155" s="93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33"/>
    </row>
    <row r="156" spans="1:14" ht="27" x14ac:dyDescent="0.3">
      <c r="A156" s="55">
        <v>34</v>
      </c>
      <c r="B156" s="948"/>
      <c r="C156" s="93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32" t="s">
        <v>825</v>
      </c>
    </row>
    <row r="157" spans="1:14" ht="27" x14ac:dyDescent="0.3">
      <c r="A157" s="55">
        <v>34</v>
      </c>
      <c r="B157" s="948"/>
      <c r="C157" s="93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8"/>
    </row>
    <row r="158" spans="1:14" ht="27" x14ac:dyDescent="0.3">
      <c r="A158" s="55">
        <v>34</v>
      </c>
      <c r="B158" s="948"/>
      <c r="C158" s="93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8"/>
    </row>
    <row r="159" spans="1:14" ht="27" x14ac:dyDescent="0.3">
      <c r="A159" s="55">
        <v>34</v>
      </c>
      <c r="B159" s="948"/>
      <c r="C159" s="93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8"/>
    </row>
    <row r="160" spans="1:14" ht="27" x14ac:dyDescent="0.3">
      <c r="A160" s="55">
        <v>34</v>
      </c>
      <c r="B160" s="94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8"/>
    </row>
    <row r="161" spans="1:15" ht="27" x14ac:dyDescent="0.3">
      <c r="A161" s="55">
        <v>34</v>
      </c>
      <c r="B161" s="94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33"/>
    </row>
    <row r="162" spans="1:15" ht="27" x14ac:dyDescent="0.3">
      <c r="A162" s="55">
        <v>34</v>
      </c>
      <c r="B162" s="93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3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4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4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3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8" t="s">
        <v>849</v>
      </c>
      <c r="C167" s="89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9"/>
      <c r="C168" s="89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9"/>
      <c r="C169" s="89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10"/>
      <c r="C170" s="89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1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9"/>
      <c r="C178" s="89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10"/>
      <c r="C179" s="89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9"/>
      <c r="C181" s="93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8" t="s">
        <v>838</v>
      </c>
      <c r="K181" s="955" t="s">
        <v>985</v>
      </c>
      <c r="L181" s="6" t="s">
        <v>910</v>
      </c>
      <c r="M181" s="984">
        <f>180000+200000+200000</f>
        <v>580000</v>
      </c>
      <c r="N181" s="45" t="s">
        <v>806</v>
      </c>
    </row>
    <row r="182" spans="1:14" x14ac:dyDescent="0.3">
      <c r="A182" s="55">
        <v>36</v>
      </c>
      <c r="B182" s="909"/>
      <c r="C182" s="95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9"/>
      <c r="K182" s="956"/>
      <c r="L182" s="6" t="s">
        <v>911</v>
      </c>
      <c r="M182" s="986"/>
      <c r="N182" s="45" t="s">
        <v>806</v>
      </c>
    </row>
    <row r="183" spans="1:14" x14ac:dyDescent="0.3">
      <c r="A183" s="55">
        <v>36</v>
      </c>
      <c r="B183" s="909"/>
      <c r="C183" s="93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1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9"/>
      <c r="C187" s="89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10"/>
      <c r="C188" s="89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1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8" t="s">
        <v>939</v>
      </c>
      <c r="C192" s="89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9"/>
      <c r="C193" s="89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1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9"/>
      <c r="C196" s="93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9"/>
      <c r="C197" s="93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9"/>
      <c r="C198" s="93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10"/>
      <c r="C199" s="93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8" t="s">
        <v>20</v>
      </c>
      <c r="C200" s="89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9"/>
      <c r="C201" s="89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9"/>
      <c r="C202" s="89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10"/>
      <c r="C203" s="89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1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8" t="s">
        <v>20</v>
      </c>
      <c r="C207" s="89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9"/>
      <c r="C208" s="89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1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1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1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1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8" t="s">
        <v>20</v>
      </c>
      <c r="C218" s="89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9"/>
      <c r="C219" s="89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1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1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32" t="s">
        <v>247</v>
      </c>
    </row>
    <row r="226" spans="1:14" x14ac:dyDescent="0.3">
      <c r="A226" s="55">
        <v>44</v>
      </c>
      <c r="B226" s="90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8"/>
    </row>
    <row r="227" spans="1:14" x14ac:dyDescent="0.3">
      <c r="A227" s="55">
        <v>44</v>
      </c>
      <c r="B227" s="91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33"/>
    </row>
    <row r="228" spans="1:14" x14ac:dyDescent="0.3">
      <c r="A228" s="55">
        <v>44</v>
      </c>
      <c r="B228" s="90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1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1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1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1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1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1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1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9"/>
      <c r="C249" s="89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32" t="s">
        <v>247</v>
      </c>
    </row>
    <row r="250" spans="1:14" x14ac:dyDescent="0.3">
      <c r="A250" s="55">
        <v>48</v>
      </c>
      <c r="B250" s="910"/>
      <c r="C250" s="89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33"/>
    </row>
    <row r="251" spans="1:14" x14ac:dyDescent="0.3">
      <c r="A251" s="55">
        <v>48</v>
      </c>
      <c r="B251" s="90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1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9"/>
      <c r="C256" s="89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32" t="s">
        <v>247</v>
      </c>
    </row>
    <row r="257" spans="1:14" x14ac:dyDescent="0.3">
      <c r="A257" s="55">
        <v>49</v>
      </c>
      <c r="B257" s="910"/>
      <c r="C257" s="89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33"/>
    </row>
    <row r="258" spans="1:14" ht="40.5" x14ac:dyDescent="0.3">
      <c r="A258" s="55">
        <v>49</v>
      </c>
      <c r="B258" s="90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1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2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2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9" t="s">
        <v>1103</v>
      </c>
    </row>
    <row r="262" spans="1:14" ht="25.5" x14ac:dyDescent="0.3">
      <c r="A262" s="132">
        <v>49</v>
      </c>
      <c r="B262" s="92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20"/>
    </row>
    <row r="263" spans="1:14" ht="16.5" customHeight="1" x14ac:dyDescent="0.3">
      <c r="A263" s="55">
        <v>50</v>
      </c>
      <c r="B263" s="908" t="s">
        <v>20</v>
      </c>
      <c r="C263" s="89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9"/>
      <c r="C264" s="89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9"/>
      <c r="C265" s="89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9"/>
      <c r="C266" s="89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10"/>
      <c r="C267" s="89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21" t="s">
        <v>658</v>
      </c>
      <c r="C268" s="91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22"/>
      <c r="C269" s="94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23"/>
      <c r="C270" s="92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8" t="s">
        <v>20</v>
      </c>
      <c r="C271" s="89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9"/>
      <c r="C272" s="89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9"/>
      <c r="C273" s="89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9"/>
      <c r="C275" s="89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9"/>
      <c r="C276" s="89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1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42" t="s">
        <v>1196</v>
      </c>
      <c r="B278" s="943"/>
      <c r="C278" s="943"/>
      <c r="D278" s="943"/>
      <c r="E278" s="943"/>
      <c r="F278" s="943"/>
      <c r="G278" s="943"/>
      <c r="H278" s="943"/>
      <c r="I278" s="943"/>
      <c r="J278" s="943"/>
      <c r="K278" s="943"/>
      <c r="L278" s="943"/>
      <c r="M278" s="943"/>
      <c r="N278" s="944"/>
    </row>
    <row r="279" spans="1:15" ht="16.5" customHeight="1" x14ac:dyDescent="0.3">
      <c r="A279" s="55">
        <v>1</v>
      </c>
      <c r="B279" s="908" t="s">
        <v>20</v>
      </c>
      <c r="C279" s="89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10"/>
      <c r="C280" s="89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8" t="s">
        <v>64</v>
      </c>
      <c r="C281" s="89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9"/>
      <c r="C282" s="89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9"/>
      <c r="C283" s="89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8" t="s">
        <v>1174</v>
      </c>
      <c r="K283" s="940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9"/>
      <c r="C284" s="89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9"/>
      <c r="K284" s="941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1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45" t="s">
        <v>123</v>
      </c>
      <c r="C287" s="91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46"/>
      <c r="C288" s="92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21" t="s">
        <v>64</v>
      </c>
      <c r="C289" s="91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22"/>
      <c r="C290" s="93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22"/>
      <c r="C291" s="93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9" t="s">
        <v>638</v>
      </c>
      <c r="K291" s="934" t="s">
        <v>671</v>
      </c>
      <c r="L291" s="148" t="s">
        <v>309</v>
      </c>
      <c r="M291" s="928" t="s">
        <v>672</v>
      </c>
      <c r="N291" s="148" t="s">
        <v>723</v>
      </c>
    </row>
    <row r="292" spans="1:15" x14ac:dyDescent="0.3">
      <c r="A292" s="55">
        <v>2</v>
      </c>
      <c r="B292" s="922"/>
      <c r="C292" s="93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20"/>
      <c r="K292" s="935"/>
      <c r="L292" s="148" t="s">
        <v>309</v>
      </c>
      <c r="M292" s="929"/>
      <c r="N292" s="148" t="s">
        <v>723</v>
      </c>
    </row>
    <row r="293" spans="1:15" x14ac:dyDescent="0.3">
      <c r="A293" s="55">
        <v>2</v>
      </c>
      <c r="B293" s="922"/>
      <c r="C293" s="93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22"/>
      <c r="C294" s="92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2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8" t="s">
        <v>20</v>
      </c>
      <c r="C296" s="89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9"/>
      <c r="C297" s="89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10"/>
      <c r="C298" s="89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1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8" t="s">
        <v>20</v>
      </c>
      <c r="C302" s="89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9"/>
      <c r="C303" s="89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9"/>
      <c r="C304" s="89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9"/>
      <c r="C305" s="89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10"/>
      <c r="C306" s="89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8" t="s">
        <v>20</v>
      </c>
      <c r="C308" s="89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10"/>
      <c r="C309" s="89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1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21" t="s">
        <v>307</v>
      </c>
      <c r="C313" s="91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23"/>
      <c r="C314" s="92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8" t="s">
        <v>20</v>
      </c>
      <c r="C316" s="89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9"/>
      <c r="C317" s="89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10"/>
      <c r="C318" s="89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1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8" t="s">
        <v>20</v>
      </c>
      <c r="C322" s="89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10"/>
      <c r="C323" s="89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1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8" t="s">
        <v>20</v>
      </c>
      <c r="C329" s="89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9"/>
      <c r="C330" s="89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10"/>
      <c r="C331" s="89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1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8" t="s">
        <v>20</v>
      </c>
      <c r="C334" s="89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9"/>
      <c r="C335" s="89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9"/>
      <c r="C336" s="89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10"/>
      <c r="C337" s="89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1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8" t="s">
        <v>20</v>
      </c>
      <c r="C342" s="89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9"/>
      <c r="C343" s="89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1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9"/>
      <c r="C349" s="93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10"/>
      <c r="C350" s="93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2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2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2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2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2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2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2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2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2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1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1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1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1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21" t="s">
        <v>307</v>
      </c>
      <c r="C375" s="128" t="s">
        <v>1531</v>
      </c>
      <c r="D375" s="919" t="s">
        <v>306</v>
      </c>
      <c r="E375" s="919" t="s">
        <v>322</v>
      </c>
      <c r="F375" s="919" t="s">
        <v>307</v>
      </c>
      <c r="G375" s="924">
        <v>4266</v>
      </c>
      <c r="H375" s="919" t="s">
        <v>640</v>
      </c>
      <c r="I375" s="924" t="s">
        <v>1533</v>
      </c>
      <c r="J375" s="919" t="s">
        <v>1534</v>
      </c>
      <c r="K375" s="926" t="s">
        <v>692</v>
      </c>
      <c r="L375" s="919" t="s">
        <v>324</v>
      </c>
      <c r="M375" s="928" t="s">
        <v>1535</v>
      </c>
      <c r="N375" s="919" t="s">
        <v>425</v>
      </c>
    </row>
    <row r="376" spans="1:19" x14ac:dyDescent="0.3">
      <c r="A376" s="199" t="s">
        <v>1539</v>
      </c>
      <c r="B376" s="922"/>
      <c r="C376" s="129" t="s">
        <v>1532</v>
      </c>
      <c r="D376" s="920"/>
      <c r="E376" s="920"/>
      <c r="F376" s="920"/>
      <c r="G376" s="925"/>
      <c r="H376" s="920"/>
      <c r="I376" s="925"/>
      <c r="J376" s="920"/>
      <c r="K376" s="927"/>
      <c r="L376" s="920"/>
      <c r="M376" s="929"/>
      <c r="N376" s="920"/>
    </row>
    <row r="377" spans="1:19" x14ac:dyDescent="0.3">
      <c r="A377" s="199" t="s">
        <v>1539</v>
      </c>
      <c r="B377" s="922"/>
      <c r="C377" s="128" t="s">
        <v>1536</v>
      </c>
      <c r="D377" s="919" t="s">
        <v>306</v>
      </c>
      <c r="E377" s="919" t="s">
        <v>322</v>
      </c>
      <c r="F377" s="919" t="s">
        <v>307</v>
      </c>
      <c r="G377" s="924">
        <v>3306</v>
      </c>
      <c r="H377" s="919" t="s">
        <v>1153</v>
      </c>
      <c r="I377" s="924" t="s">
        <v>1538</v>
      </c>
      <c r="J377" s="919" t="s">
        <v>1534</v>
      </c>
      <c r="K377" s="926" t="s">
        <v>692</v>
      </c>
      <c r="L377" s="919" t="s">
        <v>324</v>
      </c>
      <c r="M377" s="928" t="s">
        <v>1535</v>
      </c>
      <c r="N377" s="919" t="s">
        <v>425</v>
      </c>
    </row>
    <row r="378" spans="1:19" x14ac:dyDescent="0.3">
      <c r="A378" s="199" t="s">
        <v>1539</v>
      </c>
      <c r="B378" s="923"/>
      <c r="C378" s="129" t="s">
        <v>1537</v>
      </c>
      <c r="D378" s="920"/>
      <c r="E378" s="920"/>
      <c r="F378" s="920"/>
      <c r="G378" s="925"/>
      <c r="H378" s="920"/>
      <c r="I378" s="925"/>
      <c r="J378" s="920"/>
      <c r="K378" s="927"/>
      <c r="L378" s="920"/>
      <c r="M378" s="929"/>
      <c r="N378" s="920"/>
    </row>
    <row r="379" spans="1:19" ht="27" customHeight="1" x14ac:dyDescent="0.3">
      <c r="A379" s="123">
        <v>15</v>
      </c>
      <c r="B379" s="90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1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1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1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1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1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1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94" t="s">
        <v>1782</v>
      </c>
      <c r="C403" s="226" t="s">
        <v>1748</v>
      </c>
      <c r="D403" s="913" t="s">
        <v>306</v>
      </c>
      <c r="E403" s="913" t="s">
        <v>322</v>
      </c>
      <c r="F403" s="913" t="s">
        <v>307</v>
      </c>
      <c r="G403" s="915">
        <v>3306</v>
      </c>
      <c r="H403" s="913" t="s">
        <v>1153</v>
      </c>
      <c r="I403" s="915" t="s">
        <v>1749</v>
      </c>
      <c r="J403" s="913" t="s">
        <v>664</v>
      </c>
      <c r="K403" s="917" t="s">
        <v>1288</v>
      </c>
      <c r="L403" s="913" t="s">
        <v>324</v>
      </c>
      <c r="M403" s="911" t="s">
        <v>1750</v>
      </c>
      <c r="N403" s="913" t="s">
        <v>665</v>
      </c>
    </row>
    <row r="404" spans="1:14" x14ac:dyDescent="0.3">
      <c r="A404" s="123">
        <v>18</v>
      </c>
      <c r="B404" s="895"/>
      <c r="C404" s="226" t="s">
        <v>1751</v>
      </c>
      <c r="D404" s="914"/>
      <c r="E404" s="914"/>
      <c r="F404" s="914"/>
      <c r="G404" s="916"/>
      <c r="H404" s="914"/>
      <c r="I404" s="916"/>
      <c r="J404" s="914"/>
      <c r="K404" s="918"/>
      <c r="L404" s="914"/>
      <c r="M404" s="912"/>
      <c r="N404" s="914"/>
    </row>
    <row r="405" spans="1:14" ht="22.5" x14ac:dyDescent="0.3">
      <c r="A405" s="123">
        <v>18</v>
      </c>
      <c r="B405" s="89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5"/>
      <c r="C406" s="226" t="s">
        <v>1755</v>
      </c>
      <c r="D406" s="913" t="s">
        <v>306</v>
      </c>
      <c r="E406" s="913" t="s">
        <v>322</v>
      </c>
      <c r="F406" s="913" t="s">
        <v>307</v>
      </c>
      <c r="G406" s="915" t="s">
        <v>1756</v>
      </c>
      <c r="H406" s="913" t="s">
        <v>347</v>
      </c>
      <c r="I406" s="915" t="s">
        <v>1154</v>
      </c>
      <c r="J406" s="913" t="s">
        <v>664</v>
      </c>
      <c r="K406" s="913" t="s">
        <v>1757</v>
      </c>
      <c r="L406" s="913" t="s">
        <v>324</v>
      </c>
      <c r="M406" s="911" t="s">
        <v>1758</v>
      </c>
      <c r="N406" s="913" t="s">
        <v>665</v>
      </c>
    </row>
    <row r="407" spans="1:14" x14ac:dyDescent="0.3">
      <c r="A407" s="123">
        <v>18</v>
      </c>
      <c r="B407" s="895"/>
      <c r="C407" s="226" t="s">
        <v>1759</v>
      </c>
      <c r="D407" s="914"/>
      <c r="E407" s="914"/>
      <c r="F407" s="914"/>
      <c r="G407" s="916"/>
      <c r="H407" s="914"/>
      <c r="I407" s="916"/>
      <c r="J407" s="914"/>
      <c r="K407" s="914"/>
      <c r="L407" s="914"/>
      <c r="M407" s="912"/>
      <c r="N407" s="914"/>
    </row>
    <row r="408" spans="1:14" ht="16.5" customHeight="1" x14ac:dyDescent="0.3">
      <c r="A408" s="123">
        <v>18</v>
      </c>
      <c r="B408" s="895"/>
      <c r="C408" s="228" t="s">
        <v>1760</v>
      </c>
      <c r="D408" s="913" t="s">
        <v>306</v>
      </c>
      <c r="E408" s="913" t="s">
        <v>322</v>
      </c>
      <c r="F408" s="913" t="s">
        <v>307</v>
      </c>
      <c r="G408" s="915" t="s">
        <v>1761</v>
      </c>
      <c r="H408" s="913" t="s">
        <v>329</v>
      </c>
      <c r="I408" s="915" t="s">
        <v>1762</v>
      </c>
      <c r="J408" s="913" t="s">
        <v>664</v>
      </c>
      <c r="K408" s="913" t="s">
        <v>1763</v>
      </c>
      <c r="L408" s="913" t="s">
        <v>324</v>
      </c>
      <c r="M408" s="911" t="s">
        <v>1764</v>
      </c>
      <c r="N408" s="913" t="s">
        <v>1765</v>
      </c>
    </row>
    <row r="409" spans="1:14" x14ac:dyDescent="0.3">
      <c r="A409" s="123">
        <v>18</v>
      </c>
      <c r="B409" s="896"/>
      <c r="C409" s="226" t="s">
        <v>1766</v>
      </c>
      <c r="D409" s="914"/>
      <c r="E409" s="914"/>
      <c r="F409" s="914"/>
      <c r="G409" s="916"/>
      <c r="H409" s="914"/>
      <c r="I409" s="916"/>
      <c r="J409" s="914"/>
      <c r="K409" s="914"/>
      <c r="L409" s="914"/>
      <c r="M409" s="912"/>
      <c r="N409" s="914"/>
    </row>
    <row r="410" spans="1:14" ht="16.5" customHeight="1" x14ac:dyDescent="0.3">
      <c r="A410" s="123">
        <v>18</v>
      </c>
      <c r="B410" s="894" t="s">
        <v>253</v>
      </c>
      <c r="C410" s="995" t="s">
        <v>1767</v>
      </c>
      <c r="D410" s="913" t="s">
        <v>311</v>
      </c>
      <c r="E410" s="913" t="s">
        <v>320</v>
      </c>
      <c r="F410" s="913" t="s">
        <v>709</v>
      </c>
      <c r="G410" s="913" t="s">
        <v>1768</v>
      </c>
      <c r="H410" s="995" t="s">
        <v>1769</v>
      </c>
      <c r="I410" s="227" t="s">
        <v>1770</v>
      </c>
      <c r="J410" s="913"/>
      <c r="K410" s="997" t="s">
        <v>1771</v>
      </c>
      <c r="L410" s="913" t="s">
        <v>309</v>
      </c>
      <c r="M410" s="911" t="s">
        <v>1764</v>
      </c>
      <c r="N410" s="913" t="s">
        <v>1772</v>
      </c>
    </row>
    <row r="411" spans="1:14" x14ac:dyDescent="0.3">
      <c r="A411" s="123">
        <v>18</v>
      </c>
      <c r="B411" s="895"/>
      <c r="C411" s="996"/>
      <c r="D411" s="914"/>
      <c r="E411" s="914"/>
      <c r="F411" s="914"/>
      <c r="G411" s="914"/>
      <c r="H411" s="996"/>
      <c r="I411" s="227" t="s">
        <v>1773</v>
      </c>
      <c r="J411" s="914"/>
      <c r="K411" s="998"/>
      <c r="L411" s="914"/>
      <c r="M411" s="912"/>
      <c r="N411" s="914"/>
    </row>
    <row r="412" spans="1:14" ht="22.5" x14ac:dyDescent="0.3">
      <c r="A412" s="123">
        <v>18</v>
      </c>
      <c r="B412" s="89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5"/>
      <c r="C413" s="995" t="s">
        <v>1776</v>
      </c>
      <c r="D413" s="995" t="s">
        <v>700</v>
      </c>
      <c r="E413" s="913" t="s">
        <v>675</v>
      </c>
      <c r="F413" s="995" t="s">
        <v>1777</v>
      </c>
      <c r="G413" s="995" t="s">
        <v>1778</v>
      </c>
      <c r="H413" s="995" t="s">
        <v>662</v>
      </c>
      <c r="I413" s="227" t="s">
        <v>1779</v>
      </c>
      <c r="J413" s="913" t="s">
        <v>638</v>
      </c>
      <c r="K413" s="913" t="s">
        <v>731</v>
      </c>
      <c r="L413" s="913" t="s">
        <v>309</v>
      </c>
      <c r="M413" s="911" t="s">
        <v>1780</v>
      </c>
      <c r="N413" s="913" t="s">
        <v>1781</v>
      </c>
    </row>
    <row r="414" spans="1:14" x14ac:dyDescent="0.3">
      <c r="A414" s="123">
        <v>18</v>
      </c>
      <c r="B414" s="896"/>
      <c r="C414" s="996"/>
      <c r="D414" s="996"/>
      <c r="E414" s="914"/>
      <c r="F414" s="996"/>
      <c r="G414" s="996"/>
      <c r="H414" s="996"/>
      <c r="I414" s="26"/>
      <c r="J414" s="914"/>
      <c r="K414" s="914"/>
      <c r="L414" s="914"/>
      <c r="M414" s="912"/>
      <c r="N414" s="914"/>
    </row>
    <row r="415" spans="1:14" ht="16.5" customHeight="1" x14ac:dyDescent="0.3">
      <c r="A415" s="123">
        <v>19</v>
      </c>
      <c r="B415" s="894" t="s">
        <v>20</v>
      </c>
      <c r="C415" s="148" t="s">
        <v>1794</v>
      </c>
      <c r="D415" s="919" t="s">
        <v>306</v>
      </c>
      <c r="E415" s="919" t="s">
        <v>322</v>
      </c>
      <c r="F415" s="919" t="s">
        <v>307</v>
      </c>
      <c r="G415" s="924" t="s">
        <v>1796</v>
      </c>
      <c r="H415" s="919" t="s">
        <v>1797</v>
      </c>
      <c r="I415" s="924" t="s">
        <v>1792</v>
      </c>
      <c r="J415" s="919" t="s">
        <v>664</v>
      </c>
      <c r="K415" s="148" t="s">
        <v>1520</v>
      </c>
      <c r="L415" s="919" t="s">
        <v>324</v>
      </c>
      <c r="M415" s="928" t="s">
        <v>1799</v>
      </c>
      <c r="N415" s="919" t="s">
        <v>665</v>
      </c>
    </row>
    <row r="416" spans="1:14" x14ac:dyDescent="0.3">
      <c r="A416" s="123">
        <v>19</v>
      </c>
      <c r="B416" s="895"/>
      <c r="C416" s="148" t="s">
        <v>1795</v>
      </c>
      <c r="D416" s="920"/>
      <c r="E416" s="920"/>
      <c r="F416" s="920"/>
      <c r="G416" s="925"/>
      <c r="H416" s="920"/>
      <c r="I416" s="925"/>
      <c r="J416" s="920"/>
      <c r="K416" s="148" t="s">
        <v>1798</v>
      </c>
      <c r="L416" s="920"/>
      <c r="M416" s="929"/>
      <c r="N416" s="920"/>
    </row>
    <row r="417" spans="1:14" x14ac:dyDescent="0.3">
      <c r="A417" s="123">
        <v>19</v>
      </c>
      <c r="B417" s="895"/>
      <c r="C417" s="148" t="s">
        <v>1800</v>
      </c>
      <c r="D417" s="919" t="s">
        <v>306</v>
      </c>
      <c r="E417" s="919" t="s">
        <v>322</v>
      </c>
      <c r="F417" s="919" t="s">
        <v>307</v>
      </c>
      <c r="G417" s="924" t="s">
        <v>1801</v>
      </c>
      <c r="H417" s="919" t="s">
        <v>1802</v>
      </c>
      <c r="I417" s="924" t="s">
        <v>1803</v>
      </c>
      <c r="J417" s="919" t="s">
        <v>664</v>
      </c>
      <c r="K417" s="934" t="s">
        <v>1155</v>
      </c>
      <c r="L417" s="919" t="s">
        <v>324</v>
      </c>
      <c r="M417" s="928" t="s">
        <v>1804</v>
      </c>
      <c r="N417" s="919" t="s">
        <v>665</v>
      </c>
    </row>
    <row r="418" spans="1:14" x14ac:dyDescent="0.3">
      <c r="A418" s="123">
        <v>19</v>
      </c>
      <c r="B418" s="896"/>
      <c r="C418" s="148" t="s">
        <v>1795</v>
      </c>
      <c r="D418" s="920"/>
      <c r="E418" s="920"/>
      <c r="F418" s="920"/>
      <c r="G418" s="925"/>
      <c r="H418" s="920"/>
      <c r="I418" s="925"/>
      <c r="J418" s="920"/>
      <c r="K418" s="935"/>
      <c r="L418" s="920"/>
      <c r="M418" s="929"/>
      <c r="N418" s="920"/>
    </row>
    <row r="419" spans="1:14" ht="16.5" customHeight="1" x14ac:dyDescent="0.3">
      <c r="A419" s="123">
        <v>19</v>
      </c>
      <c r="B419" s="894" t="s">
        <v>21</v>
      </c>
      <c r="C419" s="949" t="s">
        <v>1805</v>
      </c>
      <c r="D419" s="949" t="s">
        <v>700</v>
      </c>
      <c r="E419" s="919" t="s">
        <v>675</v>
      </c>
      <c r="F419" s="949" t="s">
        <v>1806</v>
      </c>
      <c r="G419" s="949" t="s">
        <v>1807</v>
      </c>
      <c r="H419" s="949" t="s">
        <v>662</v>
      </c>
      <c r="I419" s="924" t="s">
        <v>1808</v>
      </c>
      <c r="J419" s="919"/>
      <c r="K419" s="999" t="s">
        <v>1809</v>
      </c>
      <c r="L419" s="919" t="s">
        <v>309</v>
      </c>
      <c r="M419" s="928" t="s">
        <v>1810</v>
      </c>
      <c r="N419" s="149" t="s">
        <v>1811</v>
      </c>
    </row>
    <row r="420" spans="1:14" x14ac:dyDescent="0.3">
      <c r="A420" s="123">
        <v>19</v>
      </c>
      <c r="B420" s="895"/>
      <c r="C420" s="951"/>
      <c r="D420" s="951"/>
      <c r="E420" s="920"/>
      <c r="F420" s="951"/>
      <c r="G420" s="951"/>
      <c r="H420" s="951"/>
      <c r="I420" s="925"/>
      <c r="J420" s="920"/>
      <c r="K420" s="1000"/>
      <c r="L420" s="920"/>
      <c r="M420" s="929"/>
      <c r="N420" s="149" t="s">
        <v>1812</v>
      </c>
    </row>
    <row r="421" spans="1:14" x14ac:dyDescent="0.3">
      <c r="A421" s="123">
        <v>19</v>
      </c>
      <c r="B421" s="895"/>
      <c r="C421" s="1001" t="s">
        <v>1813</v>
      </c>
      <c r="D421" s="949" t="s">
        <v>700</v>
      </c>
      <c r="E421" s="919" t="s">
        <v>320</v>
      </c>
      <c r="F421" s="919" t="s">
        <v>337</v>
      </c>
      <c r="G421" s="949" t="s">
        <v>353</v>
      </c>
      <c r="H421" s="949" t="s">
        <v>1814</v>
      </c>
      <c r="I421" s="924" t="s">
        <v>1815</v>
      </c>
      <c r="J421" s="919" t="s">
        <v>638</v>
      </c>
      <c r="K421" s="1003" t="s">
        <v>692</v>
      </c>
      <c r="L421" s="919" t="s">
        <v>309</v>
      </c>
      <c r="M421" s="928" t="s">
        <v>1816</v>
      </c>
      <c r="N421" s="148" t="s">
        <v>1817</v>
      </c>
    </row>
    <row r="422" spans="1:14" x14ac:dyDescent="0.3">
      <c r="A422" s="123">
        <v>19</v>
      </c>
      <c r="B422" s="895"/>
      <c r="C422" s="1002"/>
      <c r="D422" s="951"/>
      <c r="E422" s="920"/>
      <c r="F422" s="920"/>
      <c r="G422" s="951"/>
      <c r="H422" s="951"/>
      <c r="I422" s="925"/>
      <c r="J422" s="920"/>
      <c r="K422" s="1004"/>
      <c r="L422" s="920"/>
      <c r="M422" s="929"/>
      <c r="N422" s="148" t="s">
        <v>1818</v>
      </c>
    </row>
    <row r="423" spans="1:14" x14ac:dyDescent="0.3">
      <c r="A423" s="123">
        <v>19</v>
      </c>
      <c r="B423" s="89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5"/>
      <c r="C424" s="949" t="s">
        <v>1820</v>
      </c>
      <c r="D424" s="949" t="s">
        <v>700</v>
      </c>
      <c r="E424" s="919" t="s">
        <v>320</v>
      </c>
      <c r="F424" s="919" t="s">
        <v>709</v>
      </c>
      <c r="G424" s="919" t="s">
        <v>1768</v>
      </c>
      <c r="H424" s="949" t="s">
        <v>1821</v>
      </c>
      <c r="I424" s="149" t="s">
        <v>1822</v>
      </c>
      <c r="J424" s="919" t="s">
        <v>638</v>
      </c>
      <c r="K424" s="919" t="s">
        <v>692</v>
      </c>
      <c r="L424" s="919" t="s">
        <v>309</v>
      </c>
      <c r="M424" s="928" t="s">
        <v>1535</v>
      </c>
      <c r="N424" s="924" t="s">
        <v>1824</v>
      </c>
    </row>
    <row r="425" spans="1:14" x14ac:dyDescent="0.3">
      <c r="A425" s="123">
        <v>19</v>
      </c>
      <c r="B425" s="895"/>
      <c r="C425" s="951"/>
      <c r="D425" s="951"/>
      <c r="E425" s="920"/>
      <c r="F425" s="920"/>
      <c r="G425" s="920"/>
      <c r="H425" s="951"/>
      <c r="I425" s="149" t="s">
        <v>1823</v>
      </c>
      <c r="J425" s="920"/>
      <c r="K425" s="920"/>
      <c r="L425" s="920"/>
      <c r="M425" s="929"/>
      <c r="N425" s="925"/>
    </row>
    <row r="426" spans="1:14" x14ac:dyDescent="0.3">
      <c r="A426" s="123">
        <v>19</v>
      </c>
      <c r="B426" s="89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9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9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9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9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9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9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94" t="s">
        <v>2078</v>
      </c>
      <c r="C452" s="243" t="s">
        <v>1906</v>
      </c>
      <c r="D452" s="900" t="s">
        <v>306</v>
      </c>
      <c r="E452" s="900" t="s">
        <v>322</v>
      </c>
      <c r="F452" s="900" t="s">
        <v>307</v>
      </c>
      <c r="G452" s="900">
        <v>3306</v>
      </c>
      <c r="H452" s="900" t="s">
        <v>1153</v>
      </c>
      <c r="I452" s="900" t="s">
        <v>1907</v>
      </c>
      <c r="J452" s="900" t="s">
        <v>1111</v>
      </c>
      <c r="K452" s="900" t="s">
        <v>692</v>
      </c>
      <c r="L452" s="900" t="s">
        <v>324</v>
      </c>
      <c r="M452" s="906" t="s">
        <v>1908</v>
      </c>
      <c r="N452" s="900" t="s">
        <v>665</v>
      </c>
    </row>
    <row r="453" spans="1:14" x14ac:dyDescent="0.3">
      <c r="A453" s="123">
        <v>23</v>
      </c>
      <c r="B453" s="895"/>
      <c r="C453" s="243" t="s">
        <v>1909</v>
      </c>
      <c r="D453" s="901"/>
      <c r="E453" s="901"/>
      <c r="F453" s="901"/>
      <c r="G453" s="901"/>
      <c r="H453" s="901"/>
      <c r="I453" s="901"/>
      <c r="J453" s="901"/>
      <c r="K453" s="901"/>
      <c r="L453" s="901"/>
      <c r="M453" s="907"/>
      <c r="N453" s="901"/>
    </row>
    <row r="454" spans="1:14" x14ac:dyDescent="0.3">
      <c r="A454" s="123">
        <v>23</v>
      </c>
      <c r="B454" s="895"/>
      <c r="C454" s="243" t="s">
        <v>1910</v>
      </c>
      <c r="D454" s="900" t="s">
        <v>306</v>
      </c>
      <c r="E454" s="900" t="s">
        <v>322</v>
      </c>
      <c r="F454" s="900" t="s">
        <v>307</v>
      </c>
      <c r="G454" s="904" t="s">
        <v>1418</v>
      </c>
      <c r="H454" s="900" t="s">
        <v>1911</v>
      </c>
      <c r="I454" s="904" t="s">
        <v>1154</v>
      </c>
      <c r="J454" s="900" t="s">
        <v>664</v>
      </c>
      <c r="K454" s="1005" t="s">
        <v>1763</v>
      </c>
      <c r="L454" s="900" t="s">
        <v>324</v>
      </c>
      <c r="M454" s="906" t="s">
        <v>1535</v>
      </c>
      <c r="N454" s="900" t="s">
        <v>665</v>
      </c>
    </row>
    <row r="455" spans="1:14" x14ac:dyDescent="0.3">
      <c r="A455" s="123">
        <v>23</v>
      </c>
      <c r="B455" s="895"/>
      <c r="C455" s="243" t="s">
        <v>1909</v>
      </c>
      <c r="D455" s="901"/>
      <c r="E455" s="901"/>
      <c r="F455" s="901"/>
      <c r="G455" s="905"/>
      <c r="H455" s="901"/>
      <c r="I455" s="905"/>
      <c r="J455" s="901"/>
      <c r="K455" s="1006"/>
      <c r="L455" s="901"/>
      <c r="M455" s="907"/>
      <c r="N455" s="901"/>
    </row>
    <row r="456" spans="1:14" x14ac:dyDescent="0.3">
      <c r="A456" s="123">
        <v>23</v>
      </c>
      <c r="B456" s="89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5"/>
      <c r="C457" s="243" t="s">
        <v>1917</v>
      </c>
      <c r="D457" s="900" t="s">
        <v>306</v>
      </c>
      <c r="E457" s="900" t="s">
        <v>322</v>
      </c>
      <c r="F457" s="900" t="s">
        <v>307</v>
      </c>
      <c r="G457" s="904">
        <v>4267</v>
      </c>
      <c r="H457" s="900" t="s">
        <v>640</v>
      </c>
      <c r="I457" s="904" t="s">
        <v>1154</v>
      </c>
      <c r="J457" s="900" t="s">
        <v>664</v>
      </c>
      <c r="K457" s="1005" t="s">
        <v>1763</v>
      </c>
      <c r="L457" s="900" t="s">
        <v>324</v>
      </c>
      <c r="M457" s="906" t="s">
        <v>1535</v>
      </c>
      <c r="N457" s="900" t="s">
        <v>665</v>
      </c>
    </row>
    <row r="458" spans="1:14" x14ac:dyDescent="0.3">
      <c r="A458" s="123">
        <v>23</v>
      </c>
      <c r="B458" s="895"/>
      <c r="C458" s="243" t="s">
        <v>1918</v>
      </c>
      <c r="D458" s="901"/>
      <c r="E458" s="901"/>
      <c r="F458" s="901"/>
      <c r="G458" s="905"/>
      <c r="H458" s="901"/>
      <c r="I458" s="905"/>
      <c r="J458" s="901"/>
      <c r="K458" s="1006"/>
      <c r="L458" s="901"/>
      <c r="M458" s="907"/>
      <c r="N458" s="901"/>
    </row>
    <row r="459" spans="1:14" x14ac:dyDescent="0.3">
      <c r="A459" s="123">
        <v>23</v>
      </c>
      <c r="B459" s="895"/>
      <c r="C459" s="243" t="s">
        <v>1917</v>
      </c>
      <c r="D459" s="900" t="s">
        <v>306</v>
      </c>
      <c r="E459" s="900" t="s">
        <v>322</v>
      </c>
      <c r="F459" s="900" t="s">
        <v>307</v>
      </c>
      <c r="G459" s="904" t="s">
        <v>1919</v>
      </c>
      <c r="H459" s="900" t="s">
        <v>662</v>
      </c>
      <c r="I459" s="904" t="s">
        <v>1920</v>
      </c>
      <c r="J459" s="900" t="s">
        <v>349</v>
      </c>
      <c r="K459" s="1007" t="s">
        <v>1916</v>
      </c>
      <c r="L459" s="900" t="s">
        <v>324</v>
      </c>
      <c r="M459" s="906" t="s">
        <v>1535</v>
      </c>
      <c r="N459" s="900" t="s">
        <v>425</v>
      </c>
    </row>
    <row r="460" spans="1:14" x14ac:dyDescent="0.3">
      <c r="A460" s="123">
        <v>23</v>
      </c>
      <c r="B460" s="896"/>
      <c r="C460" s="244" t="s">
        <v>1918</v>
      </c>
      <c r="D460" s="901"/>
      <c r="E460" s="901"/>
      <c r="F460" s="901"/>
      <c r="G460" s="905"/>
      <c r="H460" s="901"/>
      <c r="I460" s="905"/>
      <c r="J460" s="901"/>
      <c r="K460" s="1008"/>
      <c r="L460" s="901"/>
      <c r="M460" s="907"/>
      <c r="N460" s="901"/>
    </row>
    <row r="461" spans="1:14" x14ac:dyDescent="0.3">
      <c r="A461" s="123">
        <v>23</v>
      </c>
      <c r="B461" s="89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5"/>
      <c r="C462" s="900" t="s">
        <v>1921</v>
      </c>
      <c r="D462" s="900" t="s">
        <v>311</v>
      </c>
      <c r="E462" s="900" t="s">
        <v>675</v>
      </c>
      <c r="F462" s="900" t="s">
        <v>1926</v>
      </c>
      <c r="G462" s="900" t="s">
        <v>1927</v>
      </c>
      <c r="H462" s="902" t="s">
        <v>347</v>
      </c>
      <c r="I462" s="242" t="s">
        <v>1928</v>
      </c>
      <c r="J462" s="900"/>
      <c r="K462" s="904" t="s">
        <v>1924</v>
      </c>
      <c r="L462" s="900" t="s">
        <v>309</v>
      </c>
      <c r="M462" s="906" t="s">
        <v>1828</v>
      </c>
      <c r="N462" s="904" t="s">
        <v>1925</v>
      </c>
    </row>
    <row r="463" spans="1:14" x14ac:dyDescent="0.3">
      <c r="A463" s="123">
        <v>23</v>
      </c>
      <c r="B463" s="895"/>
      <c r="C463" s="901"/>
      <c r="D463" s="901"/>
      <c r="E463" s="901"/>
      <c r="F463" s="901"/>
      <c r="G463" s="901"/>
      <c r="H463" s="903"/>
      <c r="I463" s="242" t="s">
        <v>1929</v>
      </c>
      <c r="J463" s="901"/>
      <c r="K463" s="905"/>
      <c r="L463" s="901"/>
      <c r="M463" s="907"/>
      <c r="N463" s="905"/>
    </row>
    <row r="464" spans="1:14" ht="24" x14ac:dyDescent="0.3">
      <c r="A464" s="123">
        <v>23</v>
      </c>
      <c r="B464" s="89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9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9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9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9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9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9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9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9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9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9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9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9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9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9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9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9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9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9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9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9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9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9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9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9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9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9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9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9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9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9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9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9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9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9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9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9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9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9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9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9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9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9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9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9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9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9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9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9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1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1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1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1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1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9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9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9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9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9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9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9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0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9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9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9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9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5"/>
      <c r="C687" s="148" t="s">
        <v>2726</v>
      </c>
      <c r="D687" s="919" t="s">
        <v>306</v>
      </c>
      <c r="E687" s="919" t="s">
        <v>322</v>
      </c>
      <c r="F687" s="919" t="s">
        <v>307</v>
      </c>
      <c r="G687" s="924" t="s">
        <v>2719</v>
      </c>
      <c r="H687" s="919" t="s">
        <v>1047</v>
      </c>
      <c r="I687" s="924" t="s">
        <v>704</v>
      </c>
      <c r="J687" s="919" t="s">
        <v>664</v>
      </c>
      <c r="K687" s="1013" t="s">
        <v>1763</v>
      </c>
      <c r="L687" s="919"/>
      <c r="M687" s="928" t="s">
        <v>458</v>
      </c>
      <c r="N687" s="919" t="s">
        <v>665</v>
      </c>
    </row>
    <row r="688" spans="1:14" x14ac:dyDescent="0.3">
      <c r="A688" s="123">
        <v>8</v>
      </c>
      <c r="B688" s="895"/>
      <c r="C688" s="148" t="s">
        <v>2727</v>
      </c>
      <c r="D688" s="920"/>
      <c r="E688" s="920"/>
      <c r="F688" s="920"/>
      <c r="G688" s="925"/>
      <c r="H688" s="920"/>
      <c r="I688" s="925"/>
      <c r="J688" s="920"/>
      <c r="K688" s="1014"/>
      <c r="L688" s="920"/>
      <c r="M688" s="929"/>
      <c r="N688" s="920"/>
    </row>
    <row r="689" spans="1:14" x14ac:dyDescent="0.3">
      <c r="A689" s="123">
        <v>8</v>
      </c>
      <c r="B689" s="89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5"/>
      <c r="C690" s="148" t="s">
        <v>2730</v>
      </c>
      <c r="D690" s="919" t="s">
        <v>306</v>
      </c>
      <c r="E690" s="919" t="s">
        <v>322</v>
      </c>
      <c r="F690" s="919" t="s">
        <v>307</v>
      </c>
      <c r="G690" s="924" t="s">
        <v>2731</v>
      </c>
      <c r="H690" s="919" t="s">
        <v>640</v>
      </c>
      <c r="I690" s="924" t="s">
        <v>668</v>
      </c>
      <c r="J690" s="919" t="s">
        <v>349</v>
      </c>
      <c r="K690" s="1015" t="s">
        <v>2732</v>
      </c>
      <c r="L690" s="919"/>
      <c r="M690" s="928" t="s">
        <v>2769</v>
      </c>
      <c r="N690" s="919" t="s">
        <v>425</v>
      </c>
    </row>
    <row r="691" spans="1:14" x14ac:dyDescent="0.3">
      <c r="A691" s="123">
        <v>8</v>
      </c>
      <c r="B691" s="896"/>
      <c r="C691" s="148" t="s">
        <v>2723</v>
      </c>
      <c r="D691" s="920"/>
      <c r="E691" s="920"/>
      <c r="F691" s="920"/>
      <c r="G691" s="925"/>
      <c r="H691" s="920"/>
      <c r="I691" s="925"/>
      <c r="J691" s="920"/>
      <c r="K691" s="1016"/>
      <c r="L691" s="920"/>
      <c r="M691" s="929"/>
      <c r="N691" s="920"/>
    </row>
    <row r="692" spans="1:14" x14ac:dyDescent="0.3">
      <c r="A692" s="123">
        <v>8</v>
      </c>
      <c r="B692" s="89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5"/>
      <c r="C693" s="919" t="s">
        <v>2768</v>
      </c>
      <c r="D693" s="919" t="s">
        <v>311</v>
      </c>
      <c r="E693" s="919" t="s">
        <v>675</v>
      </c>
      <c r="F693" s="149" t="s">
        <v>1806</v>
      </c>
      <c r="G693" s="924" t="s">
        <v>689</v>
      </c>
      <c r="H693" s="924" t="s">
        <v>662</v>
      </c>
      <c r="I693" s="924" t="s">
        <v>2739</v>
      </c>
      <c r="J693" s="924"/>
      <c r="K693" s="924" t="s">
        <v>698</v>
      </c>
      <c r="L693" s="919" t="s">
        <v>309</v>
      </c>
      <c r="M693" s="928" t="s">
        <v>672</v>
      </c>
      <c r="N693" s="919" t="s">
        <v>2740</v>
      </c>
    </row>
    <row r="694" spans="1:14" x14ac:dyDescent="0.3">
      <c r="A694" s="123">
        <v>8</v>
      </c>
      <c r="B694" s="896"/>
      <c r="C694" s="920"/>
      <c r="D694" s="920"/>
      <c r="E694" s="920"/>
      <c r="F694" s="149" t="s">
        <v>2738</v>
      </c>
      <c r="G694" s="925"/>
      <c r="H694" s="925"/>
      <c r="I694" s="925"/>
      <c r="J694" s="925"/>
      <c r="K694" s="925"/>
      <c r="L694" s="920"/>
      <c r="M694" s="929"/>
      <c r="N694" s="947"/>
    </row>
    <row r="695" spans="1:14" x14ac:dyDescent="0.3">
      <c r="A695" s="123">
        <v>9</v>
      </c>
      <c r="B695" s="89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5"/>
      <c r="C697" s="243" t="s">
        <v>2745</v>
      </c>
      <c r="D697" s="900" t="s">
        <v>306</v>
      </c>
      <c r="E697" s="900" t="s">
        <v>322</v>
      </c>
      <c r="F697" s="900" t="s">
        <v>307</v>
      </c>
      <c r="G697" s="904" t="s">
        <v>2746</v>
      </c>
      <c r="H697" s="900" t="s">
        <v>405</v>
      </c>
      <c r="I697" s="904" t="s">
        <v>2747</v>
      </c>
      <c r="J697" s="900" t="s">
        <v>664</v>
      </c>
      <c r="K697" s="1017" t="s">
        <v>1757</v>
      </c>
      <c r="L697" s="900"/>
      <c r="M697" s="906">
        <v>750000</v>
      </c>
      <c r="N697" s="900" t="s">
        <v>665</v>
      </c>
    </row>
    <row r="698" spans="1:14" x14ac:dyDescent="0.3">
      <c r="A698" s="123">
        <v>9</v>
      </c>
      <c r="B698" s="895"/>
      <c r="C698" s="243" t="s">
        <v>2748</v>
      </c>
      <c r="D698" s="901"/>
      <c r="E698" s="901"/>
      <c r="F698" s="901"/>
      <c r="G698" s="905"/>
      <c r="H698" s="901"/>
      <c r="I698" s="905"/>
      <c r="J698" s="901"/>
      <c r="K698" s="1018"/>
      <c r="L698" s="901"/>
      <c r="M698" s="907"/>
      <c r="N698" s="901"/>
    </row>
    <row r="699" spans="1:14" x14ac:dyDescent="0.3">
      <c r="A699" s="123">
        <v>9</v>
      </c>
      <c r="B699" s="895"/>
      <c r="C699" s="243" t="s">
        <v>2745</v>
      </c>
      <c r="D699" s="900" t="s">
        <v>306</v>
      </c>
      <c r="E699" s="900" t="s">
        <v>322</v>
      </c>
      <c r="F699" s="900" t="s">
        <v>307</v>
      </c>
      <c r="G699" s="904" t="s">
        <v>2749</v>
      </c>
      <c r="H699" s="900" t="s">
        <v>662</v>
      </c>
      <c r="I699" s="904" t="s">
        <v>668</v>
      </c>
      <c r="J699" s="900" t="s">
        <v>349</v>
      </c>
      <c r="K699" s="1019" t="s">
        <v>2732</v>
      </c>
      <c r="L699" s="900"/>
      <c r="M699" s="906">
        <v>1000000</v>
      </c>
      <c r="N699" s="900" t="s">
        <v>425</v>
      </c>
    </row>
    <row r="700" spans="1:14" x14ac:dyDescent="0.3">
      <c r="A700" s="123">
        <v>9</v>
      </c>
      <c r="B700" s="895"/>
      <c r="C700" s="243" t="s">
        <v>2750</v>
      </c>
      <c r="D700" s="901"/>
      <c r="E700" s="901"/>
      <c r="F700" s="901"/>
      <c r="G700" s="905"/>
      <c r="H700" s="901"/>
      <c r="I700" s="905"/>
      <c r="J700" s="901"/>
      <c r="K700" s="1020"/>
      <c r="L700" s="901"/>
      <c r="M700" s="907"/>
      <c r="N700" s="901"/>
    </row>
    <row r="701" spans="1:14" x14ac:dyDescent="0.3">
      <c r="A701" s="123">
        <v>9</v>
      </c>
      <c r="B701" s="89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9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9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9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9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9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9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9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9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21" t="s">
        <v>2821</v>
      </c>
    </row>
    <row r="734" spans="1:14" ht="27" x14ac:dyDescent="0.3">
      <c r="A734" s="123">
        <v>15</v>
      </c>
      <c r="B734" s="89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22"/>
    </row>
    <row r="735" spans="1:14" x14ac:dyDescent="0.3">
      <c r="A735" s="123">
        <v>15</v>
      </c>
      <c r="B735" s="89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9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9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9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9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9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9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9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9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9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9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9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89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9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9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9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9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9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9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9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9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9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94" t="s">
        <v>3097</v>
      </c>
      <c r="C835" s="148" t="s">
        <v>3079</v>
      </c>
      <c r="D835" s="919" t="s">
        <v>306</v>
      </c>
      <c r="E835" s="919" t="s">
        <v>322</v>
      </c>
      <c r="F835" s="919" t="s">
        <v>307</v>
      </c>
      <c r="G835" s="924" t="s">
        <v>3051</v>
      </c>
      <c r="H835" s="919" t="s">
        <v>1993</v>
      </c>
      <c r="I835" s="924" t="s">
        <v>3052</v>
      </c>
      <c r="J835" s="919" t="s">
        <v>664</v>
      </c>
      <c r="K835" s="148" t="s">
        <v>3081</v>
      </c>
      <c r="L835" s="919"/>
      <c r="M835" s="1024" t="s">
        <v>3082</v>
      </c>
      <c r="N835" s="148" t="s">
        <v>3083</v>
      </c>
    </row>
    <row r="836" spans="1:14" x14ac:dyDescent="0.3">
      <c r="A836" s="123">
        <v>29</v>
      </c>
      <c r="B836" s="895"/>
      <c r="C836" s="148" t="s">
        <v>3080</v>
      </c>
      <c r="D836" s="947"/>
      <c r="E836" s="947"/>
      <c r="F836" s="947"/>
      <c r="G836" s="1023"/>
      <c r="H836" s="947"/>
      <c r="I836" s="1023"/>
      <c r="J836" s="947"/>
      <c r="K836" s="148" t="s">
        <v>707</v>
      </c>
      <c r="L836" s="947"/>
      <c r="M836" s="1025"/>
      <c r="N836" s="148"/>
    </row>
    <row r="837" spans="1:14" x14ac:dyDescent="0.3">
      <c r="A837" s="123">
        <v>29</v>
      </c>
      <c r="B837" s="895"/>
      <c r="C837" s="148"/>
      <c r="D837" s="920"/>
      <c r="E837" s="920"/>
      <c r="F837" s="920"/>
      <c r="G837" s="925"/>
      <c r="H837" s="920"/>
      <c r="I837" s="925"/>
      <c r="J837" s="920"/>
      <c r="K837" s="148"/>
      <c r="L837" s="920"/>
      <c r="M837" s="1026"/>
      <c r="N837" s="148" t="s">
        <v>3084</v>
      </c>
    </row>
    <row r="838" spans="1:14" x14ac:dyDescent="0.3">
      <c r="A838" s="123">
        <v>29</v>
      </c>
      <c r="B838" s="89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94" t="s">
        <v>21</v>
      </c>
      <c r="C840" s="111" t="s">
        <v>3087</v>
      </c>
      <c r="D840" s="919" t="s">
        <v>311</v>
      </c>
      <c r="E840" s="919" t="s">
        <v>320</v>
      </c>
      <c r="F840" s="924" t="s">
        <v>2601</v>
      </c>
      <c r="G840" s="924" t="s">
        <v>3059</v>
      </c>
      <c r="H840" s="924" t="s">
        <v>3060</v>
      </c>
      <c r="I840" s="924" t="s">
        <v>3061</v>
      </c>
      <c r="J840" s="924" t="s">
        <v>702</v>
      </c>
      <c r="K840" s="924" t="s">
        <v>3062</v>
      </c>
      <c r="L840" s="919" t="s">
        <v>309</v>
      </c>
      <c r="M840" s="1024" t="s">
        <v>1816</v>
      </c>
      <c r="N840" s="919" t="s">
        <v>3088</v>
      </c>
    </row>
    <row r="841" spans="1:14" x14ac:dyDescent="0.3">
      <c r="A841" s="123">
        <v>29</v>
      </c>
      <c r="B841" s="895"/>
      <c r="C841" s="111" t="s">
        <v>3065</v>
      </c>
      <c r="D841" s="920"/>
      <c r="E841" s="920"/>
      <c r="F841" s="925"/>
      <c r="G841" s="925"/>
      <c r="H841" s="925"/>
      <c r="I841" s="925"/>
      <c r="J841" s="925"/>
      <c r="K841" s="925"/>
      <c r="L841" s="920"/>
      <c r="M841" s="1026"/>
      <c r="N841" s="920"/>
    </row>
    <row r="842" spans="1:14" x14ac:dyDescent="0.3">
      <c r="A842" s="123">
        <v>29</v>
      </c>
      <c r="B842" s="89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5"/>
      <c r="C844" s="111" t="s">
        <v>3079</v>
      </c>
      <c r="D844" s="919" t="s">
        <v>311</v>
      </c>
      <c r="E844" s="919" t="s">
        <v>320</v>
      </c>
      <c r="F844" s="924" t="s">
        <v>3068</v>
      </c>
      <c r="G844" s="924" t="s">
        <v>1919</v>
      </c>
      <c r="H844" s="924" t="s">
        <v>3069</v>
      </c>
      <c r="I844" s="149" t="s">
        <v>3090</v>
      </c>
      <c r="J844" s="924"/>
      <c r="K844" s="924" t="s">
        <v>3070</v>
      </c>
      <c r="L844" s="919" t="s">
        <v>309</v>
      </c>
      <c r="M844" s="1027" t="s">
        <v>3092</v>
      </c>
      <c r="N844" s="919" t="s">
        <v>1206</v>
      </c>
    </row>
    <row r="845" spans="1:14" x14ac:dyDescent="0.3">
      <c r="A845" s="123">
        <v>29</v>
      </c>
      <c r="B845" s="895"/>
      <c r="C845" s="111" t="s">
        <v>3089</v>
      </c>
      <c r="D845" s="920"/>
      <c r="E845" s="920"/>
      <c r="F845" s="925"/>
      <c r="G845" s="925"/>
      <c r="H845" s="925"/>
      <c r="I845" s="149" t="s">
        <v>3091</v>
      </c>
      <c r="J845" s="925"/>
      <c r="K845" s="925"/>
      <c r="L845" s="920"/>
      <c r="M845" s="1028"/>
      <c r="N845" s="920"/>
    </row>
    <row r="846" spans="1:14" x14ac:dyDescent="0.3">
      <c r="A846" s="123">
        <v>29</v>
      </c>
      <c r="B846" s="895"/>
      <c r="C846" s="111" t="s">
        <v>3079</v>
      </c>
      <c r="D846" s="919" t="s">
        <v>311</v>
      </c>
      <c r="E846" s="919" t="s">
        <v>320</v>
      </c>
      <c r="F846" s="924" t="s">
        <v>2601</v>
      </c>
      <c r="G846" s="924" t="s">
        <v>3059</v>
      </c>
      <c r="H846" s="924" t="s">
        <v>3060</v>
      </c>
      <c r="I846" s="924" t="s">
        <v>3071</v>
      </c>
      <c r="J846" s="924" t="s">
        <v>702</v>
      </c>
      <c r="K846" s="924" t="s">
        <v>1054</v>
      </c>
      <c r="L846" s="919" t="s">
        <v>309</v>
      </c>
      <c r="M846" s="1024" t="s">
        <v>3094</v>
      </c>
      <c r="N846" s="919" t="s">
        <v>3095</v>
      </c>
    </row>
    <row r="847" spans="1:14" x14ac:dyDescent="0.3">
      <c r="A847" s="123">
        <v>29</v>
      </c>
      <c r="B847" s="895"/>
      <c r="C847" s="111"/>
      <c r="D847" s="947"/>
      <c r="E847" s="947"/>
      <c r="F847" s="1023"/>
      <c r="G847" s="1023"/>
      <c r="H847" s="1023"/>
      <c r="I847" s="1023"/>
      <c r="J847" s="1023"/>
      <c r="K847" s="1023"/>
      <c r="L847" s="947"/>
      <c r="M847" s="1025"/>
      <c r="N847" s="947"/>
    </row>
    <row r="848" spans="1:14" x14ac:dyDescent="0.3">
      <c r="A848" s="123">
        <v>29</v>
      </c>
      <c r="B848" s="895"/>
      <c r="C848" s="111" t="s">
        <v>3093</v>
      </c>
      <c r="D848" s="920"/>
      <c r="E848" s="920"/>
      <c r="F848" s="925"/>
      <c r="G848" s="925"/>
      <c r="H848" s="925"/>
      <c r="I848" s="925"/>
      <c r="J848" s="925"/>
      <c r="K848" s="925"/>
      <c r="L848" s="920"/>
      <c r="M848" s="1026"/>
      <c r="N848" s="920"/>
    </row>
    <row r="849" spans="1:14" x14ac:dyDescent="0.3">
      <c r="A849" s="123">
        <v>29</v>
      </c>
      <c r="B849" s="895"/>
      <c r="C849" s="111" t="s">
        <v>3096</v>
      </c>
      <c r="D849" s="919" t="s">
        <v>311</v>
      </c>
      <c r="E849" s="919" t="s">
        <v>320</v>
      </c>
      <c r="F849" s="924" t="s">
        <v>337</v>
      </c>
      <c r="G849" s="924" t="s">
        <v>3072</v>
      </c>
      <c r="H849" s="924" t="s">
        <v>354</v>
      </c>
      <c r="I849" s="924" t="s">
        <v>310</v>
      </c>
      <c r="J849" s="924" t="s">
        <v>638</v>
      </c>
      <c r="K849" s="924" t="s">
        <v>3073</v>
      </c>
      <c r="L849" s="919" t="s">
        <v>309</v>
      </c>
      <c r="M849" s="1024" t="s">
        <v>1816</v>
      </c>
      <c r="N849" s="919" t="s">
        <v>3095</v>
      </c>
    </row>
    <row r="850" spans="1:14" x14ac:dyDescent="0.3">
      <c r="A850" s="123">
        <v>29</v>
      </c>
      <c r="B850" s="896"/>
      <c r="C850" s="111" t="s">
        <v>3089</v>
      </c>
      <c r="D850" s="920"/>
      <c r="E850" s="920"/>
      <c r="F850" s="925"/>
      <c r="G850" s="925"/>
      <c r="H850" s="925"/>
      <c r="I850" s="925"/>
      <c r="J850" s="925"/>
      <c r="K850" s="925"/>
      <c r="L850" s="920"/>
      <c r="M850" s="1026"/>
      <c r="N850" s="920"/>
    </row>
    <row r="851" spans="1:14" x14ac:dyDescent="0.3">
      <c r="A851" s="123">
        <v>30</v>
      </c>
      <c r="B851" s="103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3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32"/>
      <c r="C853" s="148" t="s">
        <v>3106</v>
      </c>
      <c r="D853" s="919" t="s">
        <v>306</v>
      </c>
      <c r="E853" s="919" t="s">
        <v>322</v>
      </c>
      <c r="F853" s="919" t="s">
        <v>307</v>
      </c>
      <c r="G853" s="924" t="s">
        <v>3051</v>
      </c>
      <c r="H853" s="919" t="s">
        <v>1993</v>
      </c>
      <c r="I853" s="924" t="s">
        <v>3108</v>
      </c>
      <c r="J853" s="919" t="s">
        <v>664</v>
      </c>
      <c r="K853" s="148" t="s">
        <v>3109</v>
      </c>
      <c r="L853" s="919"/>
      <c r="M853" s="928" t="s">
        <v>3110</v>
      </c>
      <c r="N853" s="919" t="s">
        <v>665</v>
      </c>
    </row>
    <row r="854" spans="1:14" x14ac:dyDescent="0.3">
      <c r="A854" s="123">
        <v>30</v>
      </c>
      <c r="B854" s="1032"/>
      <c r="C854" s="148" t="s">
        <v>3107</v>
      </c>
      <c r="D854" s="920"/>
      <c r="E854" s="920"/>
      <c r="F854" s="920"/>
      <c r="G854" s="925"/>
      <c r="H854" s="920"/>
      <c r="I854" s="925"/>
      <c r="J854" s="920"/>
      <c r="K854" s="148" t="s">
        <v>655</v>
      </c>
      <c r="L854" s="920"/>
      <c r="M854" s="929"/>
      <c r="N854" s="920"/>
    </row>
    <row r="855" spans="1:14" x14ac:dyDescent="0.3">
      <c r="A855" s="123">
        <v>30</v>
      </c>
      <c r="B855" s="103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94" t="s">
        <v>3116</v>
      </c>
      <c r="C856" s="1029" t="s">
        <v>3117</v>
      </c>
      <c r="D856" s="919" t="s">
        <v>311</v>
      </c>
      <c r="E856" s="919" t="s">
        <v>320</v>
      </c>
      <c r="F856" s="924" t="s">
        <v>2601</v>
      </c>
      <c r="G856" s="924" t="s">
        <v>2749</v>
      </c>
      <c r="H856" s="924" t="s">
        <v>347</v>
      </c>
      <c r="I856" s="924" t="s">
        <v>3118</v>
      </c>
      <c r="J856" s="924" t="s">
        <v>638</v>
      </c>
      <c r="K856" s="924" t="s">
        <v>698</v>
      </c>
      <c r="L856" s="919" t="s">
        <v>309</v>
      </c>
      <c r="M856" s="928" t="s">
        <v>1810</v>
      </c>
      <c r="N856" s="148" t="s">
        <v>3119</v>
      </c>
    </row>
    <row r="857" spans="1:14" x14ac:dyDescent="0.3">
      <c r="A857" s="123">
        <v>30</v>
      </c>
      <c r="B857" s="895"/>
      <c r="C857" s="1030"/>
      <c r="D857" s="920"/>
      <c r="E857" s="920"/>
      <c r="F857" s="925"/>
      <c r="G857" s="925"/>
      <c r="H857" s="925"/>
      <c r="I857" s="925"/>
      <c r="J857" s="925"/>
      <c r="K857" s="925"/>
      <c r="L857" s="920"/>
      <c r="M857" s="929"/>
      <c r="N857" s="148" t="s">
        <v>3120</v>
      </c>
    </row>
    <row r="858" spans="1:14" ht="16.5" customHeight="1" x14ac:dyDescent="0.3">
      <c r="A858" s="123">
        <v>30</v>
      </c>
      <c r="B858" s="895"/>
      <c r="C858" s="1029" t="s">
        <v>3117</v>
      </c>
      <c r="D858" s="919" t="s">
        <v>311</v>
      </c>
      <c r="E858" s="919" t="s">
        <v>320</v>
      </c>
      <c r="F858" s="924" t="s">
        <v>709</v>
      </c>
      <c r="G858" s="149" t="s">
        <v>3121</v>
      </c>
      <c r="H858" s="924" t="s">
        <v>640</v>
      </c>
      <c r="I858" s="924" t="s">
        <v>3122</v>
      </c>
      <c r="J858" s="924"/>
      <c r="K858" s="924" t="s">
        <v>692</v>
      </c>
      <c r="L858" s="919" t="s">
        <v>309</v>
      </c>
      <c r="M858" s="928" t="s">
        <v>1535</v>
      </c>
      <c r="N858" s="919" t="s">
        <v>1772</v>
      </c>
    </row>
    <row r="859" spans="1:14" x14ac:dyDescent="0.3">
      <c r="A859" s="123">
        <v>30</v>
      </c>
      <c r="B859" s="895"/>
      <c r="C859" s="1030"/>
      <c r="D859" s="920"/>
      <c r="E859" s="920"/>
      <c r="F859" s="925"/>
      <c r="G859" s="149">
        <v>2651</v>
      </c>
      <c r="H859" s="925"/>
      <c r="I859" s="925"/>
      <c r="J859" s="925"/>
      <c r="K859" s="925"/>
      <c r="L859" s="920"/>
      <c r="M859" s="929"/>
      <c r="N859" s="920"/>
    </row>
    <row r="860" spans="1:14" x14ac:dyDescent="0.3">
      <c r="A860" s="123">
        <v>30</v>
      </c>
      <c r="B860" s="895"/>
      <c r="C860" s="1029" t="s">
        <v>3123</v>
      </c>
      <c r="D860" s="919" t="s">
        <v>311</v>
      </c>
      <c r="E860" s="919" t="s">
        <v>320</v>
      </c>
      <c r="F860" s="924" t="s">
        <v>720</v>
      </c>
      <c r="G860" s="924" t="s">
        <v>1756</v>
      </c>
      <c r="H860" s="924" t="s">
        <v>347</v>
      </c>
      <c r="I860" s="149" t="s">
        <v>3124</v>
      </c>
      <c r="J860" s="924"/>
      <c r="K860" s="924" t="s">
        <v>3126</v>
      </c>
      <c r="L860" s="919" t="s">
        <v>309</v>
      </c>
      <c r="M860" s="928" t="s">
        <v>1933</v>
      </c>
      <c r="N860" s="919" t="s">
        <v>1206</v>
      </c>
    </row>
    <row r="861" spans="1:14" x14ac:dyDescent="0.3">
      <c r="A861" s="123">
        <v>30</v>
      </c>
      <c r="B861" s="895"/>
      <c r="C861" s="1030"/>
      <c r="D861" s="920"/>
      <c r="E861" s="920"/>
      <c r="F861" s="925"/>
      <c r="G861" s="925"/>
      <c r="H861" s="925"/>
      <c r="I861" s="149" t="s">
        <v>3125</v>
      </c>
      <c r="J861" s="925"/>
      <c r="K861" s="925"/>
      <c r="L861" s="920"/>
      <c r="M861" s="929"/>
      <c r="N861" s="920"/>
    </row>
    <row r="862" spans="1:14" x14ac:dyDescent="0.3">
      <c r="A862" s="123">
        <v>30</v>
      </c>
      <c r="B862" s="895"/>
      <c r="C862" s="111" t="s">
        <v>3127</v>
      </c>
      <c r="D862" s="919" t="s">
        <v>311</v>
      </c>
      <c r="E862" s="919" t="s">
        <v>320</v>
      </c>
      <c r="F862" s="924" t="s">
        <v>690</v>
      </c>
      <c r="G862" s="924" t="s">
        <v>3066</v>
      </c>
      <c r="H862" s="924" t="s">
        <v>354</v>
      </c>
      <c r="I862" s="924" t="s">
        <v>3129</v>
      </c>
      <c r="J862" s="924" t="s">
        <v>638</v>
      </c>
      <c r="K862" s="924" t="s">
        <v>655</v>
      </c>
      <c r="L862" s="919" t="s">
        <v>309</v>
      </c>
      <c r="M862" s="928" t="s">
        <v>1535</v>
      </c>
      <c r="N862" s="919" t="s">
        <v>1206</v>
      </c>
    </row>
    <row r="863" spans="1:14" x14ac:dyDescent="0.3">
      <c r="A863" s="123">
        <v>30</v>
      </c>
      <c r="B863" s="895"/>
      <c r="C863" s="111" t="s">
        <v>3128</v>
      </c>
      <c r="D863" s="920"/>
      <c r="E863" s="920"/>
      <c r="F863" s="925"/>
      <c r="G863" s="925"/>
      <c r="H863" s="925"/>
      <c r="I863" s="925"/>
      <c r="J863" s="925"/>
      <c r="K863" s="925"/>
      <c r="L863" s="920"/>
      <c r="M863" s="929"/>
      <c r="N863" s="920"/>
    </row>
    <row r="864" spans="1:14" x14ac:dyDescent="0.3">
      <c r="A864" s="123">
        <v>30</v>
      </c>
      <c r="B864" s="895"/>
      <c r="C864" s="111" t="s">
        <v>3130</v>
      </c>
      <c r="D864" s="919" t="s">
        <v>311</v>
      </c>
      <c r="E864" s="919" t="s">
        <v>320</v>
      </c>
      <c r="F864" s="924" t="s">
        <v>337</v>
      </c>
      <c r="G864" s="924" t="s">
        <v>3072</v>
      </c>
      <c r="H864" s="924" t="s">
        <v>354</v>
      </c>
      <c r="I864" s="924" t="s">
        <v>3131</v>
      </c>
      <c r="J864" s="924" t="s">
        <v>638</v>
      </c>
      <c r="K864" s="924" t="s">
        <v>713</v>
      </c>
      <c r="L864" s="919" t="s">
        <v>309</v>
      </c>
      <c r="M864" s="928" t="s">
        <v>1810</v>
      </c>
      <c r="N864" s="919" t="s">
        <v>1206</v>
      </c>
    </row>
    <row r="865" spans="1:14" x14ac:dyDescent="0.3">
      <c r="A865" s="123">
        <v>30</v>
      </c>
      <c r="B865" s="895"/>
      <c r="C865" s="111" t="s">
        <v>3107</v>
      </c>
      <c r="D865" s="920"/>
      <c r="E865" s="920"/>
      <c r="F865" s="925"/>
      <c r="G865" s="925"/>
      <c r="H865" s="925"/>
      <c r="I865" s="925"/>
      <c r="J865" s="925"/>
      <c r="K865" s="925"/>
      <c r="L865" s="920"/>
      <c r="M865" s="929"/>
      <c r="N865" s="920"/>
    </row>
    <row r="866" spans="1:14" ht="25.5" x14ac:dyDescent="0.3">
      <c r="A866" s="123">
        <v>30</v>
      </c>
      <c r="B866" s="89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5"/>
      <c r="C867" s="1029" t="s">
        <v>3111</v>
      </c>
      <c r="D867" s="919" t="s">
        <v>311</v>
      </c>
      <c r="E867" s="919" t="s">
        <v>675</v>
      </c>
      <c r="F867" s="924" t="s">
        <v>660</v>
      </c>
      <c r="G867" s="924" t="s">
        <v>661</v>
      </c>
      <c r="H867" s="924" t="s">
        <v>662</v>
      </c>
      <c r="I867" s="149" t="s">
        <v>3134</v>
      </c>
      <c r="J867" s="924" t="s">
        <v>638</v>
      </c>
      <c r="K867" s="924" t="s">
        <v>731</v>
      </c>
      <c r="L867" s="919" t="s">
        <v>309</v>
      </c>
      <c r="M867" s="928" t="s">
        <v>1828</v>
      </c>
      <c r="N867" s="919" t="s">
        <v>3136</v>
      </c>
    </row>
    <row r="868" spans="1:14" x14ac:dyDescent="0.3">
      <c r="A868" s="123">
        <v>30</v>
      </c>
      <c r="B868" s="896"/>
      <c r="C868" s="1030"/>
      <c r="D868" s="920"/>
      <c r="E868" s="920"/>
      <c r="F868" s="925"/>
      <c r="G868" s="925"/>
      <c r="H868" s="925"/>
      <c r="I868" s="149" t="s">
        <v>3135</v>
      </c>
      <c r="J868" s="925"/>
      <c r="K868" s="925"/>
      <c r="L868" s="920"/>
      <c r="M868" s="929"/>
      <c r="N868" s="920"/>
    </row>
    <row r="869" spans="1:14" x14ac:dyDescent="0.3">
      <c r="A869" s="123">
        <v>31</v>
      </c>
      <c r="B869" s="89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5"/>
      <c r="C870" s="148" t="s">
        <v>3140</v>
      </c>
      <c r="D870" s="919" t="s">
        <v>306</v>
      </c>
      <c r="E870" s="919" t="s">
        <v>322</v>
      </c>
      <c r="F870" s="919" t="s">
        <v>307</v>
      </c>
      <c r="G870" s="924">
        <v>1566</v>
      </c>
      <c r="H870" s="919" t="s">
        <v>1911</v>
      </c>
      <c r="I870" s="924" t="s">
        <v>3142</v>
      </c>
      <c r="J870" s="919" t="s">
        <v>664</v>
      </c>
      <c r="K870" s="919" t="s">
        <v>3143</v>
      </c>
      <c r="L870" s="919"/>
      <c r="M870" s="928" t="s">
        <v>3144</v>
      </c>
      <c r="N870" s="919" t="s">
        <v>665</v>
      </c>
    </row>
    <row r="871" spans="1:14" x14ac:dyDescent="0.3">
      <c r="A871" s="123">
        <v>31</v>
      </c>
      <c r="B871" s="895"/>
      <c r="C871" s="148" t="s">
        <v>3141</v>
      </c>
      <c r="D871" s="920"/>
      <c r="E871" s="920"/>
      <c r="F871" s="920"/>
      <c r="G871" s="925"/>
      <c r="H871" s="920"/>
      <c r="I871" s="925"/>
      <c r="J871" s="920"/>
      <c r="K871" s="920"/>
      <c r="L871" s="920"/>
      <c r="M871" s="929"/>
      <c r="N871" s="920"/>
    </row>
    <row r="872" spans="1:14" x14ac:dyDescent="0.3">
      <c r="A872" s="123">
        <v>31</v>
      </c>
      <c r="B872" s="89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5"/>
      <c r="C873" s="388" t="s">
        <v>3140</v>
      </c>
      <c r="D873" s="919" t="s">
        <v>306</v>
      </c>
      <c r="E873" s="919" t="s">
        <v>322</v>
      </c>
      <c r="F873" s="919" t="s">
        <v>307</v>
      </c>
      <c r="G873" s="924" t="s">
        <v>3147</v>
      </c>
      <c r="H873" s="919" t="s">
        <v>3148</v>
      </c>
      <c r="I873" s="924" t="s">
        <v>332</v>
      </c>
      <c r="J873" s="919" t="s">
        <v>1534</v>
      </c>
      <c r="K873" s="919" t="s">
        <v>1157</v>
      </c>
      <c r="L873" s="919"/>
      <c r="M873" s="928" t="s">
        <v>3149</v>
      </c>
      <c r="N873" s="919" t="s">
        <v>425</v>
      </c>
    </row>
    <row r="874" spans="1:14" x14ac:dyDescent="0.3">
      <c r="A874" s="123">
        <v>31</v>
      </c>
      <c r="B874" s="896"/>
      <c r="C874" s="388" t="s">
        <v>3146</v>
      </c>
      <c r="D874" s="920"/>
      <c r="E874" s="920"/>
      <c r="F874" s="920"/>
      <c r="G874" s="925"/>
      <c r="H874" s="920"/>
      <c r="I874" s="925"/>
      <c r="J874" s="920"/>
      <c r="K874" s="920"/>
      <c r="L874" s="920"/>
      <c r="M874" s="929"/>
      <c r="N874" s="920"/>
    </row>
    <row r="875" spans="1:14" x14ac:dyDescent="0.3">
      <c r="A875" s="123">
        <v>31</v>
      </c>
      <c r="B875" s="89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5"/>
      <c r="C876" s="919" t="s">
        <v>3128</v>
      </c>
      <c r="D876" s="919" t="s">
        <v>311</v>
      </c>
      <c r="E876" s="919" t="s">
        <v>675</v>
      </c>
      <c r="F876" s="924" t="s">
        <v>660</v>
      </c>
      <c r="G876" s="924" t="s">
        <v>661</v>
      </c>
      <c r="H876" s="924" t="s">
        <v>662</v>
      </c>
      <c r="I876" s="149" t="s">
        <v>3134</v>
      </c>
      <c r="J876" s="924"/>
      <c r="K876" s="924" t="s">
        <v>698</v>
      </c>
      <c r="L876" s="919" t="s">
        <v>309</v>
      </c>
      <c r="M876" s="928" t="s">
        <v>3139</v>
      </c>
      <c r="N876" s="919" t="s">
        <v>3152</v>
      </c>
    </row>
    <row r="877" spans="1:14" x14ac:dyDescent="0.3">
      <c r="A877" s="123">
        <v>31</v>
      </c>
      <c r="B877" s="895"/>
      <c r="C877" s="920"/>
      <c r="D877" s="920"/>
      <c r="E877" s="920"/>
      <c r="F877" s="925"/>
      <c r="G877" s="925"/>
      <c r="H877" s="925"/>
      <c r="I877" s="149" t="s">
        <v>3135</v>
      </c>
      <c r="J877" s="925"/>
      <c r="K877" s="925"/>
      <c r="L877" s="920"/>
      <c r="M877" s="929"/>
      <c r="N877" s="920"/>
    </row>
    <row r="878" spans="1:14" ht="16.5" customHeight="1" x14ac:dyDescent="0.3">
      <c r="A878" s="123">
        <v>31</v>
      </c>
      <c r="B878" s="895"/>
      <c r="C878" s="148" t="s">
        <v>3153</v>
      </c>
      <c r="D878" s="919" t="s">
        <v>311</v>
      </c>
      <c r="E878" s="919" t="s">
        <v>320</v>
      </c>
      <c r="F878" s="924" t="s">
        <v>3068</v>
      </c>
      <c r="G878" s="924" t="s">
        <v>1919</v>
      </c>
      <c r="H878" s="924" t="s">
        <v>3069</v>
      </c>
      <c r="I878" s="924" t="s">
        <v>3154</v>
      </c>
      <c r="J878" s="924"/>
      <c r="K878" s="924" t="s">
        <v>3155</v>
      </c>
      <c r="L878" s="919" t="s">
        <v>309</v>
      </c>
      <c r="M878" s="928" t="s">
        <v>3156</v>
      </c>
      <c r="N878" s="919" t="s">
        <v>3151</v>
      </c>
    </row>
    <row r="879" spans="1:14" x14ac:dyDescent="0.3">
      <c r="A879" s="123">
        <v>31</v>
      </c>
      <c r="B879" s="895"/>
      <c r="C879" s="148" t="s">
        <v>3111</v>
      </c>
      <c r="D879" s="920"/>
      <c r="E879" s="920"/>
      <c r="F879" s="925"/>
      <c r="G879" s="925"/>
      <c r="H879" s="925"/>
      <c r="I879" s="925"/>
      <c r="J879" s="925"/>
      <c r="K879" s="925"/>
      <c r="L879" s="920"/>
      <c r="M879" s="929"/>
      <c r="N879" s="920"/>
    </row>
    <row r="880" spans="1:14" x14ac:dyDescent="0.3">
      <c r="A880" s="123">
        <v>31</v>
      </c>
      <c r="B880" s="89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5"/>
      <c r="C883" s="111" t="s">
        <v>3166</v>
      </c>
      <c r="D883" s="919" t="s">
        <v>311</v>
      </c>
      <c r="E883" s="919" t="s">
        <v>320</v>
      </c>
      <c r="F883" s="924" t="s">
        <v>337</v>
      </c>
      <c r="G883" s="924" t="s">
        <v>3168</v>
      </c>
      <c r="H883" s="924" t="s">
        <v>3169</v>
      </c>
      <c r="I883" s="924" t="s">
        <v>3170</v>
      </c>
      <c r="J883" s="924" t="s">
        <v>3171</v>
      </c>
      <c r="K883" s="924" t="s">
        <v>3172</v>
      </c>
      <c r="L883" s="919" t="s">
        <v>309</v>
      </c>
      <c r="M883" s="928" t="s">
        <v>3173</v>
      </c>
      <c r="N883" s="919" t="s">
        <v>3136</v>
      </c>
    </row>
    <row r="884" spans="1:14" x14ac:dyDescent="0.3">
      <c r="A884" s="123">
        <v>31</v>
      </c>
      <c r="B884" s="896"/>
      <c r="C884" s="111" t="s">
        <v>3167</v>
      </c>
      <c r="D884" s="920"/>
      <c r="E884" s="920"/>
      <c r="F884" s="925"/>
      <c r="G884" s="925"/>
      <c r="H884" s="925"/>
      <c r="I884" s="925"/>
      <c r="J884" s="925"/>
      <c r="K884" s="925"/>
      <c r="L884" s="920"/>
      <c r="M884" s="929"/>
      <c r="N884" s="920"/>
    </row>
    <row r="885" spans="1:14" ht="27" x14ac:dyDescent="0.3">
      <c r="A885" s="123">
        <v>32</v>
      </c>
      <c r="B885" s="103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3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3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3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3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3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3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3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3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3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3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3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3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3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1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1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1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1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9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9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9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9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9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9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9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9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9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9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9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9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9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9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9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9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9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9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9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9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9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9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9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9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9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9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9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9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9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9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9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9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9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9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9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9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9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9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9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9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9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9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9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9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9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9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9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9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9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9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9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9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9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9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9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9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9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9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9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9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9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9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9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9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9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9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9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9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9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9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9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9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9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9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9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9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9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9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9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9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9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9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9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9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9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9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9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9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9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9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9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9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9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9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9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9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9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9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9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9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9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9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9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9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9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9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9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9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9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9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9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9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9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9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9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9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9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9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9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9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9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9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9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9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9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9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9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9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9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9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9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9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9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9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9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9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9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9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9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9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9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9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9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9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9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9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9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9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9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9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9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9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9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9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9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9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9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9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9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9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9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9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9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9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9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9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9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9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9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9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9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9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9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9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9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9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9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9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9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9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9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9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9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9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9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9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9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9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9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9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9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9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9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9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9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9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9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9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9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9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9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9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9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9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9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9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9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9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9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9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9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9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9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9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9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9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9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9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9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9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9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9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9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9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9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9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9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9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9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9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9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9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9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9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9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9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9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9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9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9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9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9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9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9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9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9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9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9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9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9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9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9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9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9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9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9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9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9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9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9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9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9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7"/>
      <c r="C1208" s="885" t="s">
        <v>5007</v>
      </c>
      <c r="D1208" s="878" t="s">
        <v>311</v>
      </c>
      <c r="E1208" s="878" t="s">
        <v>675</v>
      </c>
      <c r="F1208" s="885" t="s">
        <v>337</v>
      </c>
      <c r="G1208" s="885" t="s">
        <v>353</v>
      </c>
      <c r="H1208" s="885" t="s">
        <v>5008</v>
      </c>
      <c r="I1208" s="476" t="s">
        <v>5009</v>
      </c>
      <c r="J1208" s="885" t="s">
        <v>638</v>
      </c>
      <c r="K1208" s="885" t="s">
        <v>713</v>
      </c>
      <c r="L1208" s="878" t="s">
        <v>309</v>
      </c>
      <c r="M1208" s="888">
        <v>250000</v>
      </c>
      <c r="N1208" s="878" t="s">
        <v>4990</v>
      </c>
    </row>
    <row r="1209" spans="1:14" x14ac:dyDescent="0.3">
      <c r="A1209" s="123">
        <v>2</v>
      </c>
      <c r="B1209" s="877"/>
      <c r="C1209" s="885"/>
      <c r="D1209" s="878"/>
      <c r="E1209" s="878"/>
      <c r="F1209" s="885"/>
      <c r="G1209" s="885"/>
      <c r="H1209" s="885"/>
      <c r="I1209" s="476" t="s">
        <v>5010</v>
      </c>
      <c r="J1209" s="885"/>
      <c r="K1209" s="885"/>
      <c r="L1209" s="878"/>
      <c r="M1209" s="888"/>
      <c r="N1209" s="878"/>
    </row>
    <row r="1210" spans="1:14" x14ac:dyDescent="0.3">
      <c r="A1210" s="123">
        <v>2</v>
      </c>
      <c r="B1210" s="87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7"/>
      <c r="C1222" s="885" t="s">
        <v>5033</v>
      </c>
      <c r="D1222" s="878" t="s">
        <v>311</v>
      </c>
      <c r="E1222" s="878" t="s">
        <v>675</v>
      </c>
      <c r="F1222" s="149" t="s">
        <v>5034</v>
      </c>
      <c r="G1222" s="149" t="s">
        <v>5036</v>
      </c>
      <c r="H1222" s="885" t="s">
        <v>347</v>
      </c>
      <c r="I1222" s="149" t="s">
        <v>5038</v>
      </c>
      <c r="J1222" s="885"/>
      <c r="K1222" s="885" t="s">
        <v>705</v>
      </c>
      <c r="L1222" s="878" t="s">
        <v>309</v>
      </c>
      <c r="M1222" s="888">
        <v>500000</v>
      </c>
      <c r="N1222" s="878" t="s">
        <v>5032</v>
      </c>
    </row>
    <row r="1223" spans="1:14" x14ac:dyDescent="0.3">
      <c r="A1223" s="123">
        <v>3</v>
      </c>
      <c r="B1223" s="877"/>
      <c r="C1223" s="885"/>
      <c r="D1223" s="878"/>
      <c r="E1223" s="878"/>
      <c r="F1223" s="149" t="s">
        <v>5035</v>
      </c>
      <c r="G1223" s="149" t="s">
        <v>5037</v>
      </c>
      <c r="H1223" s="885"/>
      <c r="I1223" s="149" t="s">
        <v>5039</v>
      </c>
      <c r="J1223" s="885"/>
      <c r="K1223" s="885"/>
      <c r="L1223" s="878"/>
      <c r="M1223" s="888"/>
      <c r="N1223" s="878"/>
    </row>
    <row r="1224" spans="1:14" x14ac:dyDescent="0.3">
      <c r="A1224" s="123">
        <v>3</v>
      </c>
      <c r="B1224" s="87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7"/>
      <c r="C1250" s="885" t="s">
        <v>5098</v>
      </c>
      <c r="D1250" s="878" t="s">
        <v>311</v>
      </c>
      <c r="E1250" s="878" t="s">
        <v>675</v>
      </c>
      <c r="F1250" s="878" t="s">
        <v>4986</v>
      </c>
      <c r="G1250" s="878">
        <v>1017</v>
      </c>
      <c r="H1250" s="878" t="s">
        <v>347</v>
      </c>
      <c r="I1250" s="149" t="s">
        <v>5099</v>
      </c>
      <c r="J1250" s="885"/>
      <c r="K1250" s="885" t="s">
        <v>692</v>
      </c>
      <c r="L1250" s="878" t="s">
        <v>309</v>
      </c>
      <c r="M1250" s="888">
        <v>500000</v>
      </c>
      <c r="N1250" s="878" t="s">
        <v>5032</v>
      </c>
    </row>
    <row r="1251" spans="1:14" x14ac:dyDescent="0.3">
      <c r="A1251" s="123">
        <v>5</v>
      </c>
      <c r="B1251" s="877"/>
      <c r="C1251" s="885"/>
      <c r="D1251" s="878"/>
      <c r="E1251" s="878"/>
      <c r="F1251" s="878"/>
      <c r="G1251" s="878"/>
      <c r="H1251" s="878"/>
      <c r="I1251" s="149" t="s">
        <v>5100</v>
      </c>
      <c r="J1251" s="885"/>
      <c r="K1251" s="885"/>
      <c r="L1251" s="878"/>
      <c r="M1251" s="888"/>
      <c r="N1251" s="878"/>
    </row>
    <row r="1252" spans="1:14" x14ac:dyDescent="0.3">
      <c r="A1252" s="123">
        <v>5</v>
      </c>
      <c r="B1252" s="87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7"/>
      <c r="C1254" s="885" t="s">
        <v>5103</v>
      </c>
      <c r="D1254" s="878" t="s">
        <v>311</v>
      </c>
      <c r="E1254" s="878" t="s">
        <v>675</v>
      </c>
      <c r="F1254" s="885" t="s">
        <v>5070</v>
      </c>
      <c r="G1254" s="885">
        <v>3006</v>
      </c>
      <c r="H1254" s="885" t="s">
        <v>347</v>
      </c>
      <c r="I1254" s="476" t="s">
        <v>5104</v>
      </c>
      <c r="J1254" s="885"/>
      <c r="K1254" s="885" t="s">
        <v>705</v>
      </c>
      <c r="L1254" s="878" t="s">
        <v>309</v>
      </c>
      <c r="M1254" s="888">
        <v>500000</v>
      </c>
      <c r="N1254" s="878" t="s">
        <v>5032</v>
      </c>
    </row>
    <row r="1255" spans="1:14" x14ac:dyDescent="0.3">
      <c r="A1255" s="123">
        <v>5</v>
      </c>
      <c r="B1255" s="877"/>
      <c r="C1255" s="885"/>
      <c r="D1255" s="878"/>
      <c r="E1255" s="878"/>
      <c r="F1255" s="885"/>
      <c r="G1255" s="885"/>
      <c r="H1255" s="885"/>
      <c r="I1255" s="476" t="s">
        <v>5105</v>
      </c>
      <c r="J1255" s="885"/>
      <c r="K1255" s="885"/>
      <c r="L1255" s="878"/>
      <c r="M1255" s="888"/>
      <c r="N1255" s="878"/>
    </row>
    <row r="1256" spans="1:14" x14ac:dyDescent="0.3">
      <c r="A1256" s="123">
        <v>5</v>
      </c>
      <c r="B1256" s="877"/>
      <c r="C1256" s="885" t="s">
        <v>5103</v>
      </c>
      <c r="D1256" s="878" t="s">
        <v>311</v>
      </c>
      <c r="E1256" s="878" t="s">
        <v>675</v>
      </c>
      <c r="F1256" s="885" t="s">
        <v>5070</v>
      </c>
      <c r="G1256" s="885">
        <v>3006</v>
      </c>
      <c r="H1256" s="885" t="s">
        <v>347</v>
      </c>
      <c r="I1256" s="476" t="s">
        <v>5104</v>
      </c>
      <c r="J1256" s="885"/>
      <c r="K1256" s="885" t="s">
        <v>4936</v>
      </c>
      <c r="L1256" s="878" t="s">
        <v>309</v>
      </c>
      <c r="M1256" s="888">
        <v>600000</v>
      </c>
      <c r="N1256" s="878" t="s">
        <v>5032</v>
      </c>
    </row>
    <row r="1257" spans="1:14" x14ac:dyDescent="0.3">
      <c r="A1257" s="123">
        <v>5</v>
      </c>
      <c r="B1257" s="877"/>
      <c r="C1257" s="885"/>
      <c r="D1257" s="878"/>
      <c r="E1257" s="878"/>
      <c r="F1257" s="885"/>
      <c r="G1257" s="885"/>
      <c r="H1257" s="885"/>
      <c r="I1257" s="476" t="s">
        <v>5105</v>
      </c>
      <c r="J1257" s="885"/>
      <c r="K1257" s="885"/>
      <c r="L1257" s="878"/>
      <c r="M1257" s="888"/>
      <c r="N1257" s="878"/>
    </row>
    <row r="1258" spans="1:14" x14ac:dyDescent="0.3">
      <c r="A1258" s="123">
        <v>5</v>
      </c>
      <c r="B1258" s="87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7"/>
      <c r="C1268" s="885" t="s">
        <v>5122</v>
      </c>
      <c r="D1268" s="878" t="s">
        <v>311</v>
      </c>
      <c r="E1268" s="878" t="s">
        <v>675</v>
      </c>
      <c r="F1268" s="149" t="s">
        <v>5123</v>
      </c>
      <c r="G1268" s="475" t="s">
        <v>5125</v>
      </c>
      <c r="H1268" s="389" t="s">
        <v>347</v>
      </c>
      <c r="I1268" s="885" t="s">
        <v>5128</v>
      </c>
      <c r="J1268" s="885" t="s">
        <v>638</v>
      </c>
      <c r="K1268" s="885" t="s">
        <v>692</v>
      </c>
      <c r="L1268" s="878" t="s">
        <v>309</v>
      </c>
      <c r="M1268" s="888">
        <v>500000</v>
      </c>
      <c r="N1268" s="878" t="s">
        <v>1772</v>
      </c>
    </row>
    <row r="1269" spans="1:14" x14ac:dyDescent="0.3">
      <c r="A1269" s="123">
        <v>6</v>
      </c>
      <c r="B1269" s="877"/>
      <c r="C1269" s="885"/>
      <c r="D1269" s="878"/>
      <c r="E1269" s="878"/>
      <c r="F1269" s="149" t="s">
        <v>5124</v>
      </c>
      <c r="G1269" s="475" t="s">
        <v>5126</v>
      </c>
      <c r="H1269" s="389" t="s">
        <v>5127</v>
      </c>
      <c r="I1269" s="885"/>
      <c r="J1269" s="885"/>
      <c r="K1269" s="885"/>
      <c r="L1269" s="878"/>
      <c r="M1269" s="888"/>
      <c r="N1269" s="878"/>
    </row>
    <row r="1270" spans="1:14" ht="24" x14ac:dyDescent="0.3">
      <c r="A1270" s="123">
        <v>6</v>
      </c>
      <c r="B1270" s="87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7"/>
      <c r="C1289" s="884" t="s">
        <v>5158</v>
      </c>
      <c r="D1289" s="886" t="s">
        <v>311</v>
      </c>
      <c r="E1289" s="886" t="s">
        <v>675</v>
      </c>
      <c r="F1289" s="506" t="s">
        <v>5123</v>
      </c>
      <c r="G1289" s="507" t="s">
        <v>5125</v>
      </c>
      <c r="H1289" s="507" t="s">
        <v>347</v>
      </c>
      <c r="I1289" s="884" t="s">
        <v>5128</v>
      </c>
      <c r="J1289" s="884"/>
      <c r="K1289" s="884" t="s">
        <v>692</v>
      </c>
      <c r="L1289" s="886" t="s">
        <v>309</v>
      </c>
      <c r="M1289" s="887">
        <v>500000</v>
      </c>
      <c r="N1289" s="878" t="s">
        <v>5032</v>
      </c>
    </row>
    <row r="1290" spans="1:14" ht="19.5" x14ac:dyDescent="0.3">
      <c r="A1290" s="123">
        <v>8</v>
      </c>
      <c r="B1290" s="877"/>
      <c r="C1290" s="885"/>
      <c r="D1290" s="878"/>
      <c r="E1290" s="878"/>
      <c r="F1290" s="149" t="s">
        <v>5124</v>
      </c>
      <c r="G1290" s="475" t="s">
        <v>5126</v>
      </c>
      <c r="H1290" s="477" t="s">
        <v>5127</v>
      </c>
      <c r="I1290" s="885"/>
      <c r="J1290" s="885"/>
      <c r="K1290" s="885"/>
      <c r="L1290" s="878"/>
      <c r="M1290" s="888"/>
      <c r="N1290" s="878"/>
    </row>
    <row r="1291" spans="1:14" x14ac:dyDescent="0.3">
      <c r="A1291" s="123">
        <v>8</v>
      </c>
      <c r="B1291" s="877"/>
      <c r="C1291" s="884" t="s">
        <v>5159</v>
      </c>
      <c r="D1291" s="886" t="s">
        <v>311</v>
      </c>
      <c r="E1291" s="886" t="s">
        <v>320</v>
      </c>
      <c r="F1291" s="891" t="s">
        <v>709</v>
      </c>
      <c r="G1291" s="884" t="s">
        <v>3098</v>
      </c>
      <c r="H1291" s="884" t="s">
        <v>3099</v>
      </c>
      <c r="I1291" s="506" t="s">
        <v>5312</v>
      </c>
      <c r="J1291" s="884" t="s">
        <v>638</v>
      </c>
      <c r="K1291" s="884" t="s">
        <v>713</v>
      </c>
      <c r="L1291" s="886" t="s">
        <v>309</v>
      </c>
      <c r="M1291" s="887">
        <v>250000</v>
      </c>
      <c r="N1291" s="878" t="s">
        <v>5032</v>
      </c>
    </row>
    <row r="1292" spans="1:14" x14ac:dyDescent="0.3">
      <c r="A1292" s="123">
        <v>8</v>
      </c>
      <c r="B1292" s="877"/>
      <c r="C1292" s="885"/>
      <c r="D1292" s="878"/>
      <c r="E1292" s="878"/>
      <c r="F1292" s="892"/>
      <c r="G1292" s="885"/>
      <c r="H1292" s="885"/>
      <c r="I1292" s="149" t="s">
        <v>5160</v>
      </c>
      <c r="J1292" s="885"/>
      <c r="K1292" s="885"/>
      <c r="L1292" s="878"/>
      <c r="M1292" s="888"/>
      <c r="N1292" s="878"/>
    </row>
    <row r="1293" spans="1:14" x14ac:dyDescent="0.3">
      <c r="A1293" s="123">
        <v>8</v>
      </c>
      <c r="B1293" s="877"/>
      <c r="C1293" s="884" t="s">
        <v>5161</v>
      </c>
      <c r="D1293" s="886" t="s">
        <v>311</v>
      </c>
      <c r="E1293" s="886" t="s">
        <v>320</v>
      </c>
      <c r="F1293" s="884" t="s">
        <v>337</v>
      </c>
      <c r="G1293" s="884" t="s">
        <v>3168</v>
      </c>
      <c r="H1293" s="884" t="s">
        <v>3057</v>
      </c>
      <c r="I1293" s="506" t="s">
        <v>5313</v>
      </c>
      <c r="J1293" s="884" t="s">
        <v>638</v>
      </c>
      <c r="K1293" s="884" t="s">
        <v>692</v>
      </c>
      <c r="L1293" s="886" t="s">
        <v>309</v>
      </c>
      <c r="M1293" s="887">
        <v>500000</v>
      </c>
      <c r="N1293" s="878" t="s">
        <v>1206</v>
      </c>
    </row>
    <row r="1294" spans="1:14" x14ac:dyDescent="0.3">
      <c r="A1294" s="123">
        <v>8</v>
      </c>
      <c r="B1294" s="877"/>
      <c r="C1294" s="885"/>
      <c r="D1294" s="878"/>
      <c r="E1294" s="878"/>
      <c r="F1294" s="885"/>
      <c r="G1294" s="885"/>
      <c r="H1294" s="885"/>
      <c r="I1294" s="149" t="s">
        <v>5162</v>
      </c>
      <c r="J1294" s="885"/>
      <c r="K1294" s="885"/>
      <c r="L1294" s="878"/>
      <c r="M1294" s="888"/>
      <c r="N1294" s="878"/>
    </row>
    <row r="1295" spans="1:14" x14ac:dyDescent="0.3">
      <c r="A1295" s="123">
        <v>9</v>
      </c>
      <c r="B1295" s="87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7"/>
      <c r="C1304" s="884" t="s">
        <v>5175</v>
      </c>
      <c r="D1304" s="886" t="s">
        <v>311</v>
      </c>
      <c r="E1304" s="886" t="s">
        <v>320</v>
      </c>
      <c r="F1304" s="884" t="s">
        <v>337</v>
      </c>
      <c r="G1304" s="884" t="s">
        <v>3168</v>
      </c>
      <c r="H1304" s="884" t="s">
        <v>3057</v>
      </c>
      <c r="I1304" s="510" t="s">
        <v>5176</v>
      </c>
      <c r="J1304" s="884" t="s">
        <v>638</v>
      </c>
      <c r="K1304" s="884" t="s">
        <v>713</v>
      </c>
      <c r="L1304" s="886" t="s">
        <v>309</v>
      </c>
      <c r="M1304" s="887">
        <v>250000</v>
      </c>
      <c r="N1304" s="878" t="s">
        <v>5032</v>
      </c>
    </row>
    <row r="1305" spans="1:14" x14ac:dyDescent="0.3">
      <c r="A1305" s="123">
        <v>9</v>
      </c>
      <c r="B1305" s="877"/>
      <c r="C1305" s="885"/>
      <c r="D1305" s="878"/>
      <c r="E1305" s="878"/>
      <c r="F1305" s="885"/>
      <c r="G1305" s="885"/>
      <c r="H1305" s="885"/>
      <c r="I1305" s="476" t="s">
        <v>5177</v>
      </c>
      <c r="J1305" s="885"/>
      <c r="K1305" s="885"/>
      <c r="L1305" s="878"/>
      <c r="M1305" s="888"/>
      <c r="N1305" s="878"/>
    </row>
    <row r="1306" spans="1:14" x14ac:dyDescent="0.3">
      <c r="A1306" s="123">
        <v>9</v>
      </c>
      <c r="B1306" s="877"/>
      <c r="C1306" s="884" t="s">
        <v>5175</v>
      </c>
      <c r="D1306" s="886" t="s">
        <v>311</v>
      </c>
      <c r="E1306" s="886" t="s">
        <v>320</v>
      </c>
      <c r="F1306" s="884" t="s">
        <v>5178</v>
      </c>
      <c r="G1306" s="506" t="s">
        <v>689</v>
      </c>
      <c r="H1306" s="884" t="s">
        <v>5180</v>
      </c>
      <c r="I1306" s="506" t="s">
        <v>5315</v>
      </c>
      <c r="J1306" s="884"/>
      <c r="K1306" s="884" t="s">
        <v>713</v>
      </c>
      <c r="L1306" s="886" t="s">
        <v>309</v>
      </c>
      <c r="M1306" s="887">
        <v>250000</v>
      </c>
      <c r="N1306" s="878" t="s">
        <v>5032</v>
      </c>
    </row>
    <row r="1307" spans="1:14" x14ac:dyDescent="0.3">
      <c r="A1307" s="123">
        <v>9</v>
      </c>
      <c r="B1307" s="877"/>
      <c r="C1307" s="885"/>
      <c r="D1307" s="878"/>
      <c r="E1307" s="878"/>
      <c r="F1307" s="885"/>
      <c r="G1307" s="149" t="s">
        <v>5179</v>
      </c>
      <c r="H1307" s="885"/>
      <c r="I1307" s="149" t="s">
        <v>5181</v>
      </c>
      <c r="J1307" s="885"/>
      <c r="K1307" s="885"/>
      <c r="L1307" s="878"/>
      <c r="M1307" s="888"/>
      <c r="N1307" s="878"/>
    </row>
    <row r="1308" spans="1:14" x14ac:dyDescent="0.3">
      <c r="A1308" s="123">
        <v>9</v>
      </c>
      <c r="B1308" s="87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7"/>
      <c r="C1309" s="884" t="s">
        <v>5183</v>
      </c>
      <c r="D1309" s="886" t="s">
        <v>311</v>
      </c>
      <c r="E1309" s="886" t="s">
        <v>320</v>
      </c>
      <c r="F1309" s="884" t="s">
        <v>337</v>
      </c>
      <c r="G1309" s="506" t="s">
        <v>3401</v>
      </c>
      <c r="H1309" s="884" t="s">
        <v>5029</v>
      </c>
      <c r="I1309" s="884" t="s">
        <v>5316</v>
      </c>
      <c r="J1309" s="884"/>
      <c r="K1309" s="884" t="s">
        <v>692</v>
      </c>
      <c r="L1309" s="886" t="s">
        <v>309</v>
      </c>
      <c r="M1309" s="887">
        <v>500000</v>
      </c>
      <c r="N1309" s="878" t="s">
        <v>5032</v>
      </c>
    </row>
    <row r="1310" spans="1:14" x14ac:dyDescent="0.3">
      <c r="A1310" s="123">
        <v>9</v>
      </c>
      <c r="B1310" s="877"/>
      <c r="C1310" s="885"/>
      <c r="D1310" s="878"/>
      <c r="E1310" s="878"/>
      <c r="F1310" s="885"/>
      <c r="G1310" s="149" t="s">
        <v>5184</v>
      </c>
      <c r="H1310" s="885"/>
      <c r="I1310" s="885"/>
      <c r="J1310" s="885"/>
      <c r="K1310" s="885"/>
      <c r="L1310" s="878"/>
      <c r="M1310" s="888"/>
      <c r="N1310" s="878"/>
    </row>
    <row r="1311" spans="1:14" ht="24" x14ac:dyDescent="0.3">
      <c r="A1311" s="123">
        <v>9</v>
      </c>
      <c r="B1311" s="87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7"/>
      <c r="C1312" s="884" t="s">
        <v>5187</v>
      </c>
      <c r="D1312" s="886" t="s">
        <v>311</v>
      </c>
      <c r="E1312" s="886" t="s">
        <v>675</v>
      </c>
      <c r="F1312" s="884" t="s">
        <v>5188</v>
      </c>
      <c r="G1312" s="507" t="s">
        <v>1919</v>
      </c>
      <c r="H1312" s="884" t="s">
        <v>347</v>
      </c>
      <c r="I1312" s="884" t="s">
        <v>5319</v>
      </c>
      <c r="J1312" s="884"/>
      <c r="K1312" s="884" t="s">
        <v>692</v>
      </c>
      <c r="L1312" s="886" t="s">
        <v>309</v>
      </c>
      <c r="M1312" s="889">
        <v>500000</v>
      </c>
      <c r="N1312" s="878" t="s">
        <v>1925</v>
      </c>
    </row>
    <row r="1313" spans="1:14" x14ac:dyDescent="0.3">
      <c r="A1313" s="123">
        <v>9</v>
      </c>
      <c r="B1313" s="877"/>
      <c r="C1313" s="885"/>
      <c r="D1313" s="878"/>
      <c r="E1313" s="878"/>
      <c r="F1313" s="885"/>
      <c r="G1313" s="475" t="s">
        <v>5189</v>
      </c>
      <c r="H1313" s="885"/>
      <c r="I1313" s="885"/>
      <c r="J1313" s="885"/>
      <c r="K1313" s="885"/>
      <c r="L1313" s="878"/>
      <c r="M1313" s="890"/>
      <c r="N1313" s="878"/>
    </row>
    <row r="1314" spans="1:14" x14ac:dyDescent="0.3">
      <c r="A1314" s="123">
        <v>10</v>
      </c>
      <c r="B1314" s="87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7"/>
      <c r="C1321" s="885" t="s">
        <v>5201</v>
      </c>
      <c r="D1321" s="878" t="s">
        <v>311</v>
      </c>
      <c r="E1321" s="878" t="s">
        <v>320</v>
      </c>
      <c r="F1321" s="885" t="s">
        <v>337</v>
      </c>
      <c r="G1321" s="885" t="s">
        <v>3168</v>
      </c>
      <c r="H1321" s="885" t="s">
        <v>3057</v>
      </c>
      <c r="I1321" s="476" t="s">
        <v>5176</v>
      </c>
      <c r="J1321" s="885" t="s">
        <v>638</v>
      </c>
      <c r="K1321" s="885" t="s">
        <v>705</v>
      </c>
      <c r="L1321" s="878" t="s">
        <v>309</v>
      </c>
      <c r="M1321" s="888">
        <v>500000</v>
      </c>
      <c r="N1321" s="878" t="s">
        <v>1206</v>
      </c>
    </row>
    <row r="1322" spans="1:14" x14ac:dyDescent="0.3">
      <c r="A1322" s="123">
        <v>10</v>
      </c>
      <c r="B1322" s="877"/>
      <c r="C1322" s="885"/>
      <c r="D1322" s="878"/>
      <c r="E1322" s="878"/>
      <c r="F1322" s="885"/>
      <c r="G1322" s="885"/>
      <c r="H1322" s="885"/>
      <c r="I1322" s="476" t="s">
        <v>5177</v>
      </c>
      <c r="J1322" s="885"/>
      <c r="K1322" s="885"/>
      <c r="L1322" s="878"/>
      <c r="M1322" s="888"/>
      <c r="N1322" s="878"/>
    </row>
    <row r="1323" spans="1:14" x14ac:dyDescent="0.3">
      <c r="A1323" s="123">
        <v>10</v>
      </c>
      <c r="B1323" s="87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7"/>
      <c r="C1326" s="885" t="s">
        <v>5202</v>
      </c>
      <c r="D1326" s="878" t="s">
        <v>311</v>
      </c>
      <c r="E1326" s="878" t="s">
        <v>320</v>
      </c>
      <c r="F1326" s="885" t="s">
        <v>337</v>
      </c>
      <c r="G1326" s="885" t="s">
        <v>3168</v>
      </c>
      <c r="H1326" s="885" t="s">
        <v>3057</v>
      </c>
      <c r="I1326" s="476" t="s">
        <v>5176</v>
      </c>
      <c r="J1326" s="885"/>
      <c r="K1326" s="885" t="s">
        <v>705</v>
      </c>
      <c r="L1326" s="878" t="s">
        <v>309</v>
      </c>
      <c r="M1326" s="888">
        <v>500000</v>
      </c>
      <c r="N1326" s="878" t="s">
        <v>1206</v>
      </c>
    </row>
    <row r="1327" spans="1:14" x14ac:dyDescent="0.3">
      <c r="A1327" s="123">
        <v>10</v>
      </c>
      <c r="B1327" s="877"/>
      <c r="C1327" s="885"/>
      <c r="D1327" s="878"/>
      <c r="E1327" s="878"/>
      <c r="F1327" s="885"/>
      <c r="G1327" s="885"/>
      <c r="H1327" s="885"/>
      <c r="I1327" s="476" t="s">
        <v>5177</v>
      </c>
      <c r="J1327" s="885"/>
      <c r="K1327" s="885"/>
      <c r="L1327" s="878"/>
      <c r="M1327" s="888"/>
      <c r="N1327" s="878"/>
    </row>
    <row r="1328" spans="1:14" ht="25.5" x14ac:dyDescent="0.3">
      <c r="A1328" s="123">
        <v>10</v>
      </c>
      <c r="B1328" s="87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7"/>
      <c r="C1329" s="884" t="s">
        <v>5209</v>
      </c>
      <c r="D1329" s="886" t="s">
        <v>311</v>
      </c>
      <c r="E1329" s="886" t="s">
        <v>675</v>
      </c>
      <c r="F1329" s="506" t="s">
        <v>5210</v>
      </c>
      <c r="G1329" s="884" t="s">
        <v>5212</v>
      </c>
      <c r="H1329" s="884" t="s">
        <v>662</v>
      </c>
      <c r="I1329" s="884" t="s">
        <v>5321</v>
      </c>
      <c r="J1329" s="884" t="s">
        <v>638</v>
      </c>
      <c r="K1329" s="884" t="s">
        <v>713</v>
      </c>
      <c r="L1329" s="886" t="s">
        <v>309</v>
      </c>
      <c r="M1329" s="887">
        <v>250000</v>
      </c>
      <c r="N1329" s="878" t="s">
        <v>5032</v>
      </c>
    </row>
    <row r="1330" spans="1:14" x14ac:dyDescent="0.3">
      <c r="A1330" s="123">
        <v>10</v>
      </c>
      <c r="B1330" s="877"/>
      <c r="C1330" s="885"/>
      <c r="D1330" s="878"/>
      <c r="E1330" s="878"/>
      <c r="F1330" s="149" t="s">
        <v>5211</v>
      </c>
      <c r="G1330" s="885"/>
      <c r="H1330" s="885"/>
      <c r="I1330" s="885"/>
      <c r="J1330" s="885"/>
      <c r="K1330" s="885"/>
      <c r="L1330" s="878"/>
      <c r="M1330" s="888"/>
      <c r="N1330" s="878"/>
    </row>
    <row r="1331" spans="1:14" x14ac:dyDescent="0.3">
      <c r="A1331" s="123">
        <v>10</v>
      </c>
      <c r="B1331" s="877"/>
      <c r="C1331" s="884" t="s">
        <v>5213</v>
      </c>
      <c r="D1331" s="886" t="s">
        <v>311</v>
      </c>
      <c r="E1331" s="886" t="s">
        <v>675</v>
      </c>
      <c r="F1331" s="884" t="s">
        <v>5214</v>
      </c>
      <c r="G1331" s="507" t="s">
        <v>5126</v>
      </c>
      <c r="H1331" s="879" t="s">
        <v>347</v>
      </c>
      <c r="I1331" s="506" t="s">
        <v>5322</v>
      </c>
      <c r="J1331" s="884"/>
      <c r="K1331" s="884" t="s">
        <v>692</v>
      </c>
      <c r="L1331" s="886" t="s">
        <v>309</v>
      </c>
      <c r="M1331" s="887">
        <v>500000</v>
      </c>
      <c r="N1331" s="878" t="s">
        <v>5032</v>
      </c>
    </row>
    <row r="1332" spans="1:14" x14ac:dyDescent="0.3">
      <c r="A1332" s="123">
        <v>10</v>
      </c>
      <c r="B1332" s="877"/>
      <c r="C1332" s="885"/>
      <c r="D1332" s="878"/>
      <c r="E1332" s="878"/>
      <c r="F1332" s="885"/>
      <c r="G1332" s="475" t="s">
        <v>5215</v>
      </c>
      <c r="H1332" s="880"/>
      <c r="I1332" s="149" t="s">
        <v>5217</v>
      </c>
      <c r="J1332" s="885"/>
      <c r="K1332" s="885"/>
      <c r="L1332" s="878"/>
      <c r="M1332" s="888"/>
      <c r="N1332" s="878"/>
    </row>
    <row r="1333" spans="1:14" x14ac:dyDescent="0.3">
      <c r="A1333" s="123">
        <v>11</v>
      </c>
      <c r="B1333" s="87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7" t="s">
        <v>5163</v>
      </c>
      <c r="C1339" s="879" t="s">
        <v>5218</v>
      </c>
      <c r="D1339" s="881" t="s">
        <v>311</v>
      </c>
      <c r="E1339" s="881" t="s">
        <v>675</v>
      </c>
      <c r="F1339" s="879" t="s">
        <v>5214</v>
      </c>
      <c r="G1339" s="510" t="s">
        <v>5126</v>
      </c>
      <c r="H1339" s="879" t="s">
        <v>347</v>
      </c>
      <c r="I1339" s="510" t="s">
        <v>5216</v>
      </c>
      <c r="J1339" s="879"/>
      <c r="K1339" s="879" t="s">
        <v>692</v>
      </c>
      <c r="L1339" s="881" t="s">
        <v>309</v>
      </c>
      <c r="M1339" s="882">
        <v>500000</v>
      </c>
      <c r="N1339" s="880" t="s">
        <v>5225</v>
      </c>
    </row>
    <row r="1340" spans="1:14" x14ac:dyDescent="0.3">
      <c r="A1340" s="123">
        <v>11</v>
      </c>
      <c r="B1340" s="877"/>
      <c r="C1340" s="880"/>
      <c r="D1340" s="875"/>
      <c r="E1340" s="875"/>
      <c r="F1340" s="880"/>
      <c r="G1340" s="476" t="s">
        <v>5215</v>
      </c>
      <c r="H1340" s="880"/>
      <c r="I1340" s="476" t="s">
        <v>5217</v>
      </c>
      <c r="J1340" s="880"/>
      <c r="K1340" s="880"/>
      <c r="L1340" s="875"/>
      <c r="M1340" s="883"/>
      <c r="N1340" s="880"/>
    </row>
    <row r="1341" spans="1:14" x14ac:dyDescent="0.3">
      <c r="A1341" s="123">
        <v>11</v>
      </c>
      <c r="B1341" s="87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7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7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75" t="s">
        <v>5443</v>
      </c>
    </row>
    <row r="1370" spans="1:14" x14ac:dyDescent="0.3">
      <c r="A1370" s="123">
        <v>14</v>
      </c>
      <c r="B1370" s="87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75"/>
    </row>
    <row r="1371" spans="1:14" x14ac:dyDescent="0.3">
      <c r="A1371" s="123">
        <v>14</v>
      </c>
      <c r="B1371" s="87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87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87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87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87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87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87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87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87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87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87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87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9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9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9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9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9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9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9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9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9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9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9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9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9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9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9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9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9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9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9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9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9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9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7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7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7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7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7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9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9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9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9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9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7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87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87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7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77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7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77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7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7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77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1050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1050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1050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1050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1050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1050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1050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1050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89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89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89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89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89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89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895"/>
      <c r="C1439" s="1051" t="s">
        <v>5860</v>
      </c>
      <c r="D1439" s="1052" t="s">
        <v>311</v>
      </c>
      <c r="E1439" s="1052" t="s">
        <v>320</v>
      </c>
      <c r="F1439" s="1053" t="s">
        <v>5188</v>
      </c>
      <c r="G1439" s="658" t="s">
        <v>1919</v>
      </c>
      <c r="H1439" s="1053" t="s">
        <v>347</v>
      </c>
      <c r="I1439" s="1053" t="s">
        <v>5870</v>
      </c>
      <c r="J1439" s="1053"/>
      <c r="K1439" s="1053" t="s">
        <v>692</v>
      </c>
      <c r="L1439" s="1052" t="s">
        <v>309</v>
      </c>
      <c r="M1439" s="1054">
        <v>500000</v>
      </c>
      <c r="N1439" s="1037"/>
    </row>
    <row r="1440" spans="1:14" x14ac:dyDescent="0.3">
      <c r="A1440" s="689">
        <v>20</v>
      </c>
      <c r="B1440" s="895"/>
      <c r="C1440" s="1051"/>
      <c r="D1440" s="1052"/>
      <c r="E1440" s="1052"/>
      <c r="F1440" s="1053"/>
      <c r="G1440" s="658" t="s">
        <v>5189</v>
      </c>
      <c r="H1440" s="1053"/>
      <c r="I1440" s="1053"/>
      <c r="J1440" s="1053"/>
      <c r="K1440" s="1053"/>
      <c r="L1440" s="1052"/>
      <c r="M1440" s="1054"/>
      <c r="N1440" s="1037"/>
    </row>
    <row r="1441" spans="1:14" ht="24" x14ac:dyDescent="0.3">
      <c r="A1441" s="689">
        <v>20</v>
      </c>
      <c r="B1441" s="89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1049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1049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1049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1049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1049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1049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1049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1049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1049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1049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1049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1038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040" t="s">
        <v>5942</v>
      </c>
    </row>
    <row r="1454" spans="1:14" x14ac:dyDescent="0.3">
      <c r="A1454" s="691">
        <v>22</v>
      </c>
      <c r="B1454" s="1039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041"/>
    </row>
    <row r="1455" spans="1:14" x14ac:dyDescent="0.3">
      <c r="A1455" s="691">
        <v>22</v>
      </c>
      <c r="B1455" s="1039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1039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1039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1039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1038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43" t="s">
        <v>3274</v>
      </c>
      <c r="K1459" s="1043" t="s">
        <v>3454</v>
      </c>
      <c r="L1459" s="646" t="s">
        <v>3265</v>
      </c>
      <c r="M1459" s="1045">
        <v>250000</v>
      </c>
      <c r="N1459" s="688" t="s">
        <v>5964</v>
      </c>
    </row>
    <row r="1460" spans="1:14" x14ac:dyDescent="0.3">
      <c r="A1460" s="691">
        <v>22</v>
      </c>
      <c r="B1460" s="1039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44"/>
      <c r="K1460" s="1044"/>
      <c r="L1460" s="646" t="s">
        <v>3265</v>
      </c>
      <c r="M1460" s="1046"/>
      <c r="N1460" s="688" t="s">
        <v>5965</v>
      </c>
    </row>
    <row r="1461" spans="1:14" x14ac:dyDescent="0.3">
      <c r="A1461" s="691">
        <v>22</v>
      </c>
      <c r="B1461" s="1039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1039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1039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1039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47" t="s">
        <v>5920</v>
      </c>
      <c r="L1464" s="646" t="s">
        <v>15</v>
      </c>
      <c r="M1464" s="1045">
        <v>500000</v>
      </c>
      <c r="N1464" s="688" t="s">
        <v>5969</v>
      </c>
    </row>
    <row r="1465" spans="1:14" x14ac:dyDescent="0.3">
      <c r="A1465" s="691">
        <v>22</v>
      </c>
      <c r="B1465" s="104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48"/>
      <c r="L1465" s="646" t="s">
        <v>15</v>
      </c>
      <c r="M1465" s="1046"/>
      <c r="N1465" s="688" t="s">
        <v>5970</v>
      </c>
    </row>
    <row r="1466" spans="1:14" x14ac:dyDescent="0.3">
      <c r="A1466" s="689">
        <v>23</v>
      </c>
      <c r="B1466" s="1049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1049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1049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1049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1049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104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104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1049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104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60" t="s">
        <v>90</v>
      </c>
      <c r="K1474" s="1060" t="s">
        <v>6007</v>
      </c>
      <c r="L1474" s="136" t="s">
        <v>15</v>
      </c>
      <c r="M1474" s="1061">
        <v>250000</v>
      </c>
      <c r="N1474" s="646"/>
    </row>
    <row r="1475" spans="1:14" ht="27" x14ac:dyDescent="0.3">
      <c r="A1475" s="689">
        <v>23</v>
      </c>
      <c r="B1475" s="1049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60"/>
      <c r="K1475" s="1060"/>
      <c r="L1475" s="136" t="s">
        <v>15</v>
      </c>
      <c r="M1475" s="1061"/>
      <c r="N1475" s="646"/>
    </row>
    <row r="1476" spans="1:14" x14ac:dyDescent="0.3">
      <c r="A1476" s="689">
        <v>23</v>
      </c>
      <c r="B1476" s="104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104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104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1049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104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104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104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104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1049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104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1049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1049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1049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1049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1049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1049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1049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104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104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104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104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1049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104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104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104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1049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1049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104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1049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1049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104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104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104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1055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1056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1056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1056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1056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1056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1055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1056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1056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1056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1056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1056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1056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1056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1056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1056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1056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1056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1055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1056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1056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1056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1056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1056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104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104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104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104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104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104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104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104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1049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1049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1049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1049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1049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1049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1049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1049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1049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1049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1049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1049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1049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066" t="s">
        <v>6410</v>
      </c>
      <c r="L1553" s="632" t="s">
        <v>6349</v>
      </c>
      <c r="M1553" s="1045">
        <v>250000</v>
      </c>
      <c r="N1553" s="688" t="s">
        <v>6437</v>
      </c>
    </row>
    <row r="1554" spans="1:14" x14ac:dyDescent="0.3">
      <c r="A1554" s="691">
        <v>27</v>
      </c>
      <c r="B1554" s="1049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067"/>
      <c r="L1554" s="632" t="s">
        <v>15</v>
      </c>
      <c r="M1554" s="1046"/>
      <c r="N1554" s="688" t="s">
        <v>6438</v>
      </c>
    </row>
    <row r="1555" spans="1:14" x14ac:dyDescent="0.3">
      <c r="A1555" s="691">
        <v>27</v>
      </c>
      <c r="B1555" s="1049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1049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1055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1056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1056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1056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105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1056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105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62" t="s">
        <v>686</v>
      </c>
      <c r="L1563" s="125" t="s">
        <v>15</v>
      </c>
      <c r="M1563" s="1045">
        <v>250000</v>
      </c>
      <c r="N1563" s="688" t="s">
        <v>393</v>
      </c>
    </row>
    <row r="1564" spans="1:14" x14ac:dyDescent="0.3">
      <c r="A1564" s="689">
        <v>28</v>
      </c>
      <c r="B1564" s="105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63"/>
      <c r="L1564" s="125" t="s">
        <v>15</v>
      </c>
      <c r="M1564" s="1065"/>
      <c r="N1564" s="688" t="s">
        <v>128</v>
      </c>
    </row>
    <row r="1565" spans="1:14" ht="27" x14ac:dyDescent="0.3">
      <c r="A1565" s="689">
        <v>28</v>
      </c>
      <c r="B1565" s="105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64"/>
      <c r="L1565" s="125" t="s">
        <v>15</v>
      </c>
      <c r="M1565" s="1046"/>
      <c r="N1565" s="688" t="s">
        <v>393</v>
      </c>
    </row>
    <row r="1566" spans="1:14" x14ac:dyDescent="0.3">
      <c r="A1566" s="689">
        <v>28</v>
      </c>
      <c r="B1566" s="105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105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105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1056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1038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62" t="s">
        <v>1113</v>
      </c>
      <c r="L1571" s="125" t="s">
        <v>15</v>
      </c>
      <c r="M1571" s="1045">
        <v>750000</v>
      </c>
      <c r="N1571" s="1057" t="s">
        <v>6608</v>
      </c>
    </row>
    <row r="1572" spans="1:14" x14ac:dyDescent="0.3">
      <c r="A1572" s="689">
        <v>29</v>
      </c>
      <c r="B1572" s="1039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64"/>
      <c r="L1572" s="125" t="s">
        <v>15</v>
      </c>
      <c r="M1572" s="1046"/>
      <c r="N1572" s="1059"/>
    </row>
    <row r="1573" spans="1:14" ht="27" x14ac:dyDescent="0.3">
      <c r="A1573" s="689">
        <v>29</v>
      </c>
      <c r="B1573" s="1039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1039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1039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1039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68" t="s">
        <v>41</v>
      </c>
      <c r="L1576" s="136" t="s">
        <v>15</v>
      </c>
      <c r="M1576" s="1045">
        <v>250000</v>
      </c>
      <c r="N1576" s="646" t="s">
        <v>6615</v>
      </c>
    </row>
    <row r="1577" spans="1:14" x14ac:dyDescent="0.3">
      <c r="A1577" s="689">
        <v>29</v>
      </c>
      <c r="B1577" s="1039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69"/>
      <c r="L1577" s="136" t="s">
        <v>15</v>
      </c>
      <c r="M1577" s="1046"/>
      <c r="N1577" s="646" t="s">
        <v>6616</v>
      </c>
    </row>
    <row r="1578" spans="1:14" x14ac:dyDescent="0.3">
      <c r="A1578" s="689">
        <v>29</v>
      </c>
      <c r="B1578" s="103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1039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1039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1039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62" t="s">
        <v>686</v>
      </c>
      <c r="L1581" s="125" t="s">
        <v>15</v>
      </c>
      <c r="M1581" s="1045">
        <v>250000</v>
      </c>
      <c r="N1581" s="646" t="s">
        <v>6737</v>
      </c>
    </row>
    <row r="1582" spans="1:14" x14ac:dyDescent="0.3">
      <c r="A1582" s="689">
        <v>29</v>
      </c>
      <c r="B1582" s="103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64"/>
      <c r="L1582" s="125" t="s">
        <v>15</v>
      </c>
      <c r="M1582" s="1046"/>
      <c r="N1582" s="646" t="s">
        <v>6620</v>
      </c>
    </row>
    <row r="1583" spans="1:14" x14ac:dyDescent="0.3">
      <c r="A1583" s="689">
        <v>29</v>
      </c>
      <c r="B1583" s="1039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62" t="s">
        <v>686</v>
      </c>
      <c r="L1583" s="125" t="s">
        <v>15</v>
      </c>
      <c r="M1583" s="1045">
        <v>250000</v>
      </c>
      <c r="N1583" s="646" t="s">
        <v>6737</v>
      </c>
    </row>
    <row r="1584" spans="1:14" x14ac:dyDescent="0.3">
      <c r="A1584" s="689">
        <v>29</v>
      </c>
      <c r="B1584" s="1039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64"/>
      <c r="L1584" s="125" t="s">
        <v>15</v>
      </c>
      <c r="M1584" s="1046"/>
      <c r="N1584" s="646" t="s">
        <v>6621</v>
      </c>
    </row>
    <row r="1585" spans="1:14" x14ac:dyDescent="0.3">
      <c r="A1585" s="689">
        <v>30</v>
      </c>
      <c r="B1585" s="1049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1049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1049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1049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1049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1049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1049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1049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1049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057" t="s">
        <v>6721</v>
      </c>
    </row>
    <row r="1595" spans="1:14" x14ac:dyDescent="0.3">
      <c r="A1595" s="689">
        <v>31</v>
      </c>
      <c r="B1595" s="1049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058"/>
    </row>
    <row r="1596" spans="1:14" x14ac:dyDescent="0.3">
      <c r="A1596" s="689">
        <v>31</v>
      </c>
      <c r="B1596" s="1049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058"/>
    </row>
    <row r="1597" spans="1:14" x14ac:dyDescent="0.3">
      <c r="A1597" s="689">
        <v>31</v>
      </c>
      <c r="B1597" s="1049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058"/>
    </row>
    <row r="1598" spans="1:14" x14ac:dyDescent="0.3">
      <c r="A1598" s="689">
        <v>31</v>
      </c>
      <c r="B1598" s="1049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059"/>
    </row>
    <row r="1599" spans="1:14" x14ac:dyDescent="0.3">
      <c r="A1599" s="689">
        <v>31</v>
      </c>
      <c r="B1599" s="1049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1049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1049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1049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1049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1049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1049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1049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1049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1049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1049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1049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1049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1049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1049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1049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1049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1049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1049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1049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1049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1049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1049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1049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1049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1049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1049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1049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1049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1049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1049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1049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1049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1049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1049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1049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1049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1049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057" t="s">
        <v>7020</v>
      </c>
    </row>
    <row r="1637" spans="1:14" x14ac:dyDescent="0.3">
      <c r="A1637" s="804">
        <v>35</v>
      </c>
      <c r="B1637" s="1049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1059"/>
    </row>
    <row r="1638" spans="1:14" x14ac:dyDescent="0.3">
      <c r="A1638" s="804">
        <v>35</v>
      </c>
      <c r="B1638" s="1049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1049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1049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1049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1049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1049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1049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1049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1049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7081</v>
      </c>
      <c r="H1646" s="808" t="s">
        <v>7082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7091</v>
      </c>
    </row>
    <row r="1647" spans="1:14" x14ac:dyDescent="0.3">
      <c r="A1647" s="804">
        <v>36</v>
      </c>
      <c r="B1647" s="1049"/>
      <c r="C1647" s="369" t="s">
        <v>7080</v>
      </c>
      <c r="D1647" s="721" t="s">
        <v>6707</v>
      </c>
      <c r="E1647" s="632" t="s">
        <v>25</v>
      </c>
      <c r="F1647" s="633" t="s">
        <v>5254</v>
      </c>
      <c r="G1647" s="808" t="s">
        <v>7081</v>
      </c>
      <c r="H1647" s="808" t="s">
        <v>7082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1049"/>
      <c r="C1648" s="369" t="s">
        <v>7083</v>
      </c>
      <c r="D1648" s="721" t="s">
        <v>6707</v>
      </c>
      <c r="E1648" s="632" t="s">
        <v>25</v>
      </c>
      <c r="F1648" s="633" t="s">
        <v>5254</v>
      </c>
      <c r="G1648" s="808" t="s">
        <v>7081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1049"/>
      <c r="C1649" s="369" t="s">
        <v>7085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7084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1049"/>
      <c r="C1650" s="369" t="s">
        <v>7086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7087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1049"/>
      <c r="C1651" s="369" t="s">
        <v>7090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7088</v>
      </c>
      <c r="I1651" s="816" t="s">
        <v>7089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1049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7077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7078</v>
      </c>
    </row>
    <row r="1653" spans="1:14" x14ac:dyDescent="0.3">
      <c r="A1653" s="804">
        <v>36</v>
      </c>
      <c r="B1653" s="1049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1049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062" t="s">
        <v>3708</v>
      </c>
      <c r="L1654" s="125" t="s">
        <v>15</v>
      </c>
      <c r="M1654" s="1045">
        <v>250000</v>
      </c>
      <c r="N1654" s="646" t="s">
        <v>5969</v>
      </c>
    </row>
    <row r="1655" spans="1:14" x14ac:dyDescent="0.3">
      <c r="A1655" s="804">
        <v>36</v>
      </c>
      <c r="B1655" s="1049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7047</v>
      </c>
      <c r="J1655" s="807" t="s">
        <v>90</v>
      </c>
      <c r="K1655" s="1064"/>
      <c r="L1655" s="125" t="s">
        <v>15</v>
      </c>
      <c r="M1655" s="1046"/>
      <c r="N1655" s="646" t="s">
        <v>3779</v>
      </c>
    </row>
    <row r="1656" spans="1:14" x14ac:dyDescent="0.3">
      <c r="A1656" s="804">
        <v>36</v>
      </c>
      <c r="B1656" s="1049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7040</v>
      </c>
      <c r="J1656" s="807" t="s">
        <v>7041</v>
      </c>
      <c r="K1656" s="818" t="s">
        <v>2828</v>
      </c>
      <c r="L1656" s="125" t="s">
        <v>1356</v>
      </c>
      <c r="M1656" s="752">
        <v>250000</v>
      </c>
      <c r="N1656" s="646" t="s">
        <v>7079</v>
      </c>
    </row>
    <row r="1657" spans="1:14" x14ac:dyDescent="0.3">
      <c r="A1657" s="804">
        <v>36</v>
      </c>
      <c r="B1657" s="1049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7046</v>
      </c>
      <c r="J1657" s="807" t="s">
        <v>90</v>
      </c>
      <c r="K1657" s="1062" t="s">
        <v>3708</v>
      </c>
      <c r="L1657" s="125" t="s">
        <v>15</v>
      </c>
      <c r="M1657" s="1045">
        <v>250000</v>
      </c>
      <c r="N1657" s="646" t="s">
        <v>3779</v>
      </c>
    </row>
    <row r="1658" spans="1:14" x14ac:dyDescent="0.3">
      <c r="A1658" s="804">
        <v>36</v>
      </c>
      <c r="B1658" s="1049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7073</v>
      </c>
      <c r="J1658" s="807" t="s">
        <v>90</v>
      </c>
      <c r="K1658" s="1064"/>
      <c r="L1658" s="125" t="s">
        <v>15</v>
      </c>
      <c r="M1658" s="1046"/>
      <c r="N1658" s="646" t="s">
        <v>3779</v>
      </c>
    </row>
    <row r="1659" spans="1:14" x14ac:dyDescent="0.3">
      <c r="A1659" s="838">
        <v>36</v>
      </c>
      <c r="B1659" s="1049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7072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9">
        <v>37</v>
      </c>
      <c r="B1660" s="872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7176</v>
      </c>
    </row>
    <row r="1661" spans="1:14" ht="27" x14ac:dyDescent="0.3">
      <c r="A1661" s="839">
        <v>37</v>
      </c>
      <c r="B1661" s="872"/>
      <c r="C1661" s="399" t="s">
        <v>7175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9">
        <v>37</v>
      </c>
      <c r="B1662" s="872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9">
        <v>37</v>
      </c>
      <c r="B1663" s="872"/>
      <c r="C1663" s="399" t="s">
        <v>7178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9">
        <v>37</v>
      </c>
      <c r="B1664" s="872"/>
      <c r="C1664" s="399" t="s">
        <v>7177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9">
        <v>37</v>
      </c>
      <c r="B1665" s="1173"/>
      <c r="C1665" s="1176" t="s">
        <v>7178</v>
      </c>
      <c r="D1665" s="1174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7180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9">
        <v>37</v>
      </c>
      <c r="B1666" s="872"/>
      <c r="C1666" s="1175" t="s">
        <v>7179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9">
        <v>37</v>
      </c>
      <c r="B1667" s="872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9">
        <v>37</v>
      </c>
      <c r="B1668" s="872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7153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9">
        <v>37</v>
      </c>
      <c r="B1669" s="872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7139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9">
        <v>37</v>
      </c>
      <c r="B1670" s="872"/>
      <c r="C1670" s="399">
        <v>46281</v>
      </c>
      <c r="D1670" s="4" t="s">
        <v>64</v>
      </c>
      <c r="E1670" s="4" t="s">
        <v>70</v>
      </c>
      <c r="F1670" s="825" t="s">
        <v>7144</v>
      </c>
      <c r="G1670" s="825" t="s">
        <v>3415</v>
      </c>
      <c r="H1670" s="16" t="s">
        <v>40</v>
      </c>
      <c r="I1670" s="830" t="s">
        <v>7166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9">
        <v>37</v>
      </c>
      <c r="B1671" s="872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7167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9">
        <v>37</v>
      </c>
      <c r="B1672" s="872"/>
      <c r="C1672" s="399">
        <v>46282</v>
      </c>
      <c r="D1672" s="4" t="s">
        <v>64</v>
      </c>
      <c r="E1672" s="4" t="s">
        <v>70</v>
      </c>
      <c r="F1672" s="825" t="s">
        <v>7144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9">
        <v>38</v>
      </c>
      <c r="B1673" s="872" t="s">
        <v>20</v>
      </c>
      <c r="C1673" s="399">
        <v>46284</v>
      </c>
      <c r="D1673" s="721" t="s">
        <v>7240</v>
      </c>
      <c r="E1673" s="632" t="s">
        <v>7241</v>
      </c>
      <c r="F1673" s="633" t="s">
        <v>7242</v>
      </c>
      <c r="G1673" s="832">
        <v>7065</v>
      </c>
      <c r="H1673" s="832" t="s">
        <v>7235</v>
      </c>
      <c r="I1673" s="834" t="s">
        <v>7236</v>
      </c>
      <c r="J1673" s="633"/>
      <c r="K1673" s="834" t="s">
        <v>7233</v>
      </c>
      <c r="L1673" s="698" t="s">
        <v>475</v>
      </c>
      <c r="M1673" s="833">
        <v>500000</v>
      </c>
      <c r="N1673" s="646" t="s">
        <v>7231</v>
      </c>
    </row>
    <row r="1674" spans="1:14" x14ac:dyDescent="0.3">
      <c r="A1674" s="839">
        <v>38</v>
      </c>
      <c r="B1674" s="872"/>
      <c r="C1674" s="399">
        <v>46284</v>
      </c>
      <c r="D1674" s="721" t="s">
        <v>7240</v>
      </c>
      <c r="E1674" s="632" t="s">
        <v>7241</v>
      </c>
      <c r="F1674" s="633" t="s">
        <v>7242</v>
      </c>
      <c r="G1674" s="832" t="s">
        <v>7237</v>
      </c>
      <c r="H1674" s="832" t="s">
        <v>854</v>
      </c>
      <c r="I1674" s="834" t="s">
        <v>7239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7231</v>
      </c>
    </row>
    <row r="1675" spans="1:14" ht="27" x14ac:dyDescent="0.3">
      <c r="A1675" s="839">
        <v>38</v>
      </c>
      <c r="B1675" s="872"/>
      <c r="C1675" s="399" t="s">
        <v>7248</v>
      </c>
      <c r="D1675" s="721" t="s">
        <v>7240</v>
      </c>
      <c r="E1675" s="632" t="s">
        <v>7241</v>
      </c>
      <c r="F1675" s="633" t="s">
        <v>7242</v>
      </c>
      <c r="G1675" s="832" t="s">
        <v>6816</v>
      </c>
      <c r="H1675" s="832" t="s">
        <v>115</v>
      </c>
      <c r="I1675" s="834" t="s">
        <v>3925</v>
      </c>
      <c r="J1675" s="633"/>
      <c r="K1675" s="834" t="s">
        <v>7246</v>
      </c>
      <c r="L1675" s="698" t="s">
        <v>7247</v>
      </c>
      <c r="M1675" s="833">
        <v>750000</v>
      </c>
      <c r="N1675" s="646"/>
    </row>
    <row r="1676" spans="1:14" ht="27" x14ac:dyDescent="0.3">
      <c r="A1676" s="839">
        <v>38</v>
      </c>
      <c r="B1676" s="872"/>
      <c r="C1676" s="399" t="s">
        <v>7248</v>
      </c>
      <c r="D1676" s="721" t="s">
        <v>7240</v>
      </c>
      <c r="E1676" s="632" t="s">
        <v>7241</v>
      </c>
      <c r="F1676" s="633" t="s">
        <v>7242</v>
      </c>
      <c r="G1676" s="832">
        <v>7065</v>
      </c>
      <c r="H1676" s="832" t="s">
        <v>1895</v>
      </c>
      <c r="I1676" s="834" t="s">
        <v>7250</v>
      </c>
      <c r="J1676" s="633"/>
      <c r="K1676" s="834" t="s">
        <v>7251</v>
      </c>
      <c r="L1676" s="698" t="s">
        <v>7247</v>
      </c>
      <c r="M1676" s="833">
        <v>750000</v>
      </c>
      <c r="N1676" s="646"/>
    </row>
    <row r="1677" spans="1:14" ht="27" x14ac:dyDescent="0.3">
      <c r="A1677" s="839">
        <v>38</v>
      </c>
      <c r="B1677" s="872"/>
      <c r="C1677" s="399" t="s">
        <v>7248</v>
      </c>
      <c r="D1677" s="721" t="s">
        <v>7240</v>
      </c>
      <c r="E1677" s="632" t="s">
        <v>7241</v>
      </c>
      <c r="F1677" s="633" t="s">
        <v>7242</v>
      </c>
      <c r="G1677" s="832" t="s">
        <v>7237</v>
      </c>
      <c r="H1677" s="832" t="s">
        <v>854</v>
      </c>
      <c r="I1677" s="834" t="s">
        <v>3738</v>
      </c>
      <c r="J1677" s="633"/>
      <c r="K1677" s="834" t="s">
        <v>7251</v>
      </c>
      <c r="L1677" s="698" t="s">
        <v>7247</v>
      </c>
      <c r="M1677" s="833">
        <v>750000</v>
      </c>
      <c r="N1677" s="646"/>
    </row>
    <row r="1678" spans="1:14" ht="27" x14ac:dyDescent="0.3">
      <c r="A1678" s="839">
        <v>38</v>
      </c>
      <c r="B1678" s="872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6" t="s">
        <v>7189</v>
      </c>
      <c r="J1678" s="831" t="s">
        <v>90</v>
      </c>
      <c r="K1678" s="831" t="s">
        <v>7190</v>
      </c>
      <c r="L1678" s="125" t="s">
        <v>66</v>
      </c>
      <c r="M1678" s="752">
        <v>250000</v>
      </c>
      <c r="N1678" s="646" t="s">
        <v>7230</v>
      </c>
    </row>
    <row r="1679" spans="1:14" x14ac:dyDescent="0.3">
      <c r="A1679" s="839">
        <v>38</v>
      </c>
      <c r="B1679" s="1173"/>
      <c r="C1679" s="1176">
        <v>46287</v>
      </c>
      <c r="D1679" s="1177" t="s">
        <v>21</v>
      </c>
      <c r="E1679" s="4" t="s">
        <v>14</v>
      </c>
      <c r="F1679" s="831" t="s">
        <v>1893</v>
      </c>
      <c r="G1679" s="831" t="s">
        <v>3589</v>
      </c>
      <c r="H1679" s="16" t="s">
        <v>7183</v>
      </c>
      <c r="I1679" s="836" t="s">
        <v>7187</v>
      </c>
      <c r="J1679" s="831" t="s">
        <v>202</v>
      </c>
      <c r="K1679" s="836" t="s">
        <v>685</v>
      </c>
      <c r="L1679" s="125" t="s">
        <v>66</v>
      </c>
      <c r="M1679" s="752">
        <v>500000</v>
      </c>
      <c r="N1679" s="646" t="s">
        <v>7259</v>
      </c>
    </row>
  </sheetData>
  <autoFilter ref="A1:N1659"/>
  <mergeCells count="1096"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10" workbookViewId="0">
      <selection activeCell="A24" sqref="A24:D26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3750000</v>
      </c>
    </row>
    <row r="10" spans="1:4" x14ac:dyDescent="0.3">
      <c r="A10" s="589" t="s">
        <v>4855</v>
      </c>
      <c r="B10" s="589" t="s">
        <v>4856</v>
      </c>
      <c r="C10" s="1074" t="s">
        <v>4857</v>
      </c>
      <c r="D10" s="1074"/>
    </row>
    <row r="11" spans="1:4" x14ac:dyDescent="0.3">
      <c r="A11" s="589" t="s">
        <v>4858</v>
      </c>
      <c r="B11" s="589">
        <v>3</v>
      </c>
      <c r="C11" s="1075">
        <f>'사전품의양식 (12)'!L9</f>
        <v>3000000</v>
      </c>
      <c r="D11" s="1075"/>
    </row>
    <row r="12" spans="1:4" x14ac:dyDescent="0.3">
      <c r="A12" s="589" t="s">
        <v>4859</v>
      </c>
      <c r="B12" s="589">
        <v>1</v>
      </c>
      <c r="C12" s="1075">
        <f>'사전품의양식 (12)'!L12</f>
        <v>750000</v>
      </c>
      <c r="D12" s="1075"/>
    </row>
    <row r="13" spans="1:4" x14ac:dyDescent="0.3">
      <c r="A13" s="591" t="s">
        <v>53</v>
      </c>
      <c r="B13" s="591">
        <f>SUM(B11:B12)</f>
        <v>4</v>
      </c>
      <c r="C13" s="1076">
        <f>SUM(C11:C12)</f>
        <v>3750000</v>
      </c>
      <c r="D13" s="1076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250000</v>
      </c>
      <c r="D17" s="593">
        <f>SUM(B17:C17)</f>
        <v>1000000</v>
      </c>
    </row>
    <row r="18" spans="1:5" x14ac:dyDescent="0.3">
      <c r="A18" s="589" t="s">
        <v>5511</v>
      </c>
      <c r="B18" s="590">
        <f>C11-B17</f>
        <v>2250000</v>
      </c>
      <c r="C18" s="590">
        <f>C12-C17</f>
        <v>500000</v>
      </c>
      <c r="D18" s="590">
        <f>SUM(B18:C18)</f>
        <v>2750000</v>
      </c>
    </row>
    <row r="19" spans="1:5" x14ac:dyDescent="0.3">
      <c r="A19" s="591" t="s">
        <v>4861</v>
      </c>
      <c r="B19" s="592">
        <f>SUM(B17:B18)</f>
        <v>3000000</v>
      </c>
      <c r="C19" s="592">
        <f>SUM(C17:C18)</f>
        <v>750000</v>
      </c>
      <c r="D19" s="592">
        <f>SUM(D17:D18)</f>
        <v>3750000</v>
      </c>
    </row>
    <row r="22" spans="1:5" ht="20.25" x14ac:dyDescent="0.3">
      <c r="A22" s="586" t="s">
        <v>4871</v>
      </c>
    </row>
    <row r="24" spans="1:5" x14ac:dyDescent="0.3">
      <c r="A24" s="857" t="s">
        <v>4855</v>
      </c>
      <c r="B24" s="858" t="s">
        <v>4869</v>
      </c>
      <c r="C24" s="1077" t="s">
        <v>4872</v>
      </c>
      <c r="D24" s="1078"/>
      <c r="E24" s="856"/>
    </row>
    <row r="25" spans="1:5" x14ac:dyDescent="0.3">
      <c r="A25" s="859" t="s">
        <v>4873</v>
      </c>
      <c r="B25" s="827" t="s">
        <v>4874</v>
      </c>
      <c r="C25" s="1072" t="s">
        <v>4875</v>
      </c>
      <c r="D25" s="1073"/>
      <c r="E25" s="856"/>
    </row>
    <row r="26" spans="1:5" x14ac:dyDescent="0.3">
      <c r="A26" s="860" t="s">
        <v>7024</v>
      </c>
      <c r="B26" s="861" t="s">
        <v>7253</v>
      </c>
      <c r="C26" s="1070" t="s">
        <v>7254</v>
      </c>
      <c r="D26" s="1071"/>
      <c r="E26" s="856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5"/>
  <sheetViews>
    <sheetView topLeftCell="A2" zoomScale="90" zoomScaleNormal="90" zoomScaleSheetLayoutView="55" workbookViewId="0">
      <selection activeCell="A4" sqref="A4:M13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079" t="s">
        <v>7255</v>
      </c>
      <c r="B2" s="1079" t="s">
        <v>1</v>
      </c>
      <c r="C2" s="1079" t="s">
        <v>2</v>
      </c>
      <c r="D2" s="1079" t="s">
        <v>3</v>
      </c>
      <c r="E2" s="777" t="s">
        <v>2623</v>
      </c>
      <c r="F2" s="1079" t="s">
        <v>5</v>
      </c>
      <c r="G2" s="1079" t="s">
        <v>6</v>
      </c>
      <c r="H2" s="1079" t="s">
        <v>2624</v>
      </c>
      <c r="I2" s="1079" t="s">
        <v>55</v>
      </c>
      <c r="J2" s="1079" t="s">
        <v>9</v>
      </c>
      <c r="K2" s="1080" t="s">
        <v>56</v>
      </c>
      <c r="L2" s="1079" t="s">
        <v>57</v>
      </c>
      <c r="M2" s="1079" t="s">
        <v>58</v>
      </c>
    </row>
    <row r="3" spans="1:13" x14ac:dyDescent="0.3">
      <c r="A3" s="1079"/>
      <c r="B3" s="1079"/>
      <c r="C3" s="1079"/>
      <c r="D3" s="1079"/>
      <c r="E3" s="777" t="s">
        <v>1724</v>
      </c>
      <c r="F3" s="1079"/>
      <c r="G3" s="1079"/>
      <c r="H3" s="1079"/>
      <c r="I3" s="1079"/>
      <c r="J3" s="1079"/>
      <c r="K3" s="1080"/>
      <c r="L3" s="1079"/>
      <c r="M3" s="1079"/>
    </row>
    <row r="4" spans="1:13" s="680" customFormat="1" ht="17.100000000000001" customHeight="1" x14ac:dyDescent="0.3">
      <c r="A4" s="1049" t="s">
        <v>20</v>
      </c>
      <c r="B4" s="399">
        <v>46284</v>
      </c>
      <c r="C4" s="721" t="s">
        <v>7240</v>
      </c>
      <c r="D4" s="632" t="s">
        <v>7241</v>
      </c>
      <c r="E4" s="633" t="s">
        <v>7242</v>
      </c>
      <c r="F4" s="808">
        <v>7065</v>
      </c>
      <c r="G4" s="808" t="s">
        <v>7235</v>
      </c>
      <c r="H4" s="816" t="s">
        <v>7236</v>
      </c>
      <c r="I4" s="633"/>
      <c r="J4" s="816" t="s">
        <v>7233</v>
      </c>
      <c r="K4" s="698" t="s">
        <v>7234</v>
      </c>
      <c r="L4" s="811">
        <v>500000</v>
      </c>
      <c r="M4" s="646" t="s">
        <v>7231</v>
      </c>
    </row>
    <row r="5" spans="1:13" s="680" customFormat="1" ht="17.100000000000001" customHeight="1" x14ac:dyDescent="0.3">
      <c r="A5" s="1049"/>
      <c r="B5" s="399">
        <v>46284</v>
      </c>
      <c r="C5" s="721" t="s">
        <v>7240</v>
      </c>
      <c r="D5" s="632" t="s">
        <v>7241</v>
      </c>
      <c r="E5" s="633" t="s">
        <v>7242</v>
      </c>
      <c r="F5" s="808" t="s">
        <v>7237</v>
      </c>
      <c r="G5" s="808" t="s">
        <v>7238</v>
      </c>
      <c r="H5" s="816" t="s">
        <v>7239</v>
      </c>
      <c r="I5" s="633"/>
      <c r="J5" s="816" t="s">
        <v>7232</v>
      </c>
      <c r="K5" s="698" t="s">
        <v>7234</v>
      </c>
      <c r="L5" s="811">
        <v>250000</v>
      </c>
      <c r="M5" s="646" t="s">
        <v>7231</v>
      </c>
    </row>
    <row r="6" spans="1:13" s="680" customFormat="1" ht="17.100000000000001" customHeight="1" x14ac:dyDescent="0.3">
      <c r="A6" s="1049"/>
      <c r="B6" s="399" t="s">
        <v>7248</v>
      </c>
      <c r="C6" s="721" t="s">
        <v>7240</v>
      </c>
      <c r="D6" s="632" t="s">
        <v>7241</v>
      </c>
      <c r="E6" s="633" t="s">
        <v>7242</v>
      </c>
      <c r="F6" s="808" t="s">
        <v>7243</v>
      </c>
      <c r="G6" s="808" t="s">
        <v>7244</v>
      </c>
      <c r="H6" s="816" t="s">
        <v>7245</v>
      </c>
      <c r="I6" s="633"/>
      <c r="J6" s="816" t="s">
        <v>7246</v>
      </c>
      <c r="K6" s="698" t="s">
        <v>7247</v>
      </c>
      <c r="L6" s="811">
        <v>750000</v>
      </c>
      <c r="M6" s="646"/>
    </row>
    <row r="7" spans="1:13" s="680" customFormat="1" ht="17.100000000000001" customHeight="1" x14ac:dyDescent="0.3">
      <c r="A7" s="1049"/>
      <c r="B7" s="399" t="s">
        <v>7248</v>
      </c>
      <c r="C7" s="721" t="s">
        <v>7240</v>
      </c>
      <c r="D7" s="632" t="s">
        <v>7241</v>
      </c>
      <c r="E7" s="633" t="s">
        <v>7242</v>
      </c>
      <c r="F7" s="808">
        <v>7065</v>
      </c>
      <c r="G7" s="808" t="s">
        <v>7249</v>
      </c>
      <c r="H7" s="816" t="s">
        <v>7250</v>
      </c>
      <c r="I7" s="633"/>
      <c r="J7" s="816" t="s">
        <v>7251</v>
      </c>
      <c r="K7" s="698" t="s">
        <v>7247</v>
      </c>
      <c r="L7" s="824">
        <v>750000</v>
      </c>
      <c r="M7" s="646"/>
    </row>
    <row r="8" spans="1:13" s="680" customFormat="1" ht="17.100000000000001" customHeight="1" x14ac:dyDescent="0.3">
      <c r="A8" s="1049"/>
      <c r="B8" s="399" t="s">
        <v>7248</v>
      </c>
      <c r="C8" s="721" t="s">
        <v>7240</v>
      </c>
      <c r="D8" s="632" t="s">
        <v>7241</v>
      </c>
      <c r="E8" s="633" t="s">
        <v>7242</v>
      </c>
      <c r="F8" s="823" t="s">
        <v>7237</v>
      </c>
      <c r="G8" s="823" t="s">
        <v>7238</v>
      </c>
      <c r="H8" s="798" t="s">
        <v>7252</v>
      </c>
      <c r="I8" s="633"/>
      <c r="J8" s="828" t="s">
        <v>7251</v>
      </c>
      <c r="K8" s="698" t="s">
        <v>7247</v>
      </c>
      <c r="L8" s="824">
        <v>750000</v>
      </c>
      <c r="M8" s="646"/>
    </row>
    <row r="9" spans="1:13" ht="17.100000000000001" customHeight="1" x14ac:dyDescent="0.3">
      <c r="A9" s="1049"/>
      <c r="B9" s="1049" t="s">
        <v>1136</v>
      </c>
      <c r="C9" s="1049"/>
      <c r="D9" s="1049"/>
      <c r="E9" s="1049"/>
      <c r="F9" s="1049"/>
      <c r="G9" s="1049"/>
      <c r="H9" s="1049"/>
      <c r="I9" s="1049"/>
      <c r="J9" s="1049"/>
      <c r="K9" s="1049"/>
      <c r="L9" s="724">
        <f>SUM(L4:L8)</f>
        <v>3000000</v>
      </c>
      <c r="M9" s="646"/>
    </row>
    <row r="10" spans="1:13" ht="27" x14ac:dyDescent="0.3">
      <c r="A10" s="1049" t="s">
        <v>21</v>
      </c>
      <c r="B10" s="399">
        <v>46280</v>
      </c>
      <c r="C10" s="4" t="s">
        <v>64</v>
      </c>
      <c r="D10" s="4" t="s">
        <v>14</v>
      </c>
      <c r="E10" s="825" t="s">
        <v>107</v>
      </c>
      <c r="F10" s="825" t="s">
        <v>3386</v>
      </c>
      <c r="G10" s="16" t="s">
        <v>1721</v>
      </c>
      <c r="H10" s="830" t="s">
        <v>7189</v>
      </c>
      <c r="I10" s="825" t="s">
        <v>90</v>
      </c>
      <c r="J10" s="825" t="s">
        <v>7190</v>
      </c>
      <c r="K10" s="125" t="s">
        <v>66</v>
      </c>
      <c r="L10" s="752">
        <v>250000</v>
      </c>
      <c r="M10" s="646" t="s">
        <v>7230</v>
      </c>
    </row>
    <row r="11" spans="1:13" ht="13.5" x14ac:dyDescent="0.3">
      <c r="A11" s="1049"/>
      <c r="B11" s="399">
        <v>46287</v>
      </c>
      <c r="C11" s="4" t="s">
        <v>21</v>
      </c>
      <c r="D11" s="4" t="s">
        <v>14</v>
      </c>
      <c r="E11" s="825" t="s">
        <v>1893</v>
      </c>
      <c r="F11" s="825" t="s">
        <v>3589</v>
      </c>
      <c r="G11" s="16" t="s">
        <v>7183</v>
      </c>
      <c r="H11" s="830" t="s">
        <v>7187</v>
      </c>
      <c r="I11" s="825" t="s">
        <v>202</v>
      </c>
      <c r="J11" s="830" t="s">
        <v>7257</v>
      </c>
      <c r="K11" s="125" t="s">
        <v>66</v>
      </c>
      <c r="L11" s="752">
        <v>500000</v>
      </c>
      <c r="M11" s="646" t="s">
        <v>7259</v>
      </c>
    </row>
    <row r="12" spans="1:13" ht="17.100000000000001" customHeight="1" x14ac:dyDescent="0.3">
      <c r="A12" s="1049"/>
      <c r="B12" s="1049" t="s">
        <v>4879</v>
      </c>
      <c r="C12" s="1049"/>
      <c r="D12" s="1049"/>
      <c r="E12" s="1049"/>
      <c r="F12" s="1049"/>
      <c r="G12" s="1049"/>
      <c r="H12" s="1049"/>
      <c r="I12" s="1049"/>
      <c r="J12" s="1049"/>
      <c r="K12" s="1049"/>
      <c r="L12" s="724">
        <f>SUM(L10:L11)</f>
        <v>750000</v>
      </c>
      <c r="M12" s="646"/>
    </row>
    <row r="13" spans="1:13" ht="25.5" customHeight="1" x14ac:dyDescent="0.3">
      <c r="A13" s="1081" t="s">
        <v>62</v>
      </c>
      <c r="B13" s="1081"/>
      <c r="C13" s="1081"/>
      <c r="D13" s="1081"/>
      <c r="E13" s="1081"/>
      <c r="F13" s="1081"/>
      <c r="G13" s="1081"/>
      <c r="H13" s="1081"/>
      <c r="I13" s="1081"/>
      <c r="J13" s="1081"/>
      <c r="K13" s="1081"/>
      <c r="L13" s="724">
        <f>L9+L12</f>
        <v>3750000</v>
      </c>
      <c r="M13" s="649"/>
    </row>
    <row r="14" spans="1:13" ht="26.25" customHeight="1" x14ac:dyDescent="0.3"/>
    <row r="15" spans="1:13" ht="26.25" hidden="1" customHeight="1" x14ac:dyDescent="0.3"/>
    <row r="16" spans="1:13" ht="25.5" hidden="1" customHeight="1" x14ac:dyDescent="0.3">
      <c r="B16" s="681" t="s">
        <v>1144</v>
      </c>
      <c r="C16" s="682"/>
      <c r="D16" s="682"/>
      <c r="E16" s="682"/>
      <c r="F16" s="682"/>
      <c r="G16" s="682"/>
      <c r="H16" s="682"/>
      <c r="I16" s="682"/>
    </row>
    <row r="17" spans="1:16" ht="25.5" hidden="1" customHeight="1" x14ac:dyDescent="0.3">
      <c r="B17" s="683" t="s">
        <v>1140</v>
      </c>
      <c r="C17" s="681">
        <v>45282</v>
      </c>
      <c r="D17" s="682" t="s">
        <v>1151</v>
      </c>
      <c r="E17" s="682"/>
      <c r="F17" s="682"/>
      <c r="G17" s="682"/>
      <c r="I17" s="682"/>
    </row>
    <row r="18" spans="1:16" ht="25.5" hidden="1" customHeight="1" x14ac:dyDescent="0.3">
      <c r="B18" s="683" t="s">
        <v>1141</v>
      </c>
      <c r="C18" s="681">
        <v>45282</v>
      </c>
      <c r="D18" s="682" t="s">
        <v>1143</v>
      </c>
      <c r="E18" s="682"/>
      <c r="F18" s="682"/>
      <c r="G18" s="682"/>
      <c r="H18" s="682"/>
      <c r="I18" s="682"/>
    </row>
    <row r="19" spans="1:16" ht="25.5" hidden="1" customHeight="1" x14ac:dyDescent="0.3">
      <c r="B19" s="683" t="s">
        <v>1145</v>
      </c>
      <c r="C19" s="684" t="s">
        <v>1142</v>
      </c>
      <c r="D19" s="682" t="s">
        <v>1152</v>
      </c>
      <c r="E19" s="682"/>
      <c r="F19" s="682"/>
      <c r="G19" s="682"/>
      <c r="H19" s="682"/>
      <c r="I19" s="682"/>
    </row>
    <row r="20" spans="1:16" ht="20.100000000000001" hidden="1" customHeight="1" x14ac:dyDescent="0.3">
      <c r="B20" s="682"/>
      <c r="C20" s="682" t="s">
        <v>1146</v>
      </c>
      <c r="D20" s="682"/>
      <c r="E20" s="682"/>
      <c r="F20" s="682"/>
      <c r="G20" s="682"/>
      <c r="H20" s="682"/>
      <c r="I20" s="682"/>
    </row>
    <row r="21" spans="1:16" ht="16.5" hidden="1" customHeight="1" x14ac:dyDescent="0.3"/>
    <row r="22" spans="1:16" ht="20.100000000000001" hidden="1" customHeight="1" x14ac:dyDescent="0.3">
      <c r="J22" s="682"/>
    </row>
    <row r="25" spans="1:16" ht="28.5" customHeight="1" x14ac:dyDescent="0.3">
      <c r="A25" s="840" t="s">
        <v>0</v>
      </c>
      <c r="B25" s="841" t="s">
        <v>1</v>
      </c>
      <c r="C25" s="842" t="s">
        <v>2</v>
      </c>
      <c r="D25" s="842" t="s">
        <v>3</v>
      </c>
      <c r="E25" s="842" t="s">
        <v>4</v>
      </c>
      <c r="F25" s="842" t="s">
        <v>5</v>
      </c>
      <c r="G25" s="842" t="s">
        <v>6</v>
      </c>
      <c r="H25" s="843" t="s">
        <v>7</v>
      </c>
      <c r="I25" s="842" t="s">
        <v>8</v>
      </c>
      <c r="J25" s="842" t="s">
        <v>9</v>
      </c>
      <c r="K25" s="844" t="s">
        <v>10</v>
      </c>
      <c r="L25" s="845" t="s">
        <v>12</v>
      </c>
      <c r="M25" s="1168" t="s">
        <v>63</v>
      </c>
    </row>
    <row r="26" spans="1:16" s="17" customFormat="1" ht="33" customHeight="1" x14ac:dyDescent="0.3">
      <c r="A26" s="846" t="s">
        <v>7270</v>
      </c>
      <c r="B26" s="399">
        <v>46293</v>
      </c>
      <c r="C26" s="4" t="s">
        <v>6707</v>
      </c>
      <c r="D26" s="4" t="s">
        <v>25</v>
      </c>
      <c r="E26" s="831" t="s">
        <v>6709</v>
      </c>
      <c r="F26" s="831">
        <v>7065</v>
      </c>
      <c r="G26" s="16" t="s">
        <v>145</v>
      </c>
      <c r="H26" s="836" t="s">
        <v>6706</v>
      </c>
      <c r="I26" s="831" t="s">
        <v>7209</v>
      </c>
      <c r="J26" s="836"/>
      <c r="K26" s="277" t="s">
        <v>7210</v>
      </c>
      <c r="L26" s="847" t="s">
        <v>7223</v>
      </c>
      <c r="M26" s="1169" t="s">
        <v>7223</v>
      </c>
      <c r="N26" s="831"/>
      <c r="O26" s="429" t="s">
        <v>7027</v>
      </c>
      <c r="P26" s="831"/>
    </row>
    <row r="27" spans="1:16" s="17" customFormat="1" ht="33" customHeight="1" x14ac:dyDescent="0.3">
      <c r="A27" s="848"/>
      <c r="B27" s="399">
        <v>46293</v>
      </c>
      <c r="C27" s="3" t="s">
        <v>21</v>
      </c>
      <c r="D27" s="3" t="s">
        <v>14</v>
      </c>
      <c r="E27" s="454" t="s">
        <v>211</v>
      </c>
      <c r="F27" s="454" t="s">
        <v>2916</v>
      </c>
      <c r="G27" s="459" t="s">
        <v>2917</v>
      </c>
      <c r="H27" s="836" t="s">
        <v>7271</v>
      </c>
      <c r="I27" s="831" t="s">
        <v>7034</v>
      </c>
      <c r="J27" s="831"/>
      <c r="K27" s="125" t="s">
        <v>411</v>
      </c>
      <c r="L27" s="849">
        <v>2</v>
      </c>
      <c r="M27" s="1170">
        <v>2</v>
      </c>
      <c r="N27" s="831"/>
      <c r="O27" s="430" t="s">
        <v>6766</v>
      </c>
      <c r="P27" s="831"/>
    </row>
    <row r="28" spans="1:16" s="17" customFormat="1" ht="33" customHeight="1" x14ac:dyDescent="0.3">
      <c r="A28" s="848"/>
      <c r="B28" s="399">
        <v>46294</v>
      </c>
      <c r="C28" s="4" t="s">
        <v>6707</v>
      </c>
      <c r="D28" s="4" t="s">
        <v>25</v>
      </c>
      <c r="E28" s="831" t="s">
        <v>6709</v>
      </c>
      <c r="F28" s="831">
        <v>7065</v>
      </c>
      <c r="G28" s="16" t="s">
        <v>145</v>
      </c>
      <c r="H28" s="836" t="s">
        <v>6706</v>
      </c>
      <c r="I28" s="831" t="s">
        <v>7209</v>
      </c>
      <c r="J28" s="836"/>
      <c r="K28" s="277" t="s">
        <v>7210</v>
      </c>
      <c r="L28" s="847" t="s">
        <v>7223</v>
      </c>
      <c r="M28" s="1169" t="s">
        <v>7223</v>
      </c>
      <c r="N28" s="831"/>
      <c r="O28" s="431"/>
      <c r="P28" s="831"/>
    </row>
    <row r="29" spans="1:16" s="17" customFormat="1" ht="33" customHeight="1" x14ac:dyDescent="0.3">
      <c r="A29" s="848"/>
      <c r="B29" s="399">
        <v>46294</v>
      </c>
      <c r="C29" s="3" t="s">
        <v>21</v>
      </c>
      <c r="D29" s="3" t="s">
        <v>14</v>
      </c>
      <c r="E29" s="454" t="s">
        <v>211</v>
      </c>
      <c r="F29" s="454" t="s">
        <v>2916</v>
      </c>
      <c r="G29" s="459" t="s">
        <v>2917</v>
      </c>
      <c r="H29" s="836" t="s">
        <v>7265</v>
      </c>
      <c r="I29" s="831" t="s">
        <v>7034</v>
      </c>
      <c r="J29" s="831"/>
      <c r="K29" s="125" t="s">
        <v>411</v>
      </c>
      <c r="L29" s="849">
        <v>2</v>
      </c>
      <c r="M29" s="1170">
        <v>2</v>
      </c>
      <c r="N29" s="831"/>
      <c r="O29" s="431"/>
      <c r="P29" s="831"/>
    </row>
    <row r="30" spans="1:16" s="17" customFormat="1" ht="33" customHeight="1" x14ac:dyDescent="0.3">
      <c r="A30" s="848"/>
      <c r="B30" s="399">
        <v>46295</v>
      </c>
      <c r="C30" s="3" t="s">
        <v>21</v>
      </c>
      <c r="D30" s="3" t="s">
        <v>14</v>
      </c>
      <c r="E30" s="454" t="s">
        <v>211</v>
      </c>
      <c r="F30" s="454" t="s">
        <v>2916</v>
      </c>
      <c r="G30" s="459" t="s">
        <v>2917</v>
      </c>
      <c r="H30" s="836" t="s">
        <v>7266</v>
      </c>
      <c r="I30" s="831" t="s">
        <v>7034</v>
      </c>
      <c r="J30" s="831" t="s">
        <v>7264</v>
      </c>
      <c r="K30" s="125" t="s">
        <v>411</v>
      </c>
      <c r="L30" s="849">
        <v>2</v>
      </c>
      <c r="M30" s="1170">
        <v>2</v>
      </c>
      <c r="N30" s="831"/>
      <c r="O30" s="431" t="s">
        <v>7267</v>
      </c>
      <c r="P30" s="831"/>
    </row>
    <row r="31" spans="1:16" s="17" customFormat="1" ht="33" customHeight="1" x14ac:dyDescent="0.3">
      <c r="A31" s="848"/>
      <c r="B31" s="399">
        <v>46295</v>
      </c>
      <c r="C31" s="4" t="s">
        <v>6707</v>
      </c>
      <c r="D31" s="4" t="s">
        <v>25</v>
      </c>
      <c r="E31" s="831" t="s">
        <v>6709</v>
      </c>
      <c r="F31" s="831">
        <v>7065</v>
      </c>
      <c r="G31" s="16" t="s">
        <v>145</v>
      </c>
      <c r="H31" s="836" t="s">
        <v>6706</v>
      </c>
      <c r="I31" s="831" t="s">
        <v>7209</v>
      </c>
      <c r="J31" s="836"/>
      <c r="K31" s="277" t="s">
        <v>7210</v>
      </c>
      <c r="L31" s="847" t="s">
        <v>7223</v>
      </c>
      <c r="M31" s="1169" t="s">
        <v>7223</v>
      </c>
      <c r="N31" s="835"/>
      <c r="O31" s="430"/>
      <c r="P31" s="831"/>
    </row>
    <row r="32" spans="1:16" s="17" customFormat="1" ht="33" customHeight="1" x14ac:dyDescent="0.3">
      <c r="A32" s="848"/>
      <c r="B32" s="399">
        <v>46296</v>
      </c>
      <c r="C32" s="3" t="s">
        <v>21</v>
      </c>
      <c r="D32" s="3" t="s">
        <v>14</v>
      </c>
      <c r="E32" s="454" t="s">
        <v>211</v>
      </c>
      <c r="F32" s="454" t="s">
        <v>2916</v>
      </c>
      <c r="G32" s="459" t="s">
        <v>2917</v>
      </c>
      <c r="H32" s="836" t="s">
        <v>6422</v>
      </c>
      <c r="I32" s="831" t="s">
        <v>7034</v>
      </c>
      <c r="J32" s="831"/>
      <c r="K32" s="125" t="s">
        <v>411</v>
      </c>
      <c r="L32" s="849">
        <v>2</v>
      </c>
      <c r="M32" s="1170">
        <v>2</v>
      </c>
      <c r="N32" s="835"/>
      <c r="O32" s="430"/>
      <c r="P32" s="831"/>
    </row>
    <row r="33" spans="1:16" s="17" customFormat="1" ht="33" customHeight="1" x14ac:dyDescent="0.3">
      <c r="A33" s="848"/>
      <c r="B33" s="399">
        <v>46296</v>
      </c>
      <c r="C33" s="4" t="s">
        <v>6707</v>
      </c>
      <c r="D33" s="4" t="s">
        <v>25</v>
      </c>
      <c r="E33" s="831" t="s">
        <v>6709</v>
      </c>
      <c r="F33" s="831">
        <v>7065</v>
      </c>
      <c r="G33" s="16" t="s">
        <v>145</v>
      </c>
      <c r="H33" s="836" t="s">
        <v>6706</v>
      </c>
      <c r="I33" s="831" t="s">
        <v>7209</v>
      </c>
      <c r="J33" s="836"/>
      <c r="K33" s="277" t="s">
        <v>7210</v>
      </c>
      <c r="L33" s="847" t="s">
        <v>7223</v>
      </c>
      <c r="M33" s="1169" t="s">
        <v>7223</v>
      </c>
      <c r="N33" s="835"/>
      <c r="O33" s="430"/>
      <c r="P33" s="831"/>
    </row>
    <row r="34" spans="1:16" s="17" customFormat="1" ht="33" customHeight="1" x14ac:dyDescent="0.3">
      <c r="A34" s="848"/>
      <c r="B34" s="399">
        <v>46297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36" t="s">
        <v>6422</v>
      </c>
      <c r="I34" s="831" t="s">
        <v>7034</v>
      </c>
      <c r="J34" s="831"/>
      <c r="K34" s="125" t="s">
        <v>411</v>
      </c>
      <c r="L34" s="849">
        <v>2</v>
      </c>
      <c r="M34" s="1170">
        <v>2</v>
      </c>
      <c r="N34" s="835"/>
      <c r="O34" s="430"/>
      <c r="P34" s="831"/>
    </row>
    <row r="35" spans="1:16" s="17" customFormat="1" ht="33" customHeight="1" x14ac:dyDescent="0.3">
      <c r="A35" s="850"/>
      <c r="B35" s="851">
        <v>46297</v>
      </c>
      <c r="C35" s="852" t="s">
        <v>6707</v>
      </c>
      <c r="D35" s="852" t="s">
        <v>25</v>
      </c>
      <c r="E35" s="853" t="s">
        <v>6709</v>
      </c>
      <c r="F35" s="853">
        <v>7065</v>
      </c>
      <c r="G35" s="854" t="s">
        <v>145</v>
      </c>
      <c r="H35" s="855" t="s">
        <v>6706</v>
      </c>
      <c r="I35" s="853" t="s">
        <v>7209</v>
      </c>
      <c r="J35" s="855"/>
      <c r="K35" s="1171" t="s">
        <v>7210</v>
      </c>
      <c r="L35" s="1172" t="s">
        <v>7223</v>
      </c>
      <c r="M35" s="1169" t="s">
        <v>7223</v>
      </c>
      <c r="N35" s="835"/>
      <c r="O35" s="430"/>
      <c r="P35" s="831"/>
    </row>
  </sheetData>
  <mergeCells count="17">
    <mergeCell ref="B9:K9"/>
    <mergeCell ref="A13:K13"/>
    <mergeCell ref="B12:K12"/>
    <mergeCell ref="A10:A12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07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1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1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1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1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1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1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1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1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1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1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1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1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1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1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0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7" t="s">
        <v>53</v>
      </c>
      <c r="B21" s="877"/>
      <c r="C21" s="877"/>
      <c r="D21" s="877"/>
      <c r="E21" s="877"/>
      <c r="F21" s="877"/>
      <c r="G21" s="877"/>
      <c r="H21" s="877"/>
      <c r="I21" s="87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02" t="s">
        <v>53</v>
      </c>
      <c r="B26" s="1103"/>
      <c r="C26" s="1103"/>
      <c r="D26" s="1103"/>
      <c r="E26" s="1103"/>
      <c r="F26" s="1103"/>
      <c r="G26" s="1103"/>
      <c r="H26" s="1103"/>
      <c r="I26" s="1104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1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1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1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1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1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02" t="s">
        <v>53</v>
      </c>
      <c r="B35" s="1103"/>
      <c r="C35" s="1103"/>
      <c r="D35" s="1103"/>
      <c r="E35" s="1103"/>
      <c r="F35" s="1103"/>
      <c r="G35" s="1103"/>
      <c r="H35" s="1103"/>
      <c r="I35" s="1104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07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1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0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02" t="s">
        <v>53</v>
      </c>
      <c r="B42" s="1103"/>
      <c r="C42" s="1103"/>
      <c r="D42" s="1103"/>
      <c r="E42" s="1103"/>
      <c r="F42" s="1103"/>
      <c r="G42" s="1103"/>
      <c r="H42" s="1103"/>
      <c r="I42" s="1104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02" t="s">
        <v>53</v>
      </c>
      <c r="B48" s="1103"/>
      <c r="C48" s="1103"/>
      <c r="D48" s="1103"/>
      <c r="E48" s="1103"/>
      <c r="F48" s="1103"/>
      <c r="G48" s="1103"/>
      <c r="H48" s="1103"/>
      <c r="I48" s="1104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1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0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02" t="s">
        <v>53</v>
      </c>
      <c r="B54" s="1103"/>
      <c r="C54" s="1103"/>
      <c r="D54" s="1103"/>
      <c r="E54" s="1103"/>
      <c r="F54" s="1103"/>
      <c r="G54" s="1103"/>
      <c r="H54" s="1103"/>
      <c r="I54" s="1104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07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1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1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17"/>
      <c r="B61" s="112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17"/>
      <c r="B62" s="112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17"/>
      <c r="B63" s="112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02" t="s">
        <v>53</v>
      </c>
      <c r="B64" s="1103"/>
      <c r="C64" s="1103"/>
      <c r="D64" s="1103"/>
      <c r="E64" s="1103"/>
      <c r="F64" s="1103"/>
      <c r="G64" s="1103"/>
      <c r="H64" s="1103"/>
      <c r="I64" s="1104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2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2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02" t="s">
        <v>53</v>
      </c>
      <c r="B70" s="1103"/>
      <c r="C70" s="1103"/>
      <c r="D70" s="1103"/>
      <c r="E70" s="1103"/>
      <c r="F70" s="1103"/>
      <c r="G70" s="1103"/>
      <c r="H70" s="1103"/>
      <c r="I70" s="1104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07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1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7" t="s">
        <v>53</v>
      </c>
      <c r="B78" s="877"/>
      <c r="C78" s="877"/>
      <c r="D78" s="877"/>
      <c r="E78" s="877"/>
      <c r="F78" s="877"/>
      <c r="G78" s="877"/>
      <c r="H78" s="877"/>
      <c r="I78" s="87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1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1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1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1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02" t="s">
        <v>53</v>
      </c>
      <c r="B86" s="1103"/>
      <c r="C86" s="1103"/>
      <c r="D86" s="1103"/>
      <c r="E86" s="1103"/>
      <c r="F86" s="1103"/>
      <c r="G86" s="1103"/>
      <c r="H86" s="1103"/>
      <c r="I86" s="1104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02" t="s">
        <v>53</v>
      </c>
      <c r="B92" s="1103"/>
      <c r="C92" s="1103"/>
      <c r="D92" s="1103"/>
      <c r="E92" s="1103"/>
      <c r="F92" s="1103"/>
      <c r="G92" s="1103"/>
      <c r="H92" s="1103"/>
      <c r="I92" s="1104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1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1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1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1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02" t="s">
        <v>53</v>
      </c>
      <c r="B101" s="1103"/>
      <c r="C101" s="1103"/>
      <c r="D101" s="1103"/>
      <c r="E101" s="1103"/>
      <c r="F101" s="1103"/>
      <c r="G101" s="1103"/>
      <c r="H101" s="1103"/>
      <c r="I101" s="1104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07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17"/>
      <c r="B107" s="112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17"/>
      <c r="B108" s="112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1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1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0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7" t="s">
        <v>53</v>
      </c>
      <c r="B112" s="877"/>
      <c r="C112" s="877"/>
      <c r="D112" s="877"/>
      <c r="E112" s="877"/>
      <c r="F112" s="877"/>
      <c r="G112" s="877"/>
      <c r="H112" s="877"/>
      <c r="I112" s="87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94" t="s">
        <v>954</v>
      </c>
      <c r="B119" s="89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5"/>
      <c r="B120" s="89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7" t="s">
        <v>53</v>
      </c>
      <c r="B121" s="877"/>
      <c r="C121" s="877"/>
      <c r="D121" s="877"/>
      <c r="E121" s="877"/>
      <c r="F121" s="877"/>
      <c r="G121" s="877"/>
      <c r="H121" s="877"/>
      <c r="I121" s="87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9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5"/>
      <c r="B129" s="112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6" t="s">
        <v>90</v>
      </c>
      <c r="J129" s="1119">
        <v>2</v>
      </c>
      <c r="K129" s="25" t="s">
        <v>52</v>
      </c>
      <c r="L129" s="25" t="s">
        <v>51</v>
      </c>
    </row>
    <row r="130" spans="1:12" x14ac:dyDescent="0.3">
      <c r="A130" s="895"/>
      <c r="B130" s="112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6"/>
      <c r="J130" s="1121"/>
      <c r="K130" s="25" t="s">
        <v>52</v>
      </c>
      <c r="L130" s="25" t="s">
        <v>51</v>
      </c>
    </row>
    <row r="131" spans="1:12" x14ac:dyDescent="0.3">
      <c r="A131" s="89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5"/>
      <c r="B133" s="93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00" t="s">
        <v>1277</v>
      </c>
      <c r="J133" s="1119">
        <v>1</v>
      </c>
      <c r="K133" s="25" t="s">
        <v>52</v>
      </c>
      <c r="L133" s="25" t="s">
        <v>51</v>
      </c>
    </row>
    <row r="134" spans="1:12" x14ac:dyDescent="0.3">
      <c r="A134" s="895"/>
      <c r="B134" s="93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20"/>
      <c r="J134" s="1121"/>
      <c r="K134" s="25" t="s">
        <v>52</v>
      </c>
      <c r="L134" s="25" t="s">
        <v>51</v>
      </c>
    </row>
    <row r="135" spans="1:12" x14ac:dyDescent="0.3">
      <c r="A135" s="89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7" t="s">
        <v>53</v>
      </c>
      <c r="B137" s="877"/>
      <c r="C137" s="877"/>
      <c r="D137" s="877"/>
      <c r="E137" s="877"/>
      <c r="F137" s="877"/>
      <c r="G137" s="877"/>
      <c r="H137" s="877"/>
      <c r="I137" s="87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5" t="s">
        <v>1007</v>
      </c>
      <c r="B142" s="93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5"/>
      <c r="B143" s="93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7" t="s">
        <v>53</v>
      </c>
      <c r="B145" s="877"/>
      <c r="C145" s="877"/>
      <c r="D145" s="877"/>
      <c r="E145" s="877"/>
      <c r="F145" s="877"/>
      <c r="G145" s="877"/>
      <c r="H145" s="877"/>
      <c r="I145" s="87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0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06"/>
      <c r="B150" s="89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06"/>
      <c r="B151" s="89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0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0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60" t="s">
        <v>53</v>
      </c>
      <c r="B154" s="1060"/>
      <c r="C154" s="1060"/>
      <c r="D154" s="1060"/>
      <c r="E154" s="1060"/>
      <c r="F154" s="1060"/>
      <c r="G154" s="1060"/>
      <c r="H154" s="1060"/>
      <c r="I154" s="106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9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7" t="s">
        <v>53</v>
      </c>
      <c r="B163" s="877"/>
      <c r="C163" s="877"/>
      <c r="D163" s="877"/>
      <c r="E163" s="877"/>
      <c r="F163" s="877"/>
      <c r="G163" s="877"/>
      <c r="H163" s="877"/>
      <c r="I163" s="87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60" t="s">
        <v>53</v>
      </c>
      <c r="B167" s="1060"/>
      <c r="C167" s="1060"/>
      <c r="D167" s="1060"/>
      <c r="E167" s="1060"/>
      <c r="F167" s="1060"/>
      <c r="G167" s="1060"/>
      <c r="H167" s="1060"/>
      <c r="I167" s="106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9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7" t="s">
        <v>53</v>
      </c>
      <c r="B183" s="877"/>
      <c r="C183" s="877"/>
      <c r="D183" s="877"/>
      <c r="E183" s="877"/>
      <c r="F183" s="877"/>
      <c r="G183" s="877"/>
      <c r="H183" s="877"/>
      <c r="I183" s="87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10" t="s">
        <v>1061</v>
      </c>
      <c r="B189" s="89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11"/>
      <c r="B190" s="89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11"/>
      <c r="B191" s="89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11"/>
      <c r="B192" s="89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7" t="s">
        <v>53</v>
      </c>
      <c r="B193" s="877"/>
      <c r="C193" s="877"/>
      <c r="D193" s="877"/>
      <c r="E193" s="877"/>
      <c r="F193" s="877"/>
      <c r="G193" s="877"/>
      <c r="H193" s="877"/>
      <c r="I193" s="87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1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1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1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1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60" t="s">
        <v>53</v>
      </c>
      <c r="B203" s="1060"/>
      <c r="C203" s="1060"/>
      <c r="D203" s="1060"/>
      <c r="E203" s="1060"/>
      <c r="F203" s="1060"/>
      <c r="G203" s="1060"/>
      <c r="H203" s="1060"/>
      <c r="I203" s="106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6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6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6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6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6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6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6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60" t="s">
        <v>53</v>
      </c>
      <c r="B214" s="1060"/>
      <c r="C214" s="1060"/>
      <c r="D214" s="1060"/>
      <c r="E214" s="1060"/>
      <c r="F214" s="1060"/>
      <c r="G214" s="1060"/>
      <c r="H214" s="1060"/>
      <c r="I214" s="106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6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6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6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6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6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6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60" t="s">
        <v>1458</v>
      </c>
      <c r="B226" s="1060"/>
      <c r="C226" s="1060"/>
      <c r="D226" s="1060"/>
      <c r="E226" s="1060"/>
      <c r="F226" s="1060"/>
      <c r="G226" s="1060"/>
      <c r="H226" s="1060"/>
      <c r="I226" s="106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6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6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6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6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6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6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6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60" t="s">
        <v>1499</v>
      </c>
      <c r="B236" s="1060"/>
      <c r="C236" s="1060"/>
      <c r="D236" s="1060"/>
      <c r="E236" s="1060"/>
      <c r="F236" s="1060"/>
      <c r="G236" s="1060"/>
      <c r="H236" s="1060"/>
      <c r="I236" s="106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1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1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1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1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02" t="s">
        <v>53</v>
      </c>
      <c r="B244" s="1103"/>
      <c r="C244" s="1103"/>
      <c r="D244" s="1103"/>
      <c r="E244" s="1103"/>
      <c r="F244" s="1103"/>
      <c r="G244" s="1103"/>
      <c r="H244" s="1103"/>
      <c r="I244" s="1104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1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1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1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02" t="s">
        <v>53</v>
      </c>
      <c r="B250" s="1103"/>
      <c r="C250" s="1103"/>
      <c r="D250" s="1103"/>
      <c r="E250" s="1103"/>
      <c r="F250" s="1103"/>
      <c r="G250" s="1103"/>
      <c r="H250" s="1103"/>
      <c r="I250" s="1104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1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1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1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1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02" t="s">
        <v>53</v>
      </c>
      <c r="B257" s="1103"/>
      <c r="C257" s="1103"/>
      <c r="D257" s="1103"/>
      <c r="E257" s="1103"/>
      <c r="F257" s="1103"/>
      <c r="G257" s="1103"/>
      <c r="H257" s="1103"/>
      <c r="I257" s="1104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1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1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02" t="s">
        <v>53</v>
      </c>
      <c r="B262" s="1103"/>
      <c r="C262" s="1103"/>
      <c r="D262" s="1103"/>
      <c r="E262" s="1103"/>
      <c r="F262" s="1103"/>
      <c r="G262" s="1103"/>
      <c r="H262" s="1103"/>
      <c r="I262" s="1104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07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1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1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1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0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1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1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1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0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02" t="s">
        <v>53</v>
      </c>
      <c r="B271" s="1103"/>
      <c r="C271" s="1103"/>
      <c r="D271" s="1103"/>
      <c r="E271" s="1103"/>
      <c r="F271" s="1103"/>
      <c r="G271" s="1103"/>
      <c r="H271" s="1103"/>
      <c r="I271" s="1104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02" t="s">
        <v>53</v>
      </c>
      <c r="B275" s="1103"/>
      <c r="C275" s="1103"/>
      <c r="D275" s="1103"/>
      <c r="E275" s="1103"/>
      <c r="F275" s="1103"/>
      <c r="G275" s="1103"/>
      <c r="H275" s="1103"/>
      <c r="I275" s="1104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1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1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1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1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1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9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9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9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9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9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9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9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9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02" t="s">
        <v>1646</v>
      </c>
      <c r="B296" s="1103"/>
      <c r="C296" s="1103"/>
      <c r="D296" s="1103"/>
      <c r="E296" s="1103"/>
      <c r="F296" s="1103"/>
      <c r="G296" s="1103"/>
      <c r="H296" s="1103"/>
      <c r="I296" s="1103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6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6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6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6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60" t="s">
        <v>1659</v>
      </c>
      <c r="B305" s="1060"/>
      <c r="C305" s="1060"/>
      <c r="D305" s="1060"/>
      <c r="E305" s="1060"/>
      <c r="F305" s="1060"/>
      <c r="G305" s="1060"/>
      <c r="H305" s="1060"/>
      <c r="I305" s="106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60" t="s">
        <v>53</v>
      </c>
      <c r="B309" s="1060"/>
      <c r="C309" s="1060"/>
      <c r="D309" s="1060"/>
      <c r="E309" s="1060"/>
      <c r="F309" s="1060"/>
      <c r="G309" s="1060"/>
      <c r="H309" s="1060"/>
      <c r="I309" s="106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6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6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60" t="s">
        <v>1659</v>
      </c>
      <c r="B314" s="1060"/>
      <c r="C314" s="1060"/>
      <c r="D314" s="1060"/>
      <c r="E314" s="1060"/>
      <c r="F314" s="1060"/>
      <c r="G314" s="1060"/>
      <c r="H314" s="1060"/>
      <c r="I314" s="106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6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6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6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60" t="s">
        <v>1659</v>
      </c>
      <c r="B321" s="1060"/>
      <c r="C321" s="1060"/>
      <c r="D321" s="1060"/>
      <c r="E321" s="1060"/>
      <c r="F321" s="1060"/>
      <c r="G321" s="1060"/>
      <c r="H321" s="1060"/>
      <c r="I321" s="106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6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6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6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6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6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60" t="s">
        <v>1659</v>
      </c>
      <c r="B330" s="1060"/>
      <c r="C330" s="1060"/>
      <c r="D330" s="1060"/>
      <c r="E330" s="1060"/>
      <c r="F330" s="1060"/>
      <c r="G330" s="1060"/>
      <c r="H330" s="1060"/>
      <c r="I330" s="106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1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1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1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1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1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60" t="s">
        <v>1659</v>
      </c>
      <c r="B338" s="1060"/>
      <c r="C338" s="1060"/>
      <c r="D338" s="1060"/>
      <c r="E338" s="1060"/>
      <c r="F338" s="1060"/>
      <c r="G338" s="1060"/>
      <c r="H338" s="1060"/>
      <c r="I338" s="106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10" t="s">
        <v>1521</v>
      </c>
      <c r="B343" s="128" t="s">
        <v>1531</v>
      </c>
      <c r="C343" s="937" t="s">
        <v>306</v>
      </c>
      <c r="D343" s="937" t="s">
        <v>322</v>
      </c>
      <c r="E343" s="919" t="s">
        <v>307</v>
      </c>
      <c r="F343" s="1109">
        <v>4266</v>
      </c>
      <c r="G343" s="937" t="s">
        <v>640</v>
      </c>
      <c r="H343" s="1109" t="s">
        <v>1533</v>
      </c>
      <c r="I343" s="937" t="s">
        <v>1534</v>
      </c>
      <c r="J343" s="919">
        <v>2</v>
      </c>
      <c r="K343" s="1107" t="s">
        <v>50</v>
      </c>
      <c r="L343" s="1107" t="s">
        <v>51</v>
      </c>
    </row>
    <row r="344" spans="1:13" x14ac:dyDescent="0.3">
      <c r="A344" s="1111"/>
      <c r="B344" s="129" t="s">
        <v>1532</v>
      </c>
      <c r="C344" s="920"/>
      <c r="D344" s="920"/>
      <c r="E344" s="920"/>
      <c r="F344" s="925"/>
      <c r="G344" s="920"/>
      <c r="H344" s="925"/>
      <c r="I344" s="920"/>
      <c r="J344" s="920"/>
      <c r="K344" s="1108"/>
      <c r="L344" s="1108"/>
    </row>
    <row r="345" spans="1:13" x14ac:dyDescent="0.3">
      <c r="A345" s="1111"/>
      <c r="B345" s="128" t="s">
        <v>1536</v>
      </c>
      <c r="C345" s="919" t="s">
        <v>306</v>
      </c>
      <c r="D345" s="919" t="s">
        <v>322</v>
      </c>
      <c r="E345" s="919" t="s">
        <v>307</v>
      </c>
      <c r="F345" s="924">
        <v>3306</v>
      </c>
      <c r="G345" s="919" t="s">
        <v>1153</v>
      </c>
      <c r="H345" s="924" t="s">
        <v>1538</v>
      </c>
      <c r="I345" s="919" t="s">
        <v>1534</v>
      </c>
      <c r="J345" s="919">
        <v>2</v>
      </c>
      <c r="K345" s="1107" t="s">
        <v>50</v>
      </c>
      <c r="L345" s="1107" t="s">
        <v>51</v>
      </c>
    </row>
    <row r="346" spans="1:13" x14ac:dyDescent="0.3">
      <c r="A346" s="1112"/>
      <c r="B346" s="129" t="s">
        <v>1537</v>
      </c>
      <c r="C346" s="920"/>
      <c r="D346" s="920"/>
      <c r="E346" s="920"/>
      <c r="F346" s="925"/>
      <c r="G346" s="920"/>
      <c r="H346" s="925"/>
      <c r="I346" s="920"/>
      <c r="J346" s="920"/>
      <c r="K346" s="1108"/>
      <c r="L346" s="1108"/>
    </row>
    <row r="347" spans="1:13" x14ac:dyDescent="0.3">
      <c r="A347" s="1102" t="s">
        <v>53</v>
      </c>
      <c r="B347" s="1103"/>
      <c r="C347" s="1103"/>
      <c r="D347" s="1103"/>
      <c r="E347" s="1103"/>
      <c r="F347" s="1103"/>
      <c r="G347" s="1103"/>
      <c r="H347" s="1103"/>
      <c r="I347" s="1104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9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7" t="s">
        <v>53</v>
      </c>
      <c r="B357" s="877"/>
      <c r="C357" s="877"/>
      <c r="D357" s="877"/>
      <c r="E357" s="877"/>
      <c r="F357" s="877"/>
      <c r="G357" s="877"/>
      <c r="H357" s="877"/>
      <c r="I357" s="87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60" t="s">
        <v>1458</v>
      </c>
      <c r="B361" s="1060"/>
      <c r="C361" s="1060"/>
      <c r="D361" s="1060"/>
      <c r="E361" s="1060"/>
      <c r="F361" s="1060"/>
      <c r="G361" s="1060"/>
      <c r="H361" s="1060"/>
      <c r="I361" s="106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0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6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6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6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6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6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60" t="s">
        <v>1659</v>
      </c>
      <c r="B370" s="1060"/>
      <c r="C370" s="1060"/>
      <c r="D370" s="1060"/>
      <c r="E370" s="1060"/>
      <c r="F370" s="1060"/>
      <c r="G370" s="1060"/>
      <c r="H370" s="1060"/>
      <c r="I370" s="106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1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1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1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1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1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7" t="s">
        <v>1646</v>
      </c>
      <c r="B378" s="877"/>
      <c r="C378" s="877"/>
      <c r="D378" s="877"/>
      <c r="E378" s="877"/>
      <c r="F378" s="877"/>
      <c r="G378" s="877"/>
      <c r="H378" s="877"/>
      <c r="I378" s="877"/>
      <c r="J378" s="877"/>
      <c r="K378" s="4">
        <v>25</v>
      </c>
      <c r="L378" s="55"/>
    </row>
    <row r="381" spans="1:12" x14ac:dyDescent="0.3">
      <c r="B381" s="1130" t="s">
        <v>1</v>
      </c>
      <c r="C381" s="1130" t="s">
        <v>2</v>
      </c>
      <c r="D381" s="1130" t="s">
        <v>3</v>
      </c>
      <c r="E381" s="36" t="s">
        <v>54</v>
      </c>
      <c r="F381" s="1130" t="s">
        <v>5</v>
      </c>
      <c r="G381" s="1130" t="s">
        <v>6</v>
      </c>
      <c r="H381" s="1130" t="s">
        <v>7</v>
      </c>
      <c r="I381" s="1130" t="s">
        <v>55</v>
      </c>
      <c r="J381" s="1130" t="s">
        <v>9</v>
      </c>
      <c r="K381" s="1132" t="s">
        <v>56</v>
      </c>
      <c r="L381" s="1130" t="s">
        <v>57</v>
      </c>
    </row>
    <row r="382" spans="1:12" x14ac:dyDescent="0.3">
      <c r="B382" s="1131"/>
      <c r="C382" s="1131"/>
      <c r="D382" s="1131"/>
      <c r="E382" s="37" t="s">
        <v>59</v>
      </c>
      <c r="F382" s="1131"/>
      <c r="G382" s="1131"/>
      <c r="H382" s="1131"/>
      <c r="I382" s="1131"/>
      <c r="J382" s="1131"/>
      <c r="K382" s="1133"/>
      <c r="L382" s="1131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60" t="s">
        <v>53</v>
      </c>
      <c r="B394" s="1060"/>
      <c r="C394" s="1060"/>
      <c r="D394" s="1060"/>
      <c r="E394" s="1060"/>
      <c r="F394" s="1060"/>
      <c r="G394" s="1060"/>
      <c r="H394" s="1060"/>
      <c r="I394" s="106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1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1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1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1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60" t="s">
        <v>53</v>
      </c>
      <c r="B401" s="1060"/>
      <c r="C401" s="1060"/>
      <c r="D401" s="1060"/>
      <c r="E401" s="1060"/>
      <c r="F401" s="1060"/>
      <c r="G401" s="1060"/>
      <c r="H401" s="1060"/>
      <c r="I401" s="106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01" t="s">
        <v>229</v>
      </c>
      <c r="B405" s="1105" t="s">
        <v>1805</v>
      </c>
      <c r="C405" s="1105" t="s">
        <v>700</v>
      </c>
      <c r="D405" s="1134" t="s">
        <v>675</v>
      </c>
      <c r="E405" s="1105" t="s">
        <v>1806</v>
      </c>
      <c r="F405" s="1105" t="s">
        <v>1807</v>
      </c>
      <c r="G405" s="1105" t="s">
        <v>662</v>
      </c>
      <c r="H405" s="1135" t="s">
        <v>1808</v>
      </c>
      <c r="I405" s="1134"/>
      <c r="J405" s="1135">
        <v>1</v>
      </c>
      <c r="K405" s="1107" t="s">
        <v>631</v>
      </c>
      <c r="L405" s="1034" t="s">
        <v>51</v>
      </c>
    </row>
    <row r="406" spans="1:12" ht="13.5" customHeight="1" x14ac:dyDescent="0.3">
      <c r="A406" s="1101"/>
      <c r="B406" s="1105"/>
      <c r="C406" s="1105"/>
      <c r="D406" s="1134"/>
      <c r="E406" s="1105"/>
      <c r="F406" s="1105"/>
      <c r="G406" s="1105"/>
      <c r="H406" s="1135"/>
      <c r="I406" s="1134"/>
      <c r="J406" s="1135"/>
      <c r="K406" s="1108"/>
      <c r="L406" s="1036"/>
    </row>
    <row r="407" spans="1:12" ht="27" customHeight="1" x14ac:dyDescent="0.3">
      <c r="A407" s="110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0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01" t="s">
        <v>1646</v>
      </c>
      <c r="B409" s="1101"/>
      <c r="C409" s="1101"/>
      <c r="D409" s="1101"/>
      <c r="E409" s="1101"/>
      <c r="F409" s="1101"/>
      <c r="G409" s="1101"/>
      <c r="H409" s="1101"/>
      <c r="I409" s="1101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01" t="s">
        <v>2008</v>
      </c>
      <c r="B412" s="1136" t="s">
        <v>2009</v>
      </c>
      <c r="C412" s="1107" t="s">
        <v>21</v>
      </c>
      <c r="D412" s="932" t="s">
        <v>14</v>
      </c>
      <c r="E412" s="1107" t="s">
        <v>78</v>
      </c>
      <c r="F412" s="1105" t="s">
        <v>2010</v>
      </c>
      <c r="G412" s="1105" t="s">
        <v>40</v>
      </c>
      <c r="H412" s="1135" t="s">
        <v>614</v>
      </c>
      <c r="I412" s="1134"/>
      <c r="J412" s="1135">
        <v>1</v>
      </c>
      <c r="K412" s="1107" t="s">
        <v>2011</v>
      </c>
      <c r="L412" s="1034" t="s">
        <v>1997</v>
      </c>
    </row>
    <row r="413" spans="1:12" ht="20.100000000000001" customHeight="1" x14ac:dyDescent="0.3">
      <c r="A413" s="1101"/>
      <c r="B413" s="1105"/>
      <c r="C413" s="1108"/>
      <c r="D413" s="933"/>
      <c r="E413" s="1108"/>
      <c r="F413" s="1105"/>
      <c r="G413" s="1105"/>
      <c r="H413" s="1135"/>
      <c r="I413" s="1134"/>
      <c r="J413" s="1135"/>
      <c r="K413" s="1108"/>
      <c r="L413" s="1036"/>
    </row>
    <row r="414" spans="1:12" ht="20.100000000000001" customHeight="1" x14ac:dyDescent="0.3">
      <c r="A414" s="1101" t="s">
        <v>1646</v>
      </c>
      <c r="B414" s="1101"/>
      <c r="C414" s="1101"/>
      <c r="D414" s="1101"/>
      <c r="E414" s="1101"/>
      <c r="F414" s="1101"/>
      <c r="G414" s="1101"/>
      <c r="H414" s="1101"/>
      <c r="I414" s="1101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3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35"/>
      <c r="B418" s="78" t="s">
        <v>1748</v>
      </c>
      <c r="C418" s="1134" t="s">
        <v>306</v>
      </c>
      <c r="D418" s="1134" t="s">
        <v>322</v>
      </c>
      <c r="E418" s="1134" t="s">
        <v>307</v>
      </c>
      <c r="F418" s="1135">
        <v>3306</v>
      </c>
      <c r="G418" s="1134" t="s">
        <v>1153</v>
      </c>
      <c r="H418" s="1135" t="s">
        <v>1749</v>
      </c>
      <c r="I418" s="1134" t="s">
        <v>664</v>
      </c>
      <c r="J418" s="1134">
        <v>4</v>
      </c>
      <c r="K418" s="1107" t="s">
        <v>631</v>
      </c>
      <c r="L418" s="1034" t="s">
        <v>51</v>
      </c>
    </row>
    <row r="419" spans="1:12" ht="13.5" customHeight="1" x14ac:dyDescent="0.3">
      <c r="A419" s="1035"/>
      <c r="B419" s="79" t="s">
        <v>1751</v>
      </c>
      <c r="C419" s="1134"/>
      <c r="D419" s="1134"/>
      <c r="E419" s="1134"/>
      <c r="F419" s="1135"/>
      <c r="G419" s="1134"/>
      <c r="H419" s="1135"/>
      <c r="I419" s="1134"/>
      <c r="J419" s="1134"/>
      <c r="K419" s="1108"/>
      <c r="L419" s="1036"/>
    </row>
    <row r="420" spans="1:12" ht="13.5" customHeight="1" x14ac:dyDescent="0.3">
      <c r="A420" s="1035"/>
      <c r="B420" s="78" t="s">
        <v>1800</v>
      </c>
      <c r="C420" s="1134" t="s">
        <v>306</v>
      </c>
      <c r="D420" s="1134" t="s">
        <v>322</v>
      </c>
      <c r="E420" s="1134" t="s">
        <v>307</v>
      </c>
      <c r="F420" s="1135" t="s">
        <v>1801</v>
      </c>
      <c r="G420" s="1134" t="s">
        <v>1802</v>
      </c>
      <c r="H420" s="1135" t="s">
        <v>1803</v>
      </c>
      <c r="I420" s="1134" t="s">
        <v>664</v>
      </c>
      <c r="J420" s="1134">
        <v>5</v>
      </c>
      <c r="K420" s="1107" t="s">
        <v>631</v>
      </c>
      <c r="L420" s="1034" t="s">
        <v>51</v>
      </c>
    </row>
    <row r="421" spans="1:12" ht="13.5" customHeight="1" x14ac:dyDescent="0.3">
      <c r="A421" s="1035"/>
      <c r="B421" s="79" t="s">
        <v>1795</v>
      </c>
      <c r="C421" s="1134"/>
      <c r="D421" s="1134"/>
      <c r="E421" s="1134"/>
      <c r="F421" s="1135"/>
      <c r="G421" s="1134"/>
      <c r="H421" s="1135"/>
      <c r="I421" s="1134"/>
      <c r="J421" s="1134"/>
      <c r="K421" s="1108"/>
      <c r="L421" s="1036"/>
    </row>
    <row r="422" spans="1:12" ht="27" customHeight="1" x14ac:dyDescent="0.3">
      <c r="A422" s="103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01" t="s">
        <v>1646</v>
      </c>
      <c r="B423" s="1101"/>
      <c r="C423" s="1101"/>
      <c r="D423" s="1101"/>
      <c r="E423" s="1101"/>
      <c r="F423" s="1101"/>
      <c r="G423" s="1101"/>
      <c r="H423" s="1101"/>
      <c r="I423" s="1101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60" t="s">
        <v>1646</v>
      </c>
      <c r="B431" s="1060"/>
      <c r="C431" s="1060"/>
      <c r="D431" s="1060"/>
      <c r="E431" s="1060"/>
      <c r="F431" s="1060"/>
      <c r="G431" s="1060"/>
      <c r="H431" s="1060"/>
      <c r="I431" s="106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60" t="s">
        <v>1646</v>
      </c>
      <c r="B435" s="1060"/>
      <c r="C435" s="1060"/>
      <c r="D435" s="1060"/>
      <c r="E435" s="1060"/>
      <c r="F435" s="1060"/>
      <c r="G435" s="1060"/>
      <c r="H435" s="1060"/>
      <c r="I435" s="106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97" t="s">
        <v>2027</v>
      </c>
      <c r="B438" s="252" t="s">
        <v>1760</v>
      </c>
      <c r="C438" s="990" t="s">
        <v>306</v>
      </c>
      <c r="D438" s="990" t="s">
        <v>322</v>
      </c>
      <c r="E438" s="990" t="s">
        <v>307</v>
      </c>
      <c r="F438" s="1137" t="s">
        <v>1761</v>
      </c>
      <c r="G438" s="990" t="s">
        <v>329</v>
      </c>
      <c r="H438" s="1119" t="s">
        <v>1762</v>
      </c>
      <c r="I438" s="938" t="s">
        <v>664</v>
      </c>
      <c r="J438" s="1139">
        <v>2</v>
      </c>
      <c r="K438" s="1107" t="s">
        <v>1996</v>
      </c>
      <c r="L438" s="1107" t="s">
        <v>51</v>
      </c>
    </row>
    <row r="439" spans="1:12" ht="13.5" customHeight="1" x14ac:dyDescent="0.3">
      <c r="A439" s="898"/>
      <c r="B439" s="253" t="s">
        <v>2028</v>
      </c>
      <c r="C439" s="991"/>
      <c r="D439" s="991"/>
      <c r="E439" s="991"/>
      <c r="F439" s="1138"/>
      <c r="G439" s="991"/>
      <c r="H439" s="1121"/>
      <c r="I439" s="939"/>
      <c r="J439" s="1140"/>
      <c r="K439" s="1108"/>
      <c r="L439" s="1108"/>
    </row>
    <row r="440" spans="1:12" ht="13.5" customHeight="1" x14ac:dyDescent="0.3">
      <c r="A440" s="898"/>
      <c r="B440" s="254" t="s">
        <v>1794</v>
      </c>
      <c r="C440" s="878" t="s">
        <v>306</v>
      </c>
      <c r="D440" s="878" t="s">
        <v>322</v>
      </c>
      <c r="E440" s="878" t="s">
        <v>307</v>
      </c>
      <c r="F440" s="885" t="s">
        <v>1796</v>
      </c>
      <c r="G440" s="878" t="s">
        <v>1797</v>
      </c>
      <c r="H440" s="885" t="s">
        <v>1792</v>
      </c>
      <c r="I440" s="878" t="s">
        <v>664</v>
      </c>
      <c r="J440" s="919">
        <v>4</v>
      </c>
      <c r="K440" s="1107" t="s">
        <v>631</v>
      </c>
      <c r="L440" s="1107" t="s">
        <v>1997</v>
      </c>
    </row>
    <row r="441" spans="1:12" ht="13.5" customHeight="1" x14ac:dyDescent="0.3">
      <c r="A441" s="898"/>
      <c r="B441" s="255" t="s">
        <v>1795</v>
      </c>
      <c r="C441" s="878"/>
      <c r="D441" s="878"/>
      <c r="E441" s="878"/>
      <c r="F441" s="885"/>
      <c r="G441" s="878"/>
      <c r="H441" s="885"/>
      <c r="I441" s="878"/>
      <c r="J441" s="920"/>
      <c r="K441" s="1108"/>
      <c r="L441" s="1108"/>
    </row>
    <row r="442" spans="1:12" ht="20.100000000000001" customHeight="1" x14ac:dyDescent="0.3">
      <c r="A442" s="89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9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9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9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9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9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9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9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02" t="s">
        <v>1646</v>
      </c>
      <c r="B450" s="1103"/>
      <c r="C450" s="1103"/>
      <c r="D450" s="1103"/>
      <c r="E450" s="1103"/>
      <c r="F450" s="1103"/>
      <c r="G450" s="1103"/>
      <c r="H450" s="1103"/>
      <c r="I450" s="1103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9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7" t="s">
        <v>2059</v>
      </c>
      <c r="B459" s="877"/>
      <c r="C459" s="877"/>
      <c r="D459" s="877"/>
      <c r="E459" s="877"/>
      <c r="F459" s="877"/>
      <c r="G459" s="877"/>
      <c r="H459" s="877"/>
      <c r="I459" s="87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3"/>
      <c r="B463" s="1141" t="s">
        <v>1767</v>
      </c>
      <c r="C463" s="1142" t="s">
        <v>311</v>
      </c>
      <c r="D463" s="1142" t="s">
        <v>320</v>
      </c>
      <c r="E463" s="1142" t="s">
        <v>709</v>
      </c>
      <c r="F463" s="1142" t="s">
        <v>1768</v>
      </c>
      <c r="G463" s="1141" t="s">
        <v>1769</v>
      </c>
      <c r="H463" s="258" t="s">
        <v>1770</v>
      </c>
      <c r="I463" s="1142"/>
      <c r="J463" s="1142">
        <v>1</v>
      </c>
      <c r="K463" s="932" t="s">
        <v>631</v>
      </c>
      <c r="L463" s="962" t="s">
        <v>51</v>
      </c>
    </row>
    <row r="464" spans="1:12" ht="13.5" customHeight="1" x14ac:dyDescent="0.3">
      <c r="A464" s="1063"/>
      <c r="B464" s="1141"/>
      <c r="C464" s="1142"/>
      <c r="D464" s="1142"/>
      <c r="E464" s="1142"/>
      <c r="F464" s="1142"/>
      <c r="G464" s="1141"/>
      <c r="H464" s="259" t="s">
        <v>1773</v>
      </c>
      <c r="I464" s="1142"/>
      <c r="J464" s="1142"/>
      <c r="K464" s="933"/>
      <c r="L464" s="963"/>
    </row>
    <row r="465" spans="1:12" ht="13.5" customHeight="1" x14ac:dyDescent="0.3">
      <c r="A465" s="1063"/>
      <c r="B465" s="1143" t="s">
        <v>1813</v>
      </c>
      <c r="C465" s="1105" t="s">
        <v>700</v>
      </c>
      <c r="D465" s="1134" t="s">
        <v>320</v>
      </c>
      <c r="E465" s="1134" t="s">
        <v>337</v>
      </c>
      <c r="F465" s="1105" t="s">
        <v>353</v>
      </c>
      <c r="G465" s="1105" t="s">
        <v>1814</v>
      </c>
      <c r="H465" s="1135" t="s">
        <v>1815</v>
      </c>
      <c r="I465" s="1134" t="s">
        <v>638</v>
      </c>
      <c r="J465" s="1135">
        <v>2</v>
      </c>
      <c r="K465" s="1107" t="s">
        <v>631</v>
      </c>
      <c r="L465" s="1107" t="s">
        <v>51</v>
      </c>
    </row>
    <row r="466" spans="1:12" ht="13.5" customHeight="1" x14ac:dyDescent="0.3">
      <c r="A466" s="1063"/>
      <c r="B466" s="1143"/>
      <c r="C466" s="1105"/>
      <c r="D466" s="1134"/>
      <c r="E466" s="1134"/>
      <c r="F466" s="1105"/>
      <c r="G466" s="1105"/>
      <c r="H466" s="1135"/>
      <c r="I466" s="1134"/>
      <c r="J466" s="1135"/>
      <c r="K466" s="1108"/>
      <c r="L466" s="1108"/>
    </row>
    <row r="467" spans="1:12" ht="27" customHeight="1" x14ac:dyDescent="0.3">
      <c r="A467" s="106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3"/>
      <c r="B468" s="1105" t="s">
        <v>1820</v>
      </c>
      <c r="C468" s="1105" t="s">
        <v>700</v>
      </c>
      <c r="D468" s="1134" t="s">
        <v>320</v>
      </c>
      <c r="E468" s="1134" t="s">
        <v>709</v>
      </c>
      <c r="F468" s="1134" t="s">
        <v>1768</v>
      </c>
      <c r="G468" s="1105" t="s">
        <v>1821</v>
      </c>
      <c r="H468" s="261" t="s">
        <v>1822</v>
      </c>
      <c r="I468" s="1134" t="s">
        <v>638</v>
      </c>
      <c r="J468" s="1134">
        <v>2</v>
      </c>
      <c r="K468" s="1107" t="s">
        <v>631</v>
      </c>
      <c r="L468" s="1107" t="s">
        <v>51</v>
      </c>
    </row>
    <row r="469" spans="1:12" ht="13.5" customHeight="1" x14ac:dyDescent="0.3">
      <c r="A469" s="1063"/>
      <c r="B469" s="1105"/>
      <c r="C469" s="1105"/>
      <c r="D469" s="1134"/>
      <c r="E469" s="1134"/>
      <c r="F469" s="1134"/>
      <c r="G469" s="1105"/>
      <c r="H469" s="262" t="s">
        <v>1823</v>
      </c>
      <c r="I469" s="1134"/>
      <c r="J469" s="1134"/>
      <c r="K469" s="1108"/>
      <c r="L469" s="1108"/>
    </row>
    <row r="470" spans="1:12" ht="27" customHeight="1" x14ac:dyDescent="0.3">
      <c r="A470" s="106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60" t="s">
        <v>53</v>
      </c>
      <c r="B472" s="1060"/>
      <c r="C472" s="1060"/>
      <c r="D472" s="1060"/>
      <c r="E472" s="1060"/>
      <c r="F472" s="1060"/>
      <c r="G472" s="1060"/>
      <c r="H472" s="1060"/>
      <c r="I472" s="106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60" t="s">
        <v>228</v>
      </c>
      <c r="B476" s="1141" t="s">
        <v>1767</v>
      </c>
      <c r="C476" s="1142" t="s">
        <v>311</v>
      </c>
      <c r="D476" s="1142" t="s">
        <v>320</v>
      </c>
      <c r="E476" s="1142" t="s">
        <v>709</v>
      </c>
      <c r="F476" s="1142" t="s">
        <v>1768</v>
      </c>
      <c r="G476" s="1141" t="s">
        <v>1769</v>
      </c>
      <c r="H476" s="258" t="s">
        <v>1770</v>
      </c>
      <c r="I476" s="1142"/>
      <c r="J476" s="1142">
        <v>1</v>
      </c>
      <c r="K476" s="932" t="s">
        <v>631</v>
      </c>
      <c r="L476" s="962" t="s">
        <v>51</v>
      </c>
    </row>
    <row r="477" spans="1:12" ht="13.5" customHeight="1" x14ac:dyDescent="0.3">
      <c r="A477" s="1060"/>
      <c r="B477" s="1141"/>
      <c r="C477" s="1142"/>
      <c r="D477" s="1142"/>
      <c r="E477" s="1142"/>
      <c r="F477" s="1142"/>
      <c r="G477" s="1141"/>
      <c r="H477" s="259" t="s">
        <v>1773</v>
      </c>
      <c r="I477" s="1142"/>
      <c r="J477" s="1142"/>
      <c r="K477" s="933"/>
      <c r="L477" s="963"/>
    </row>
    <row r="478" spans="1:12" ht="27" customHeight="1" x14ac:dyDescent="0.3">
      <c r="A478" s="106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60" t="s">
        <v>1646</v>
      </c>
      <c r="B479" s="1060"/>
      <c r="C479" s="1060"/>
      <c r="D479" s="1060"/>
      <c r="E479" s="1060"/>
      <c r="F479" s="1060"/>
      <c r="G479" s="1060"/>
      <c r="H479" s="1060"/>
      <c r="I479" s="106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07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1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1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1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0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02" t="s">
        <v>53</v>
      </c>
      <c r="B487" s="1103"/>
      <c r="C487" s="1103"/>
      <c r="D487" s="1103"/>
      <c r="E487" s="1103"/>
      <c r="F487" s="1103"/>
      <c r="G487" s="1103"/>
      <c r="H487" s="1103"/>
      <c r="I487" s="1104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9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97"/>
      <c r="B494" s="1144" t="s">
        <v>2182</v>
      </c>
      <c r="C494" s="1144" t="s">
        <v>306</v>
      </c>
      <c r="D494" s="1144" t="s">
        <v>322</v>
      </c>
      <c r="E494" s="1144" t="s">
        <v>307</v>
      </c>
      <c r="F494" s="1145" t="s">
        <v>1919</v>
      </c>
      <c r="G494" s="1144" t="s">
        <v>662</v>
      </c>
      <c r="H494" s="1145" t="s">
        <v>1920</v>
      </c>
      <c r="I494" s="1144" t="s">
        <v>349</v>
      </c>
      <c r="J494" s="1144">
        <v>2</v>
      </c>
      <c r="K494" s="1105" t="s">
        <v>50</v>
      </c>
      <c r="L494" s="222">
        <v>23</v>
      </c>
    </row>
    <row r="495" spans="1:12" ht="12.6" customHeight="1" x14ac:dyDescent="0.3">
      <c r="A495" s="1097"/>
      <c r="B495" s="1144"/>
      <c r="C495" s="1144"/>
      <c r="D495" s="1144"/>
      <c r="E495" s="1144"/>
      <c r="F495" s="1145"/>
      <c r="G495" s="1144"/>
      <c r="H495" s="1145"/>
      <c r="I495" s="1144"/>
      <c r="J495" s="1144"/>
      <c r="K495" s="1105"/>
    </row>
    <row r="496" spans="1:12" ht="24.95" customHeight="1" x14ac:dyDescent="0.3">
      <c r="A496" s="109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9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9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9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60" t="s">
        <v>53</v>
      </c>
      <c r="B500" s="1060"/>
      <c r="C500" s="1060"/>
      <c r="D500" s="1060"/>
      <c r="E500" s="1060"/>
      <c r="F500" s="1060"/>
      <c r="G500" s="1060"/>
      <c r="H500" s="1060"/>
      <c r="I500" s="106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60" t="s">
        <v>2217</v>
      </c>
      <c r="B511" s="1060"/>
      <c r="C511" s="1060"/>
      <c r="D511" s="1060"/>
      <c r="E511" s="1060"/>
      <c r="F511" s="1060"/>
      <c r="G511" s="1060"/>
      <c r="H511" s="1060"/>
      <c r="I511" s="106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7" t="s">
        <v>2233</v>
      </c>
      <c r="B522" s="877"/>
      <c r="C522" s="877"/>
      <c r="D522" s="877"/>
      <c r="E522" s="877"/>
      <c r="F522" s="877"/>
      <c r="G522" s="877"/>
      <c r="H522" s="877"/>
      <c r="I522" s="87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60" t="s">
        <v>2238</v>
      </c>
      <c r="B528" s="1060"/>
      <c r="C528" s="1060"/>
      <c r="D528" s="1060"/>
      <c r="E528" s="1060"/>
      <c r="F528" s="1060"/>
      <c r="G528" s="1060"/>
      <c r="H528" s="1060"/>
      <c r="I528" s="106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60" t="s">
        <v>2233</v>
      </c>
      <c r="B535" s="1060"/>
      <c r="C535" s="1060"/>
      <c r="D535" s="1060"/>
      <c r="E535" s="1060"/>
      <c r="F535" s="1060"/>
      <c r="G535" s="1060"/>
      <c r="H535" s="1060"/>
      <c r="I535" s="106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02" t="s">
        <v>2238</v>
      </c>
      <c r="B540" s="1103"/>
      <c r="C540" s="1103"/>
      <c r="D540" s="1103"/>
      <c r="E540" s="1103"/>
      <c r="F540" s="1103"/>
      <c r="G540" s="1103"/>
      <c r="H540" s="1103"/>
      <c r="I540" s="1104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6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6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01" t="s">
        <v>2233</v>
      </c>
      <c r="B546" s="1101"/>
      <c r="C546" s="1101"/>
      <c r="D546" s="1101"/>
      <c r="E546" s="1101"/>
      <c r="F546" s="1101"/>
      <c r="G546" s="1101"/>
      <c r="H546" s="1101"/>
      <c r="I546" s="1101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60" t="s">
        <v>2233</v>
      </c>
      <c r="B550" s="1060"/>
      <c r="C550" s="1060"/>
      <c r="D550" s="1060"/>
      <c r="E550" s="1060"/>
      <c r="F550" s="1060"/>
      <c r="G550" s="1060"/>
      <c r="H550" s="1060"/>
      <c r="I550" s="106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09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09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09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09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09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09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09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09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09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09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09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60" t="s">
        <v>2233</v>
      </c>
      <c r="B565" s="1060"/>
      <c r="C565" s="1060"/>
      <c r="D565" s="1060"/>
      <c r="E565" s="1060"/>
      <c r="F565" s="1060"/>
      <c r="G565" s="1060"/>
      <c r="H565" s="1060"/>
      <c r="I565" s="106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00" t="s">
        <v>306</v>
      </c>
      <c r="D569" s="900" t="s">
        <v>322</v>
      </c>
      <c r="E569" s="900" t="s">
        <v>307</v>
      </c>
      <c r="F569" s="900">
        <v>3306</v>
      </c>
      <c r="G569" s="900" t="s">
        <v>1153</v>
      </c>
      <c r="H569" s="900" t="s">
        <v>1907</v>
      </c>
      <c r="I569" s="900" t="s">
        <v>1111</v>
      </c>
      <c r="J569" s="900" t="s">
        <v>692</v>
      </c>
      <c r="K569" s="1099" t="s">
        <v>2291</v>
      </c>
    </row>
    <row r="570" spans="1:12" x14ac:dyDescent="0.3">
      <c r="B570" s="243" t="s">
        <v>1909</v>
      </c>
      <c r="C570" s="901"/>
      <c r="D570" s="901"/>
      <c r="E570" s="901"/>
      <c r="F570" s="901"/>
      <c r="G570" s="901"/>
      <c r="H570" s="901"/>
      <c r="I570" s="901"/>
      <c r="J570" s="901"/>
      <c r="K570" s="110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9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9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9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9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9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9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9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60" t="s">
        <v>1458</v>
      </c>
      <c r="B582" s="1060"/>
      <c r="C582" s="1060"/>
      <c r="D582" s="1060"/>
      <c r="E582" s="1060"/>
      <c r="F582" s="1060"/>
      <c r="G582" s="1060"/>
      <c r="H582" s="1060"/>
      <c r="I582" s="106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60" t="s">
        <v>2393</v>
      </c>
      <c r="B588" s="1060"/>
      <c r="C588" s="1060"/>
      <c r="D588" s="1060"/>
      <c r="E588" s="1060"/>
      <c r="F588" s="1060"/>
      <c r="G588" s="1060"/>
      <c r="H588" s="1060"/>
      <c r="I588" s="106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7" t="s">
        <v>2406</v>
      </c>
      <c r="B592" s="877"/>
      <c r="C592" s="877"/>
      <c r="D592" s="877"/>
      <c r="E592" s="877"/>
      <c r="F592" s="877"/>
      <c r="G592" s="877"/>
      <c r="H592" s="877"/>
      <c r="I592" s="87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7" t="s">
        <v>2406</v>
      </c>
      <c r="B601" s="877"/>
      <c r="C601" s="877"/>
      <c r="D601" s="877"/>
      <c r="E601" s="877"/>
      <c r="F601" s="877"/>
      <c r="G601" s="877"/>
      <c r="H601" s="877"/>
      <c r="I601" s="87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60" t="s">
        <v>2437</v>
      </c>
      <c r="B606" s="1060"/>
      <c r="C606" s="1060"/>
      <c r="D606" s="1060"/>
      <c r="E606" s="1060"/>
      <c r="F606" s="1060"/>
      <c r="G606" s="1060"/>
      <c r="H606" s="1060"/>
      <c r="I606" s="106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60" t="s">
        <v>2406</v>
      </c>
      <c r="B613" s="1060"/>
      <c r="C613" s="1060"/>
      <c r="D613" s="1060"/>
      <c r="E613" s="1060"/>
      <c r="F613" s="1060"/>
      <c r="G613" s="1060"/>
      <c r="H613" s="1060"/>
      <c r="I613" s="106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09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09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09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09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09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09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09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09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09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09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60" t="s">
        <v>2406</v>
      </c>
      <c r="B627" s="1060"/>
      <c r="C627" s="1060"/>
      <c r="D627" s="1060"/>
      <c r="E627" s="1060"/>
      <c r="F627" s="1060"/>
      <c r="G627" s="1060"/>
      <c r="H627" s="1060"/>
      <c r="I627" s="106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4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4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4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4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4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4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4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4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4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4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4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4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4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4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4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4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4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4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4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4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50" t="s">
        <v>1646</v>
      </c>
      <c r="B655" s="1150"/>
      <c r="C655" s="1150"/>
      <c r="D655" s="1150"/>
      <c r="E655" s="1150"/>
      <c r="F655" s="1150"/>
      <c r="G655" s="1150"/>
      <c r="H655" s="1150"/>
      <c r="I655" s="1150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5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5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5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5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5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5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5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5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5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5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5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5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5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5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50" t="s">
        <v>1646</v>
      </c>
      <c r="B674" s="1150"/>
      <c r="C674" s="1150"/>
      <c r="D674" s="1150"/>
      <c r="E674" s="1150"/>
      <c r="F674" s="1150"/>
      <c r="G674" s="1150"/>
      <c r="H674" s="1150"/>
      <c r="I674" s="1150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5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5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5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5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50" t="s">
        <v>1646</v>
      </c>
      <c r="B681" s="1150"/>
      <c r="C681" s="1150"/>
      <c r="D681" s="1150"/>
      <c r="E681" s="1150"/>
      <c r="F681" s="1150"/>
      <c r="G681" s="1150"/>
      <c r="H681" s="1150"/>
      <c r="I681" s="1150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8" t="s">
        <v>1646</v>
      </c>
      <c r="B688" s="1098"/>
      <c r="C688" s="1098"/>
      <c r="D688" s="1098"/>
      <c r="E688" s="1098"/>
      <c r="F688" s="1098"/>
      <c r="G688" s="1098"/>
      <c r="H688" s="1098"/>
      <c r="I688" s="1098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4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4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4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4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4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4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4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8" t="s">
        <v>1646</v>
      </c>
      <c r="B699" s="1098"/>
      <c r="C699" s="1098"/>
      <c r="D699" s="1098"/>
      <c r="E699" s="1098"/>
      <c r="F699" s="1098"/>
      <c r="G699" s="1098"/>
      <c r="H699" s="1098"/>
      <c r="I699" s="1098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092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092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092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092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092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092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092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092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092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092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092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092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092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093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94" t="s">
        <v>1646</v>
      </c>
      <c r="B717" s="1094"/>
      <c r="C717" s="1094"/>
      <c r="D717" s="1094"/>
      <c r="E717" s="1094"/>
      <c r="F717" s="1094"/>
      <c r="G717" s="1094"/>
      <c r="H717" s="1094"/>
      <c r="I717" s="1094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89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90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90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90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90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90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90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91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94" t="s">
        <v>1646</v>
      </c>
      <c r="B731" s="1094"/>
      <c r="C731" s="1094"/>
      <c r="D731" s="1094"/>
      <c r="E731" s="1094"/>
      <c r="F731" s="1094"/>
      <c r="G731" s="1094"/>
      <c r="H731" s="1094"/>
      <c r="I731" s="1094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52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52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52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52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52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52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52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52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52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52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52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52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52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94" t="s">
        <v>1646</v>
      </c>
      <c r="B749" s="1094"/>
      <c r="C749" s="1094"/>
      <c r="D749" s="1094"/>
      <c r="E749" s="1094"/>
      <c r="F749" s="1094"/>
      <c r="G749" s="1094"/>
      <c r="H749" s="1094"/>
      <c r="I749" s="1094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53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54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54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54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54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54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54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54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55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82" t="s">
        <v>1646</v>
      </c>
      <c r="B762" s="1082"/>
      <c r="C762" s="1082"/>
      <c r="D762" s="1082"/>
      <c r="E762" s="1082"/>
      <c r="F762" s="1082"/>
      <c r="G762" s="1082"/>
      <c r="H762" s="1082"/>
      <c r="I762" s="1082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56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57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57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57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58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82" t="s">
        <v>1646</v>
      </c>
      <c r="B770" s="1082"/>
      <c r="C770" s="1082"/>
      <c r="D770" s="1082"/>
      <c r="E770" s="1082"/>
      <c r="F770" s="1082"/>
      <c r="G770" s="1082"/>
      <c r="H770" s="1082"/>
      <c r="I770" s="1082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5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5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5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5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5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82" t="s">
        <v>1646</v>
      </c>
      <c r="B778" s="1082"/>
      <c r="C778" s="1082"/>
      <c r="D778" s="1082"/>
      <c r="E778" s="1082"/>
      <c r="F778" s="1082"/>
      <c r="G778" s="1082"/>
      <c r="H778" s="1082"/>
      <c r="I778" s="1082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5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5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5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5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5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5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5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5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82" t="s">
        <v>1646</v>
      </c>
      <c r="B790" s="1082"/>
      <c r="C790" s="1082"/>
      <c r="D790" s="1082"/>
      <c r="E790" s="1082"/>
      <c r="F790" s="1082"/>
      <c r="G790" s="1082"/>
      <c r="H790" s="1082"/>
      <c r="I790" s="1082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53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54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54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54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54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54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54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54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82" t="s">
        <v>1646</v>
      </c>
      <c r="B802" s="1082"/>
      <c r="C802" s="1082"/>
      <c r="D802" s="1082"/>
      <c r="E802" s="1082"/>
      <c r="F802" s="1082"/>
      <c r="G802" s="1082"/>
      <c r="H802" s="1082"/>
      <c r="I802" s="1082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59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60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60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60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60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60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82" t="s">
        <v>1646</v>
      </c>
      <c r="B812" s="1082"/>
      <c r="C812" s="1082"/>
      <c r="D812" s="1082"/>
      <c r="E812" s="1082"/>
      <c r="F812" s="1082"/>
      <c r="G812" s="1082"/>
      <c r="H812" s="1082"/>
      <c r="I812" s="1082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77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77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82" t="s">
        <v>1646</v>
      </c>
      <c r="B819" s="1082"/>
      <c r="C819" s="1082"/>
      <c r="D819" s="1082"/>
      <c r="E819" s="1082"/>
      <c r="F819" s="1082"/>
      <c r="G819" s="1082"/>
      <c r="H819" s="1082"/>
      <c r="I819" s="1082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56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57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57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57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57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57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57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57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57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58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082" t="s">
        <v>1646</v>
      </c>
      <c r="B834" s="1082"/>
      <c r="C834" s="1082"/>
      <c r="D834" s="1082"/>
      <c r="E834" s="1082"/>
      <c r="F834" s="1082"/>
      <c r="G834" s="1082"/>
      <c r="H834" s="1082"/>
      <c r="I834" s="1082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56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57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58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082" t="s">
        <v>1646</v>
      </c>
      <c r="B841" s="1082"/>
      <c r="C841" s="1082"/>
      <c r="D841" s="1082"/>
      <c r="E841" s="1082"/>
      <c r="F841" s="1082"/>
      <c r="G841" s="1082"/>
      <c r="H841" s="1082"/>
      <c r="I841" s="1082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53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54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54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54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54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54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54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54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82" t="s">
        <v>1646</v>
      </c>
      <c r="B853" s="1082"/>
      <c r="C853" s="1082"/>
      <c r="D853" s="1082"/>
      <c r="E853" s="1082"/>
      <c r="F853" s="1082"/>
      <c r="G853" s="1082"/>
      <c r="H853" s="1082"/>
      <c r="I853" s="1082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56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57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57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57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57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57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57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57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57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57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57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57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57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57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57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57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57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57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57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58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082" t="s">
        <v>1646</v>
      </c>
      <c r="B876" s="1082"/>
      <c r="C876" s="1082"/>
      <c r="D876" s="1082"/>
      <c r="E876" s="1082"/>
      <c r="F876" s="1082"/>
      <c r="G876" s="1082"/>
      <c r="H876" s="1082"/>
      <c r="I876" s="1082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57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57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57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57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57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57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57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82" t="s">
        <v>1646</v>
      </c>
      <c r="B887" s="1082"/>
      <c r="C887" s="1082"/>
      <c r="D887" s="1082"/>
      <c r="E887" s="1082"/>
      <c r="F887" s="1082"/>
      <c r="G887" s="1082"/>
      <c r="H887" s="1082"/>
      <c r="I887" s="1082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61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62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62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62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62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62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62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62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62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62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62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082" t="s">
        <v>1646</v>
      </c>
      <c r="B904" s="1082"/>
      <c r="C904" s="1082"/>
      <c r="D904" s="1082"/>
      <c r="E904" s="1082"/>
      <c r="F904" s="1082"/>
      <c r="G904" s="1082"/>
      <c r="H904" s="1082"/>
      <c r="I904" s="1082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61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62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62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62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62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62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62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62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62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62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62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82" t="s">
        <v>1646</v>
      </c>
      <c r="B919" s="1082"/>
      <c r="C919" s="1082"/>
      <c r="D919" s="1082"/>
      <c r="E919" s="1082"/>
      <c r="F919" s="1082"/>
      <c r="G919" s="1082"/>
      <c r="H919" s="1082"/>
      <c r="I919" s="1082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56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57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57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57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58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82" t="s">
        <v>1646</v>
      </c>
      <c r="B930" s="1082"/>
      <c r="C930" s="1082"/>
      <c r="D930" s="1082"/>
      <c r="E930" s="1082"/>
      <c r="F930" s="1082"/>
      <c r="G930" s="1082"/>
      <c r="H930" s="1082"/>
      <c r="I930" s="1082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63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63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63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63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63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63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63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63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63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63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63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82" t="s">
        <v>1646</v>
      </c>
      <c r="B944" s="1082"/>
      <c r="C944" s="1082"/>
      <c r="D944" s="1082"/>
      <c r="E944" s="1082"/>
      <c r="F944" s="1082"/>
      <c r="G944" s="1082"/>
      <c r="H944" s="1082"/>
      <c r="I944" s="1082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08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08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08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08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82" t="s">
        <v>1646</v>
      </c>
      <c r="B952" s="1082"/>
      <c r="C952" s="1082"/>
      <c r="D952" s="1082"/>
      <c r="E952" s="1082"/>
      <c r="F952" s="1082"/>
      <c r="G952" s="1082"/>
      <c r="H952" s="1082"/>
      <c r="I952" s="1082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82" t="s">
        <v>1646</v>
      </c>
      <c r="B956" s="1082"/>
      <c r="C956" s="1082"/>
      <c r="D956" s="1082"/>
      <c r="E956" s="1082"/>
      <c r="F956" s="1082"/>
      <c r="G956" s="1082"/>
      <c r="H956" s="1082"/>
      <c r="I956" s="1082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77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77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77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77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82" t="s">
        <v>1646</v>
      </c>
      <c r="B964" s="1082"/>
      <c r="C964" s="1082"/>
      <c r="D964" s="1082"/>
      <c r="E964" s="1082"/>
      <c r="F964" s="1082"/>
      <c r="G964" s="1082"/>
      <c r="H964" s="1082"/>
      <c r="I964" s="1082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89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090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090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090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090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090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90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90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91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82" t="s">
        <v>1646</v>
      </c>
      <c r="B976" s="1082"/>
      <c r="C976" s="1082"/>
      <c r="D976" s="1082"/>
      <c r="E976" s="1082"/>
      <c r="F976" s="1082"/>
      <c r="G976" s="1082"/>
      <c r="H976" s="1082"/>
      <c r="I976" s="1082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9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9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9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82" t="s">
        <v>1646</v>
      </c>
      <c r="B982" s="1082"/>
      <c r="C982" s="1082"/>
      <c r="D982" s="1082"/>
      <c r="E982" s="1082"/>
      <c r="F982" s="1082"/>
      <c r="G982" s="1082"/>
      <c r="H982" s="1082"/>
      <c r="I982" s="1082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77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77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82" t="s">
        <v>1646</v>
      </c>
      <c r="B989" s="1082"/>
      <c r="C989" s="1082"/>
      <c r="D989" s="1082"/>
      <c r="E989" s="1082"/>
      <c r="F989" s="1082"/>
      <c r="G989" s="1082"/>
      <c r="H989" s="1082"/>
      <c r="I989" s="1082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1010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1011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101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101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101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101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101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101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101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82" t="s">
        <v>1646</v>
      </c>
      <c r="B1003" s="1082"/>
      <c r="C1003" s="1082"/>
      <c r="D1003" s="1082"/>
      <c r="E1003" s="1082"/>
      <c r="F1003" s="1082"/>
      <c r="G1003" s="1082"/>
      <c r="H1003" s="1082"/>
      <c r="I1003" s="1082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083" t="s">
        <v>7094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084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084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084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084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084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084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084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084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084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085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082" t="s">
        <v>1646</v>
      </c>
      <c r="B1018" s="1082"/>
      <c r="C1018" s="1082"/>
      <c r="D1018" s="1082"/>
      <c r="E1018" s="1082"/>
      <c r="F1018" s="1082"/>
      <c r="G1018" s="1082"/>
      <c r="H1018" s="1082"/>
      <c r="I1018" s="1082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94" t="s">
        <v>7095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895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895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895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895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895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895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895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896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082" t="s">
        <v>1646</v>
      </c>
      <c r="B1032" s="1082"/>
      <c r="C1032" s="1082"/>
      <c r="D1032" s="1082"/>
      <c r="E1032" s="1082"/>
      <c r="F1032" s="1082"/>
      <c r="G1032" s="1082"/>
      <c r="H1032" s="1082"/>
      <c r="I1032" s="1082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165" t="s">
        <v>7095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 x14ac:dyDescent="0.3">
      <c r="A1040" s="1166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 x14ac:dyDescent="0.3">
      <c r="A1041" s="1166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166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166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 x14ac:dyDescent="0.3">
      <c r="A1044" s="1166"/>
      <c r="B1044" s="808" t="s">
        <v>7096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7097</v>
      </c>
    </row>
    <row r="1045" spans="1:11" ht="24" x14ac:dyDescent="0.3">
      <c r="A1045" s="1166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 x14ac:dyDescent="0.3">
      <c r="A1046" s="1166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 x14ac:dyDescent="0.3">
      <c r="A1047" s="1166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 x14ac:dyDescent="0.3">
      <c r="A1048" s="1166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167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82" t="s">
        <v>1646</v>
      </c>
      <c r="B1050" s="1082"/>
      <c r="C1050" s="1082"/>
      <c r="D1050" s="1082"/>
      <c r="E1050" s="1082"/>
      <c r="F1050" s="1082"/>
      <c r="G1050" s="1082"/>
      <c r="H1050" s="1082"/>
      <c r="I1050" s="1082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163" t="s">
        <v>7098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 x14ac:dyDescent="0.3">
      <c r="A1056" s="1163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163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163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 x14ac:dyDescent="0.3">
      <c r="A1059" s="1163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 x14ac:dyDescent="0.3">
      <c r="A1060" s="1163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 x14ac:dyDescent="0.3">
      <c r="A1061" s="1082" t="s">
        <v>1646</v>
      </c>
      <c r="B1061" s="1082"/>
      <c r="C1061" s="1082"/>
      <c r="D1061" s="1082"/>
      <c r="E1061" s="1082"/>
      <c r="F1061" s="1082"/>
      <c r="G1061" s="1082"/>
      <c r="H1061" s="1082"/>
      <c r="I1061" s="1082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159" t="s">
        <v>7098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 x14ac:dyDescent="0.3">
      <c r="A1066" s="1160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160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 x14ac:dyDescent="0.3">
      <c r="A1068" s="1164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 x14ac:dyDescent="0.3">
      <c r="A1069" s="1082" t="s">
        <v>1646</v>
      </c>
      <c r="B1069" s="1082"/>
      <c r="C1069" s="1082"/>
      <c r="D1069" s="1082"/>
      <c r="E1069" s="1082"/>
      <c r="F1069" s="1082"/>
      <c r="G1069" s="1082"/>
      <c r="H1069" s="1082"/>
      <c r="I1069" s="1082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159" t="s">
        <v>7099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 x14ac:dyDescent="0.3">
      <c r="A1074" s="1160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 x14ac:dyDescent="0.3">
      <c r="A1075" s="1160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 x14ac:dyDescent="0.3">
      <c r="A1076" s="1160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 x14ac:dyDescent="0.3">
      <c r="A1077" s="1160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 x14ac:dyDescent="0.3">
      <c r="A1078" s="1160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 x14ac:dyDescent="0.3">
      <c r="A1079" s="1160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 x14ac:dyDescent="0.3">
      <c r="A1080" s="1160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160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160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160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160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160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 x14ac:dyDescent="0.3">
      <c r="A1086" s="1164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 x14ac:dyDescent="0.3">
      <c r="A1087" s="1082" t="s">
        <v>1646</v>
      </c>
      <c r="B1087" s="1082"/>
      <c r="C1087" s="1082"/>
      <c r="D1087" s="1082"/>
      <c r="E1087" s="1082"/>
      <c r="F1087" s="1082"/>
      <c r="G1087" s="1082"/>
      <c r="H1087" s="1082"/>
      <c r="I1087" s="1082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159" t="s">
        <v>7100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160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7103</v>
      </c>
    </row>
    <row r="1093" spans="1:11" x14ac:dyDescent="0.3">
      <c r="A1093" s="1160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 x14ac:dyDescent="0.3">
      <c r="A1094" s="1160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 x14ac:dyDescent="0.3">
      <c r="A1095" s="1160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7101</v>
      </c>
      <c r="I1095" s="815"/>
      <c r="J1095" s="814">
        <v>1</v>
      </c>
      <c r="K1095" s="618" t="s">
        <v>50</v>
      </c>
    </row>
    <row r="1096" spans="1:11" x14ac:dyDescent="0.3">
      <c r="A1096" s="1160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7102</v>
      </c>
      <c r="I1096" s="815"/>
      <c r="J1096" s="814">
        <v>1</v>
      </c>
      <c r="K1096" s="618" t="s">
        <v>50</v>
      </c>
    </row>
    <row r="1097" spans="1:11" x14ac:dyDescent="0.3">
      <c r="A1097" s="1160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 x14ac:dyDescent="0.3">
      <c r="A1098" s="1164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 x14ac:dyDescent="0.3">
      <c r="A1099" s="1082" t="s">
        <v>1646</v>
      </c>
      <c r="B1099" s="1082"/>
      <c r="C1099" s="1082"/>
      <c r="D1099" s="1082"/>
      <c r="E1099" s="1082"/>
      <c r="F1099" s="1082"/>
      <c r="G1099" s="1082"/>
      <c r="H1099" s="1082"/>
      <c r="I1099" s="1082"/>
      <c r="J1099" s="618">
        <f>SUM(J1091:J1098)</f>
        <v>8</v>
      </c>
      <c r="K1099" s="654"/>
    </row>
  </sheetData>
  <autoFilter ref="A349:L357"/>
  <mergeCells count="372"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7" t="s">
        <v>5385</v>
      </c>
      <c r="I12" s="877"/>
      <c r="J12" s="877"/>
      <c r="K12" s="87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7" t="s">
        <v>5386</v>
      </c>
      <c r="I20" s="877"/>
      <c r="J20" s="877"/>
      <c r="K20" s="87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2026-09-28T00:01:41Z</dcterms:modified>
</cp:coreProperties>
</file>