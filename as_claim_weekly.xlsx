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0F551791-B47D-435A-9454-058743C50D21}" xr6:coauthVersionLast="47" xr6:coauthVersionMax="47" xr10:uidLastSave="{00000000-0000-0000-0000-000000000000}"/>
  <bookViews>
    <workbookView xWindow="-120" yWindow="-120" windowWidth="29040" windowHeight="15840" tabRatio="924" xr2:uid="{00000000-000D-0000-FFFF-FFFF00000000}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93" i="2" l="1"/>
  <c r="L4" i="129" l="1"/>
  <c r="M1570" i="2" l="1"/>
  <c r="L12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l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00000000-0006-0000-0000-000061000000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 xr:uid="{00000000-0006-0000-0000-00006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 xr:uid="{00000000-0006-0000-0000-000065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 xr:uid="{00000000-0006-0000-0000-000066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<sst xmlns="http://schemas.openxmlformats.org/spreadsheetml/2006/main" count="26608" uniqueCount="6791">
  <si>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</si>
  <si>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</si>
  <si>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</si>
  <si>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</si>
  <si>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</si>
  <si>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</si>
  <si>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</si>
  <si>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</si>
  <si>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</si>
  <si>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</si>
  <si>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</si>
  <si>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</si>
  <si>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</si>
  <si>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</si>
  <si>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</si>
  <si>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</si>
  <si>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</si>
  <si>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</si>
  <si>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</si>
  <si>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</si>
  <si>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</si>
  <si>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</si>
  <si>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</si>
  <si>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</si>
  <si>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</si>
  <si>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</si>
  <si>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</si>
  <si>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</si>
  <si>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</si>
  <si>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</si>
  <si>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</si>
  <si>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</si>
  <si>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</si>
  <si>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</si>
  <si>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</si>
  <si>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</si>
  <si>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</si>
  <si>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</si>
  <si>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</si>
  <si>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</si>
  <si>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</si>
  <si>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</si>
  <si>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</si>
  <si>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</si>
  <si>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</si>
  <si>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</si>
  <si>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</si>
  <si>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</si>
  <si>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</si>
  <si>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</si>
  <si>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</si>
  <si>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</si>
  <si>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</si>
  <si>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</si>
  <si>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</si>
  <si>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</si>
  <si>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</si>
  <si>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</si>
  <si>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</si>
  <si>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</si>
  <si>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</si>
  <si>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</si>
  <si>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</si>
  <si>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</si>
  <si>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</si>
  <si>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</si>
  <si>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</si>
  <si>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</si>
  <si>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</si>
  <si>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</si>
  <si>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</si>
  <si>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</si>
  <si>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</si>
  <si>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</si>
  <si>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</si>
  <si>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</si>
  <si>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</si>
  <si>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</si>
  <si>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</si>
  <si>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</si>
  <si>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</si>
  <si>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</si>
  <si>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</si>
  <si>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</si>
  <si>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</si>
  <si>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</si>
  <si>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</si>
  <si>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</si>
  <si>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</si>
  <si>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</si>
  <si>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</si>
  <si>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</si>
  <si>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</si>
  <si>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</si>
  <si>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</si>
  <si>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</si>
  <si>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</si>
  <si>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</si>
  <si>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</si>
  <si>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</si>
  <si>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</si>
  <si>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</si>
  <si>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</si>
  <si>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</si>
  <si>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</si>
  <si>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</si>
  <si>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</si>
  <si>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</si>
  <si>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</si>
  <si>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</si>
  <si>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</si>
  <si>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</si>
  <si>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</si>
  <si>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</si>
  <si>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</si>
  <si>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</si>
  <si>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</si>
  <si>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</si>
  <si>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</si>
  <si>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</si>
  <si>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</si>
  <si>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</si>
  <si>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</si>
  <si>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</si>
  <si>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</si>
  <si>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</si>
  <si>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</si>
  <si>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</si>
  <si>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</si>
  <si>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</si>
  <si>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</si>
  <si>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</si>
  <si>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</si>
  <si>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</si>
  <si>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</si>
  <si>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</si>
  <si>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</si>
  <si>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</si>
  <si>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</si>
  <si>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</si>
  <si>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</si>
  <si>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</si>
  <si>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</si>
  <si>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</si>
  <si>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</si>
  <si>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</si>
  <si>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</si>
  <si>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</si>
  <si>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</si>
  <si>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</si>
  <si>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</si>
  <si>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</si>
  <si>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</si>
  <si>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</si>
  <si>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</si>
  <si>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</si>
  <si>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</si>
  <si>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</si>
  <si>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</si>
  <si>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</si>
  <si>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</si>
  <si>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</si>
  <si>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</si>
  <si>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</si>
  <si>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</si>
  <si>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</si>
  <si>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</si>
  <si>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</si>
  <si>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</si>
  <si>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</si>
  <si>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</si>
  <si>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</si>
  <si>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</si>
  <si>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</si>
  <si>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</si>
  <si>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</si>
  <si>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</si>
  <si>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</si>
  <si>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</si>
  <si>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</si>
  <si>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</si>
  <si>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</si>
  <si>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</si>
  <si>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</si>
  <si>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</si>
  <si>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</si>
  <si>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</si>
  <si>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</si>
  <si>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</si>
  <si>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</si>
  <si>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</si>
  <si>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</si>
  <si>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</si>
  <si>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</si>
  <si>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</si>
  <si>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</si>
  <si>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</si>
  <si>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</si>
  <si>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</si>
  <si>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</si>
  <si>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</si>
  <si>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</si>
  <si>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</si>
  <si>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</si>
  <si>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</si>
  <si>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</si>
  <si>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</si>
  <si>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</si>
  <si>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</si>
  <si>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</si>
  <si>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</si>
  <si>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</si>
  <si>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</si>
  <si>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</si>
  <si>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</si>
  <si>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</si>
  <si>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</si>
  <si>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</si>
  <si>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</si>
  <si>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</si>
  <si>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</si>
  <si>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</si>
  <si>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</si>
  <si>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</si>
  <si>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</si>
  <si>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</si>
  <si>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</si>
  <si>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</si>
  <si>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</si>
  <si>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</si>
  <si>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</si>
  <si>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</si>
  <si>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</si>
  <si>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</si>
  <si>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</si>
  <si>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</si>
  <si>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</si>
  <si>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</si>
  <si>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</si>
  <si>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</si>
  <si>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</si>
  <si>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</si>
  <si>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</si>
  <si>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</si>
  <si>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</si>
  <si>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</si>
  <si>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</si>
  <si>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</si>
  <si>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</si>
  <si>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</si>
  <si>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</si>
  <si>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</si>
  <si>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</si>
  <si>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</si>
  <si>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</si>
  <si>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</si>
  <si>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</si>
  <si>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</si>
  <si>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</si>
  <si>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</si>
  <si>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</si>
  <si>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</si>
  <si>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</si>
  <si>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</si>
  <si>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</si>
  <si>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</si>
  <si>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</si>
  <si>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</si>
  <si>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</si>
  <si>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</si>
  <si>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</si>
  <si>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</si>
  <si>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</si>
  <si>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</si>
  <si>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</si>
  <si>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</si>
  <si>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</si>
  <si>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</si>
  <si>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</si>
  <si>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</si>
  <si>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</si>
  <si>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</si>
  <si>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</si>
  <si>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</si>
  <si>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</si>
  <si>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</si>
  <si>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</si>
  <si>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</si>
  <si>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</si>
  <si>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</si>
  <si>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</si>
  <si>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</si>
  <si>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</si>
  <si>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</si>
  <si>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</si>
  <si>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</si>
  <si>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</si>
  <si>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</si>
  <si>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</si>
  <si>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</si>
  <si>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</si>
  <si>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</si>
  <si>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</si>
  <si>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</si>
  <si>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</si>
  <si>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</si>
  <si>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</si>
  <si>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</si>
  <si>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</si>
  <si>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</si>
  <si>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</si>
  <si>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</si>
  <si>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</si>
  <si>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</si>
  <si>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</si>
  <si>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</si>
  <si>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</si>
  <si>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</si>
  <si>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</si>
  <si>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</si>
  <si>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</si>
  <si>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</si>
  <si>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</si>
  <si>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</si>
  <si>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</si>
  <si>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</si>
  <si>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</si>
  <si>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</si>
  <si>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</si>
  <si>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</si>
  <si>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</si>
  <si>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</si>
  <si>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</si>
  <si>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</si>
  <si>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</si>
  <si>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</si>
  <si>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</si>
  <si>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</si>
  <si>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</si>
  <si>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</si>
  <si>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</si>
  <si>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</si>
  <si>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</si>
  <si>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</si>
  <si>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</si>
  <si>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</si>
  <si>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</si>
  <si>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</si>
  <si>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</si>
  <si>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</si>
  <si>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</si>
  <si>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</si>
  <si>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</si>
  <si>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</si>
  <si>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</si>
  <si>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</si>
  <si>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</si>
  <si>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</si>
  <si>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</si>
  <si>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</si>
  <si>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</si>
  <si>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</si>
  <si>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</si>
  <si>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</si>
  <si>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</si>
  <si>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</si>
  <si>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</si>
  <si>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</si>
  <si>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</si>
  <si>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</si>
  <si>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</si>
  <si>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</si>
  <si>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</si>
  <si>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</si>
  <si>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</si>
  <si>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</si>
  <si>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</si>
  <si>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</si>
  <si>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</si>
  <si>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</si>
  <si>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</si>
  <si>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</si>
  <si>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</si>
  <si>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</si>
  <si>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</si>
  <si>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</si>
  <si>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</si>
  <si>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</si>
  <si>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</si>
  <si>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</si>
  <si>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</si>
  <si>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</si>
  <si>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</si>
  <si>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</si>
  <si>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</si>
  <si>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</si>
  <si>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</si>
  <si>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</si>
  <si>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</si>
  <si>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</si>
  <si>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</si>
  <si>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</si>
  <si>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</si>
  <si>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</si>
  <si>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</si>
  <si>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</si>
  <si>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</si>
  <si>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</si>
  <si>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</si>
  <si>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</si>
  <si>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</si>
  <si>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</si>
  <si>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</si>
  <si>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</si>
  <si>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</si>
  <si>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</si>
  <si>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</si>
  <si>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</si>
  <si>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</si>
  <si>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</si>
  <si>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</si>
  <si>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</si>
  <si>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</si>
  <si>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</si>
  <si>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</si>
  <si>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</si>
  <si>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</si>
  <si>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</si>
  <si>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</si>
  <si>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</si>
  <si>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</si>
  <si>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</si>
  <si>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</si>
  <si>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</si>
  <si>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</si>
  <si>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</si>
  <si>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</si>
  <si>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</si>
  <si>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</si>
  <si>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</si>
  <si>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</si>
  <si>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</si>
  <si>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</si>
  <si>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</si>
  <si>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</si>
  <si>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</si>
  <si>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</si>
  <si>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</si>
  <si>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</si>
  <si>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</si>
  <si>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</si>
  <si>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</si>
  <si>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</si>
  <si>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</si>
  <si>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</si>
  <si>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</si>
  <si>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</si>
  <si>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</si>
  <si>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</si>
  <si>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</si>
  <si>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</si>
  <si>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</si>
  <si>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</si>
  <si>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</si>
  <si>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</si>
  <si>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</si>
  <si>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</si>
  <si>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</si>
  <si>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</si>
  <si>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</si>
  <si>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</si>
  <si>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</si>
  <si>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</si>
  <si>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</si>
  <si>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</si>
  <si>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</si>
  <si>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</si>
  <si>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</si>
  <si>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</si>
  <si>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</si>
  <si>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</si>
  <si>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</si>
  <si>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</si>
  <si>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</si>
  <si>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</si>
  <si>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</si>
  <si>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</si>
  <si>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</si>
  <si>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</si>
  <si>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</si>
  <si>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</si>
  <si>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</si>
  <si>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</si>
  <si>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</si>
  <si>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</si>
  <si>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</si>
  <si>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</si>
  <si>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</si>
  <si>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</si>
  <si>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</si>
  <si>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</si>
  <si>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</si>
  <si>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</si>
  <si>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</si>
  <si>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</si>
  <si>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</si>
  <si>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</si>
  <si>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</si>
  <si>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</si>
  <si>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</si>
  <si>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</si>
  <si>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</si>
  <si>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</si>
  <si>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</si>
  <si>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</si>
  <si>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</si>
  <si>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</si>
  <si>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</si>
  <si>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</si>
  <si>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</si>
  <si>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</si>
  <si>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</si>
  <si>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</si>
  <si>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</si>
  <si>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</si>
  <si>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</si>
  <si>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</si>
  <si>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</si>
  <si>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</si>
  <si>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</si>
  <si>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</si>
  <si>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</si>
  <si>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</si>
  <si>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</si>
  <si>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</si>
  <si>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</si>
  <si>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</si>
  <si>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</si>
  <si>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</si>
  <si>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</si>
  <si>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</si>
  <si>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</si>
  <si>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</si>
  <si>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</si>
  <si>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</si>
  <si>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</si>
  <si>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</si>
  <si>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</si>
  <si>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</si>
  <si>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</si>
  <si>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</si>
  <si>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</si>
  <si>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</si>
  <si>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</si>
  <si>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</si>
  <si>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</si>
  <si>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</si>
  <si>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</si>
  <si>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</si>
  <si>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</si>
  <si>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</si>
  <si>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</si>
  <si>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</si>
  <si>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</si>
  <si>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</si>
  <si>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</si>
  <si>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</si>
  <si>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</si>
  <si>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</si>
  <si>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</si>
  <si>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</si>
  <si>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</si>
  <si>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</si>
  <si>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</si>
  <si>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</si>
  <si>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</si>
  <si>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</si>
  <si>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</si>
  <si>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</si>
  <si>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</si>
  <si>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</si>
  <si>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</si>
  <si>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</si>
  <si>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</si>
  <si>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</si>
  <si>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</si>
  <si>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</si>
  <si>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</si>
  <si>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</si>
  <si>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</si>
  <si>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</si>
  <si>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</si>
  <si>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</si>
  <si>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</si>
  <si>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</si>
  <si>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</si>
  <si>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</si>
  <si>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</si>
  <si>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</si>
  <si>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</si>
  <si>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</si>
  <si>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</si>
  <si>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</si>
  <si>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</si>
  <si>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</si>
  <si>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</si>
  <si>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</si>
  <si>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</si>
  <si>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</si>
  <si>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</si>
  <si>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</si>
  <si>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</si>
  <si>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</si>
  <si>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</si>
  <si>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</si>
  <si>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</si>
  <si>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</si>
  <si>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</si>
  <si>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</si>
  <si>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</si>
  <si>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</si>
  <si>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</si>
  <si>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</si>
  <si>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</si>
  <si>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</si>
  <si>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</si>
  <si>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</si>
  <si>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</si>
  <si>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</si>
  <si>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</si>
  <si>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</si>
  <si>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</si>
  <si>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</si>
  <si>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</si>
  <si>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</si>
  <si>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</si>
  <si>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</si>
  <si>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</si>
  <si>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</si>
  <si>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</si>
  <si>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</si>
  <si>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</si>
  <si>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</si>
  <si>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</si>
  <si>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</si>
  <si>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</si>
  <si>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</si>
  <si>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</si>
  <si>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</si>
  <si>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</si>
  <si>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</si>
  <si>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</si>
  <si>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</si>
  <si>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</si>
  <si>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</si>
  <si>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</si>
  <si>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</si>
  <si>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</si>
  <si>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</si>
  <si>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</si>
  <si>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</si>
  <si>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</si>
  <si>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</si>
  <si>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</si>
  <si>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</si>
  <si>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</si>
  <si>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</si>
  <si>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</si>
  <si>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</si>
  <si>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</si>
  <si>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</si>
  <si>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</si>
  <si>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</si>
  <si>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</si>
  <si>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</si>
  <si>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</si>
  <si>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</si>
  <si>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</si>
  <si>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</si>
  <si>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</si>
  <si>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</si>
  <si>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</si>
  <si>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</si>
  <si>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</si>
  <si>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</si>
  <si>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</si>
  <si>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</si>
  <si>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</si>
  <si>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</si>
  <si>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</si>
  <si>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</si>
  <si>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</si>
  <si>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</si>
  <si>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</si>
  <si>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</si>
  <si>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</si>
  <si>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</si>
  <si>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</si>
  <si>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</si>
  <si>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</si>
  <si>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</si>
  <si>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</si>
  <si>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</si>
  <si>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</si>
  <si>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</si>
  <si>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</si>
  <si>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</si>
  <si>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</si>
  <si>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</si>
  <si>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</si>
  <si>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</si>
  <si>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</si>
  <si>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</si>
  <si>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</si>
  <si>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</si>
  <si>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</si>
  <si>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</si>
  <si>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</si>
  <si>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</si>
  <si>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</si>
  <si>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</si>
  <si>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</si>
  <si>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</si>
  <si>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</si>
  <si>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</si>
  <si>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</si>
  <si>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</si>
  <si>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</si>
  <si>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</si>
  <si>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</si>
  <si>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</si>
  <si>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</si>
  <si>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</si>
  <si>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</si>
  <si>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</si>
  <si>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</si>
  <si>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</si>
  <si>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</si>
  <si>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</si>
  <si>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</si>
  <si>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</si>
  <si>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</si>
  <si>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</si>
  <si>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</si>
  <si>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</si>
  <si>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</si>
  <si>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</si>
  <si>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</si>
  <si>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</si>
  <si>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</si>
  <si>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</si>
  <si>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</si>
  <si>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</si>
  <si>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</si>
  <si>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</si>
  <si>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</si>
  <si>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</si>
  <si>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</si>
  <si>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</si>
  <si>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</si>
  <si>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</si>
  <si>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</si>
  <si>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</si>
  <si>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</si>
  <si>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</si>
  <si>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</si>
  <si>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</si>
  <si>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</si>
  <si>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</si>
  <si>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</si>
  <si>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</si>
  <si>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</si>
  <si>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</si>
  <si>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</si>
  <si>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</si>
  <si>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</si>
  <si>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</si>
  <si>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</si>
  <si>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</si>
  <si>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</si>
  <si>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</si>
  <si>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</si>
  <si>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</si>
  <si>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</si>
  <si>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</si>
  <si>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</si>
  <si>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</si>
  <si>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</si>
  <si>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</si>
  <si>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</si>
  <si>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</si>
  <si>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</si>
  <si>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</si>
  <si>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</si>
  <si>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</si>
  <si>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</si>
  <si>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</si>
  <si>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</si>
  <si>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</si>
  <si>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</si>
  <si>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</si>
  <si>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</si>
  <si>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</si>
  <si>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</si>
  <si>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</si>
  <si>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</si>
  <si>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</si>
  <si>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</si>
  <si>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</si>
  <si>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</si>
  <si>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</si>
  <si>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</si>
  <si>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</si>
  <si>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</si>
  <si>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</si>
  <si>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</si>
  <si>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</si>
  <si>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</si>
  <si>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</si>
  <si>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</si>
  <si>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</si>
  <si>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</si>
  <si>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</si>
  <si>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</si>
  <si>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</si>
  <si>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</si>
  <si>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</si>
  <si>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</si>
  <si>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</si>
  <si>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</si>
  <si>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</si>
  <si>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</si>
  <si>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</si>
  <si>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</si>
  <si>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</si>
  <si>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</si>
  <si>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</si>
  <si>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</si>
  <si>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</si>
  <si>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</si>
  <si>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</si>
  <si>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</si>
  <si>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</si>
  <si>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</si>
  <si>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</si>
  <si>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</si>
  <si>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</si>
  <si>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</si>
  <si>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</si>
  <si>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</si>
  <si>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</si>
  <si>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</si>
  <si>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</si>
  <si>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</si>
  <si>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</si>
  <si>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</si>
  <si>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</si>
  <si>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</si>
  <si>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</si>
  <si>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</si>
  <si>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</si>
  <si>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</si>
  <si>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</si>
  <si>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</si>
  <si>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</si>
  <si>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</si>
  <si>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</si>
  <si>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</si>
  <si>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</si>
  <si>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</si>
  <si>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</si>
  <si>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</si>
  <si>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</si>
  <si>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</si>
  <si>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</si>
  <si>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</si>
  <si>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</si>
  <si>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</si>
  <si>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</si>
  <si>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</si>
  <si>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</si>
  <si>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</si>
  <si>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</si>
  <si>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</si>
  <si>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</si>
  <si>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</si>
  <si>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</si>
  <si>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</si>
  <si>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</si>
  <si>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</si>
  <si>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</si>
  <si>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</si>
  <si>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</si>
  <si>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</si>
  <si>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</si>
  <si>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</si>
  <si>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</si>
  <si>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</si>
  <si>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</si>
  <si>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</si>
  <si>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</si>
  <si>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</si>
  <si>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</si>
  <si>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</si>
  <si>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</si>
  <si>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</si>
  <si>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</si>
  <si>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</si>
  <si>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</si>
  <si>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</si>
  <si>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</si>
  <si>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</si>
  <si>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</si>
  <si>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</si>
  <si>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</si>
  <si>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</si>
  <si>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</si>
  <si>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</si>
  <si>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</si>
  <si>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</si>
  <si>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</si>
  <si>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</si>
  <si>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</si>
  <si>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</si>
  <si>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</si>
  <si>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</si>
  <si>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</si>
  <si>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</si>
  <si>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</si>
  <si>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</si>
  <si>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</si>
  <si>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</si>
  <si>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</si>
  <si>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</si>
  <si>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</si>
  <si>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</si>
  <si>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</si>
  <si>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</si>
  <si>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</si>
  <si>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</si>
  <si>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</si>
  <si>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</si>
  <si>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</si>
  <si>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</si>
  <si>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</si>
  <si>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</si>
  <si>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</si>
  <si>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</si>
  <si>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</si>
  <si>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</si>
  <si>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</si>
  <si>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</si>
  <si>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</si>
  <si>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</si>
  <si>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</si>
  <si>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</si>
  <si>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</si>
  <si>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</si>
  <si>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</si>
  <si>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</si>
  <si>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</si>
  <si>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</si>
  <si>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</si>
  <si>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</si>
  <si>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</si>
  <si>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</si>
  <si>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</si>
  <si>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</si>
  <si>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</si>
  <si>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</si>
  <si>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</si>
  <si>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</si>
  <si>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</si>
  <si>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</si>
  <si>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</si>
  <si>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</si>
  <si>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</si>
  <si>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</si>
  <si>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</si>
  <si>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</si>
  <si>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</si>
  <si>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</si>
  <si>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</si>
  <si>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</si>
  <si>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</si>
  <si>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</si>
  <si>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</si>
  <si>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</si>
  <si>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</si>
  <si>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</si>
  <si>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</si>
  <si>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</si>
  <si>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</si>
  <si>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</si>
  <si>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</si>
  <si>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</si>
  <si>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</si>
  <si>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</si>
  <si>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</si>
  <si>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</si>
  <si>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</si>
  <si>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</si>
  <si>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</si>
  <si>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</si>
  <si>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</si>
  <si>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</si>
  <si>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</si>
  <si>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</si>
  <si>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</si>
  <si>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</si>
  <si>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</si>
  <si>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</si>
  <si>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</si>
  <si>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</si>
  <si>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</si>
  <si>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</si>
  <si>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</si>
  <si>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</si>
  <si>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</si>
  <si>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</si>
  <si>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</si>
  <si>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</si>
  <si>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</si>
  <si>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</si>
  <si>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</si>
  <si>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</si>
  <si>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</si>
  <si>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</si>
  <si>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</si>
  <si>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</si>
  <si>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</si>
  <si>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</si>
  <si>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</si>
  <si>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</si>
  <si>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</si>
  <si>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</si>
  <si>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</si>
  <si>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</si>
  <si>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</si>
  <si>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</si>
  <si>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</si>
  <si>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</si>
  <si>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</si>
  <si>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</si>
  <si>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</si>
  <si>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</si>
  <si>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</si>
  <si>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</si>
  <si>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</si>
  <si>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</si>
  <si>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</si>
  <si>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</si>
  <si>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</si>
  <si>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</si>
  <si>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</si>
  <si>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</si>
  <si>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</si>
  <si>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</si>
  <si>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</si>
  <si>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</si>
  <si>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</si>
  <si>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</si>
  <si>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</si>
  <si>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</si>
  <si>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</si>
  <si>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</si>
  <si>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</si>
  <si>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</si>
  <si>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</si>
  <si>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</si>
  <si>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</si>
  <si>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</si>
  <si>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</si>
  <si>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</si>
  <si>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</si>
  <si>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</si>
  <si>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</si>
  <si>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</si>
  <si>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</si>
  <si>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</si>
  <si>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</si>
  <si>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</si>
  <si>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</si>
  <si>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</si>
  <si>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</si>
  <si>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</si>
  <si>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</si>
  <si>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</si>
  <si>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</si>
  <si>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</si>
  <si>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</si>
  <si>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</si>
  <si>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</si>
  <si>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</si>
  <si>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</si>
  <si>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</si>
  <si>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</si>
  <si>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</si>
  <si>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</si>
  <si>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</si>
  <si>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</si>
  <si>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</si>
  <si>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</si>
  <si>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</si>
  <si>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</si>
  <si>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</si>
  <si>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</si>
  <si>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</si>
  <si>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</si>
  <si>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</si>
  <si>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</si>
  <si>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</si>
  <si>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</si>
  <si>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</si>
  <si>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</si>
  <si>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</si>
  <si>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</si>
  <si>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</si>
  <si>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</si>
  <si>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</si>
  <si>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</si>
  <si>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</si>
  <si>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</si>
  <si>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</si>
  <si>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</si>
  <si>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</si>
  <si>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</si>
  <si>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</si>
  <si>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</si>
  <si>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</si>
  <si>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</si>
  <si>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</si>
  <si>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</si>
  <si>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</si>
  <si>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</si>
  <si>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</si>
  <si>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</si>
  <si>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</si>
  <si>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</si>
  <si>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</si>
  <si>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</si>
  <si>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</si>
  <si>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</si>
  <si>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</si>
  <si>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</si>
  <si>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</si>
  <si>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</si>
  <si>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</si>
  <si>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</si>
  <si>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</si>
  <si>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</si>
  <si>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</si>
  <si>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</si>
  <si>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</si>
  <si>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</si>
  <si>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</si>
  <si>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</si>
  <si>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</si>
  <si>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</si>
  <si>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</si>
  <si>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</si>
  <si>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</si>
  <si>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</si>
  <si>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</si>
  <si>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</si>
  <si>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</si>
  <si>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</si>
  <si>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</si>
  <si>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</si>
  <si>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</si>
  <si>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</si>
  <si>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</si>
  <si>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</si>
  <si>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</si>
  <si>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</si>
  <si>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</si>
  <si>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</si>
  <si>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</si>
  <si>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</si>
  <si>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</si>
  <si>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</si>
  <si>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</si>
  <si>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</si>
  <si>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</si>
  <si>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</si>
  <si>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</si>
  <si>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</si>
  <si>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</si>
  <si>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</si>
  <si>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</si>
  <si>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</si>
  <si>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</si>
  <si>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</si>
  <si>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</si>
  <si>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</si>
  <si>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</si>
  <si>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</si>
  <si>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</si>
  <si>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</si>
  <si>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</si>
  <si>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</si>
  <si>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</si>
  <si>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</si>
  <si>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</si>
  <si>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</si>
  <si>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</si>
  <si>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</si>
  <si>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</si>
  <si>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</si>
  <si>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</si>
  <si>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</si>
  <si>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</si>
  <si>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</si>
  <si>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</si>
  <si>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</si>
  <si>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</si>
  <si>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</si>
  <si>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</si>
  <si>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</si>
  <si>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</si>
  <si>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</si>
  <si>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</si>
  <si>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</si>
  <si>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</si>
  <si>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</si>
  <si>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</si>
  <si>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</si>
  <si>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</si>
  <si>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</si>
  <si>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</si>
  <si>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</si>
  <si>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</si>
  <si>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</si>
  <si>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</si>
  <si>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</si>
  <si>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</si>
  <si>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</si>
  <si>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</si>
  <si>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</si>
  <si>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</si>
  <si>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</si>
  <si>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</si>
  <si>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</si>
  <si>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</si>
  <si>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</si>
  <si>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</si>
  <si>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</si>
  <si>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</si>
  <si>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</si>
  <si>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</si>
  <si>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</si>
  <si>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</si>
  <si>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</si>
  <si>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</si>
  <si>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</si>
  <si>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</si>
  <si>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</si>
  <si>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</si>
  <si>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</si>
  <si>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</si>
  <si>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</si>
  <si>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</si>
  <si>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</si>
  <si>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</si>
  <si>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</si>
  <si>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</si>
  <si>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</si>
  <si>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</si>
  <si>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</si>
  <si>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</si>
  <si>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</si>
  <si>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</si>
  <si>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</si>
  <si>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</si>
  <si>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</si>
  <si>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</si>
  <si>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</si>
  <si>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</si>
  <si>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</si>
  <si>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</si>
  <si>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</si>
  <si>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</si>
  <si>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</si>
  <si>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</si>
  <si>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</si>
  <si>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</si>
  <si>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</si>
  <si>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</si>
  <si>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</si>
  <si>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</si>
  <si>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</si>
  <si>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</si>
  <si>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</si>
  <si>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</si>
  <si>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</si>
  <si>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</si>
  <si>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</si>
  <si>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</si>
  <si>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</si>
  <si>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</si>
  <si>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</si>
  <si>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</si>
  <si>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</si>
  <si>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</si>
  <si>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</si>
  <si>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</si>
  <si>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</si>
  <si>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</si>
  <si>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</si>
  <si>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</si>
  <si>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</si>
  <si>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</si>
  <si>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</si>
  <si>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</si>
  <si>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</si>
  <si>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</si>
  <si>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</si>
  <si>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</si>
  <si>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</si>
  <si>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</si>
  <si>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</si>
  <si>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</si>
  <si>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</si>
  <si>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</si>
  <si>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</si>
  <si>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</si>
  <si>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</si>
  <si>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</si>
  <si>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</si>
  <si>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</si>
  <si>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</si>
  <si>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</si>
  <si>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</si>
  <si>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</si>
  <si>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</si>
  <si>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</si>
  <si>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</si>
  <si>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</si>
  <si>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</si>
  <si>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</si>
  <si>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</si>
  <si>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</si>
  <si>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</si>
  <si>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</si>
  <si>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</si>
  <si>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</si>
  <si>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</si>
  <si>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</si>
  <si>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</si>
  <si>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</si>
  <si>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</si>
  <si>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</si>
  <si>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</si>
  <si>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</si>
  <si>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</si>
  <si>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</si>
  <si>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</si>
  <si>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</si>
  <si>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</si>
  <si>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</si>
  <si>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</si>
  <si>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</si>
  <si>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</si>
  <si>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</si>
  <si>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</si>
  <si>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</si>
  <si>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</si>
  <si>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</si>
  <si>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</si>
  <si>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</si>
  <si>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</si>
  <si>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</si>
  <si>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</si>
  <si>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</si>
  <si>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</si>
  <si>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</si>
  <si>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</si>
  <si>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</si>
  <si>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</si>
  <si>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</si>
  <si>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</si>
  <si>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</si>
  <si>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</si>
  <si>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</si>
  <si>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</si>
  <si>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</si>
  <si>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</si>
  <si>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</si>
  <si>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</si>
  <si>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</si>
  <si>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</si>
  <si>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</si>
  <si>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</si>
  <si>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</si>
  <si>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</si>
  <si>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</si>
  <si>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</si>
  <si>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</si>
  <si>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</si>
  <si>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</si>
  <si>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</si>
  <si>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</si>
  <si>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</si>
  <si>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</si>
  <si>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</si>
  <si>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</si>
  <si>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</si>
  <si>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</si>
  <si>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</si>
  <si>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</si>
  <si>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</si>
  <si>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</si>
  <si>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</si>
  <si>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</si>
  <si>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</si>
  <si>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</si>
  <si>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</si>
  <si>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</si>
  <si>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</si>
  <si>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</si>
  <si>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</si>
  <si>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</si>
  <si>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</si>
  <si>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</si>
  <si>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</si>
  <si>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</si>
  <si>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</si>
  <si>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</si>
  <si>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</si>
  <si>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</si>
  <si>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</si>
  <si>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</si>
  <si>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</si>
  <si>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</si>
  <si>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</si>
  <si>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</si>
  <si>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</si>
  <si>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</si>
  <si>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</si>
  <si>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</si>
  <si>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</si>
  <si>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</si>
  <si>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</si>
  <si>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</si>
  <si>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</si>
  <si>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</si>
  <si>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</si>
  <si>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</si>
  <si>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</si>
  <si>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</si>
  <si>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</si>
  <si>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</si>
  <si>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</si>
  <si>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</si>
  <si>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</si>
  <si>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</si>
  <si>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</si>
  <si>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</si>
  <si>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</si>
  <si>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</si>
  <si>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</si>
  <si>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</si>
  <si>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</si>
  <si>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</si>
  <si>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</si>
  <si>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</si>
  <si>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</si>
  <si>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</si>
  <si>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</si>
  <si>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</si>
  <si>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</si>
  <si>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</si>
  <si>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</si>
  <si>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</si>
  <si>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</si>
  <si>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</si>
  <si>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</si>
  <si>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</si>
  <si>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</si>
  <si>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</si>
  <si>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</si>
  <si>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</si>
  <si>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</si>
  <si>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</si>
  <si>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</si>
  <si>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</si>
  <si>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</si>
  <si>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</si>
  <si>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</si>
  <si>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</si>
  <si>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</si>
  <si>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</si>
  <si>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</si>
  <si>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</si>
  <si>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</si>
  <si>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</si>
  <si>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</si>
  <si>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</si>
  <si>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</si>
  <si>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</si>
  <si>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</si>
  <si>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</si>
  <si>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</si>
  <si>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</si>
  <si>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</si>
  <si>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</si>
  <si>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</si>
  <si>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</si>
  <si>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</si>
  <si>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</si>
  <si>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</si>
  <si>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</si>
  <si>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</si>
  <si>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</si>
  <si>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</si>
  <si>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</si>
  <si>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</si>
  <si>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</si>
  <si>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</si>
  <si>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</si>
  <si>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</si>
  <si>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</si>
  <si>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</si>
  <si>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</si>
  <si>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</si>
  <si>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</si>
  <si>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</si>
  <si>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</si>
  <si>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</si>
  <si>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</si>
  <si>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</si>
  <si>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</si>
  <si>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</si>
  <si>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</si>
  <si>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</si>
  <si>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</si>
  <si>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</si>
  <si>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</si>
  <si>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</si>
  <si>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</si>
  <si>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</si>
  <si>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</si>
  <si>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</si>
  <si>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</si>
  <si>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</si>
  <si>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</si>
  <si>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</si>
  <si>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</si>
  <si>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</si>
  <si>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</si>
  <si>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</si>
  <si>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</si>
  <si>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</si>
  <si>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</si>
  <si>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</si>
  <si>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</si>
  <si>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</si>
  <si>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</si>
  <si>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</si>
  <si>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</si>
  <si>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</si>
  <si>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</si>
  <si>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</si>
  <si>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</si>
  <si>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</si>
  <si>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</si>
  <si>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</si>
  <si>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</si>
  <si>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</si>
  <si>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</si>
  <si>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</si>
  <si>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</si>
  <si>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</si>
  <si>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</si>
  <si>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</si>
  <si>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</si>
  <si>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</si>
  <si>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</si>
  <si>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</si>
  <si>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</si>
  <si>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</si>
  <si>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</si>
  <si>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</si>
  <si>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</si>
  <si>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</si>
  <si>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</si>
  <si>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</si>
  <si>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</si>
  <si>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</si>
  <si>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</si>
  <si>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</si>
  <si>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</si>
  <si>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</si>
  <si>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</si>
  <si>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</si>
  <si>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</si>
  <si>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</si>
  <si>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</si>
  <si>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</si>
  <si>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</si>
  <si>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</si>
  <si>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</si>
  <si>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</si>
  <si>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</si>
  <si>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</si>
  <si>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</si>
  <si>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</si>
  <si>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</si>
  <si>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</si>
  <si>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</si>
  <si>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</si>
  <si>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</si>
  <si>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</si>
  <si>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</si>
  <si>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</si>
  <si>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</si>
  <si>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</si>
  <si>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</si>
  <si>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</si>
  <si>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</si>
  <si>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</si>
  <si>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</si>
  <si>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</si>
  <si>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</si>
  <si>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</si>
  <si>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</si>
  <si>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</si>
  <si>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</si>
  <si>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</si>
  <si>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</si>
  <si>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</si>
  <si>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</si>
  <si>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</si>
  <si>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</si>
  <si>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</si>
  <si>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</si>
  <si>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</si>
  <si>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</si>
  <si>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</si>
  <si>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</si>
  <si>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</si>
  <si>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</si>
  <si>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</si>
  <si>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</si>
  <si>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</si>
  <si>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</si>
  <si>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</si>
  <si>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</si>
  <si>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</si>
  <si>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</si>
  <si>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</si>
  <si>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</si>
  <si>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</si>
  <si>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</si>
  <si>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</si>
  <si>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</si>
  <si>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</si>
  <si>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</si>
  <si>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</si>
  <si>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</si>
  <si>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</si>
  <si>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</si>
  <si>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</si>
  <si>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</si>
  <si>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</si>
  <si>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</si>
  <si>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</si>
  <si>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</si>
  <si>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</si>
  <si>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</si>
  <si>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</si>
  <si>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</si>
  <si>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</si>
  <si>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</si>
  <si>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</si>
  <si>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</si>
  <si>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</si>
  <si>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</si>
  <si>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</si>
  <si>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</si>
  <si>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</si>
  <si>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</si>
  <si>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</si>
  <si>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</si>
  <si>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</si>
  <si>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</si>
  <si>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</si>
  <si>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</si>
  <si>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</si>
  <si>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</si>
  <si>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</si>
  <si>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</si>
  <si>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</si>
  <si>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</si>
  <si>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</si>
  <si>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</si>
  <si>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</si>
  <si>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</si>
  <si>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</si>
  <si>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</si>
  <si>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</si>
  <si>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</si>
  <si>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</si>
  <si>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</si>
  <si>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</si>
  <si>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</si>
  <si>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</si>
  <si>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</si>
  <si>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</si>
  <si>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</si>
  <si>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</si>
  <si>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</si>
  <si>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</si>
  <si>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</si>
  <si>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</si>
  <si>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</si>
  <si>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</si>
  <si>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</si>
  <si>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</si>
  <si>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</si>
  <si>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</si>
  <si>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</si>
  <si>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</si>
  <si>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</si>
  <si>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</si>
  <si>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</si>
  <si>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</si>
  <si>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</si>
  <si>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</si>
  <si>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</si>
  <si>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</si>
  <si>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</si>
  <si>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</si>
  <si>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</si>
  <si>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</si>
  <si>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</si>
  <si>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</si>
  <si>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</si>
  <si>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</si>
  <si>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</si>
  <si>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</si>
  <si>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</si>
  <si>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</si>
  <si>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</si>
  <si>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</si>
  <si>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</si>
  <si>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</si>
  <si>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</si>
  <si>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</si>
  <si>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</si>
  <si>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</si>
  <si>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</si>
  <si>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</si>
  <si>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</si>
  <si>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</si>
  <si>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</si>
  <si>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</si>
  <si>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</si>
  <si>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</si>
  <si>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</si>
  <si>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</si>
  <si>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</si>
  <si>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</si>
  <si>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</si>
  <si>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</si>
  <si>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</si>
  <si>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</si>
  <si>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</si>
  <si>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</si>
  <si>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</si>
  <si>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</si>
  <si>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</si>
  <si>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</si>
  <si>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</si>
  <si>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</si>
  <si>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</si>
  <si>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</si>
  <si>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</si>
  <si>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</si>
  <si>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</si>
  <si>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</si>
  <si>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</si>
  <si>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</si>
  <si>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</si>
  <si>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</si>
  <si>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</si>
  <si>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</si>
  <si>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</si>
  <si>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</si>
  <si>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</si>
  <si>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</si>
  <si>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</si>
  <si>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</si>
  <si>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</si>
  <si>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</si>
  <si>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</si>
  <si>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</si>
  <si>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</si>
  <si>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</si>
  <si>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</si>
  <si>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</si>
  <si>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</si>
  <si>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</si>
  <si>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</si>
  <si>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</si>
  <si>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</si>
  <si>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</si>
  <si>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</si>
  <si>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</si>
  <si>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</si>
  <si>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</si>
  <si>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</si>
  <si>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</si>
  <si>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</si>
  <si>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</si>
  <si>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</si>
  <si>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</si>
  <si>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</si>
  <si>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</si>
  <si>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</si>
  <si>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</si>
  <si>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</si>
  <si>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</si>
  <si>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</si>
  <si>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</si>
  <si>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</si>
  <si>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</si>
  <si>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</si>
  <si>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</si>
  <si>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</si>
  <si>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</si>
  <si>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</si>
  <si>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</si>
  <si>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</si>
  <si>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</si>
  <si>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</si>
  <si>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</si>
  <si>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</si>
  <si>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</si>
  <si>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</si>
  <si>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</si>
  <si>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</si>
  <si>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</si>
  <si>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</si>
  <si>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</si>
  <si>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</si>
  <si>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</si>
  <si>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</si>
  <si>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</si>
  <si>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</si>
  <si>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</si>
  <si>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</si>
  <si>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</si>
  <si>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</si>
  <si>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</si>
  <si>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</si>
  <si>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</si>
  <si>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</si>
  <si>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</si>
  <si>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</si>
  <si>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</si>
  <si>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</si>
  <si>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</si>
  <si>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</si>
  <si>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</si>
  <si>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</si>
  <si>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</si>
  <si>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</si>
  <si>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</si>
  <si>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</si>
  <si>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</si>
  <si>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</si>
  <si>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</si>
  <si>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</si>
  <si>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</si>
  <si>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</si>
  <si>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</si>
  <si>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</si>
  <si>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</si>
  <si>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</si>
  <si>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</si>
  <si>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</si>
  <si>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</si>
  <si>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</si>
  <si>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</si>
  <si>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</si>
  <si>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</si>
  <si>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</si>
  <si>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</si>
  <si>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</si>
  <si>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</si>
  <si>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</si>
  <si>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</si>
  <si>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</si>
  <si>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</si>
  <si>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</si>
  <si>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</si>
  <si>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</si>
  <si>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</si>
  <si>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</si>
  <si>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</si>
  <si>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</si>
  <si>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</si>
  <si>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</si>
  <si>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</si>
  <si>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</si>
  <si>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</si>
  <si>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</si>
  <si>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</si>
  <si>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</si>
  <si>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</si>
  <si>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</si>
  <si>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</si>
  <si>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</si>
  <si>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</si>
  <si>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</si>
  <si>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</si>
  <si>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</si>
  <si>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</si>
  <si>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</si>
  <si>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</si>
  <si>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</si>
  <si>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</si>
  <si>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</si>
  <si>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</si>
  <si>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</si>
  <si>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</si>
  <si>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</si>
  <si>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</si>
  <si>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</si>
  <si>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</si>
  <si>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</si>
  <si>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</si>
  <si>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</si>
  <si>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</si>
  <si>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</si>
  <si>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</si>
  <si>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</si>
  <si>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</si>
  <si>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</si>
  <si>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</si>
  <si>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</si>
  <si>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</si>
  <si>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</si>
  <si>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</si>
  <si>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</si>
  <si>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</si>
  <si>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</si>
  <si>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</si>
  <si>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</si>
  <si>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</si>
  <si>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</si>
  <si>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</si>
  <si>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</si>
  <si>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</si>
  <si>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</si>
  <si>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</si>
  <si>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</si>
  <si>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</si>
  <si>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</si>
  <si>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</si>
  <si>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</si>
  <si>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</si>
  <si>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</si>
  <si>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</si>
  <si>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</si>
  <si>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</si>
  <si>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</si>
  <si>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</si>
  <si>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</si>
  <si>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</si>
  <si>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</si>
  <si>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</si>
  <si>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</si>
  <si>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</si>
  <si>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</si>
  <si>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</si>
  <si>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</si>
  <si>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</si>
  <si>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</si>
  <si>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</si>
  <si>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</si>
  <si>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</si>
  <si>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</si>
  <si>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</si>
  <si>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</si>
  <si>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</si>
  <si>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</si>
  <si>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</si>
  <si>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</si>
  <si>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</si>
  <si>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</si>
  <si>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</si>
  <si>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</si>
  <si>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</si>
  <si>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</si>
  <si>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</si>
  <si>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</si>
  <si>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</si>
  <si>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</si>
  <si>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</si>
  <si>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</si>
  <si>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</si>
  <si>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</si>
  <si>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</si>
  <si>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</si>
  <si>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</si>
  <si>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</si>
  <si>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</si>
  <si>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</si>
  <si>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</si>
  <si>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</si>
  <si>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</si>
  <si>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</si>
  <si>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</si>
  <si>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</si>
  <si>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</si>
  <si>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</si>
  <si>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</si>
  <si>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</si>
  <si>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</si>
  <si>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</si>
  <si>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</si>
  <si>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</si>
  <si>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</si>
  <si>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</si>
  <si>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</si>
  <si>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</si>
  <si>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</si>
  <si>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</si>
  <si>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</si>
  <si>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</si>
  <si>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</si>
  <si>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</si>
  <si>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</si>
  <si>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</si>
  <si>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</si>
  <si>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</si>
  <si>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</si>
  <si>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</si>
  <si>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</si>
  <si>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</si>
  <si>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</si>
  <si>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</si>
  <si>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</si>
  <si>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</si>
  <si>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</si>
  <si>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</si>
  <si>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</si>
  <si>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</si>
  <si>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</si>
  <si>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</si>
  <si>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</si>
  <si>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</si>
  <si>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</si>
  <si>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</si>
  <si>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</si>
  <si>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</si>
  <si>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</si>
  <si>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</si>
  <si>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</si>
  <si>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</si>
  <si>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</si>
  <si>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</si>
  <si>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</si>
  <si>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</si>
  <si>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</si>
  <si>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</si>
  <si>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</si>
  <si>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</si>
  <si>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</si>
  <si>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</si>
  <si>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</si>
  <si>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</si>
  <si>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</si>
  <si>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</si>
  <si>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</si>
  <si>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</si>
  <si>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</si>
  <si>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</si>
  <si>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</si>
  <si>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</si>
  <si>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</si>
  <si>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</si>
  <si>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</si>
  <si>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</si>
  <si>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</si>
  <si>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</si>
  <si>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</si>
  <si>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</si>
  <si>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</si>
  <si>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</si>
  <si>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</si>
  <si>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</si>
  <si>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</si>
  <si>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</si>
  <si>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</si>
  <si>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</si>
  <si>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</si>
  <si>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</si>
  <si>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</si>
  <si>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</si>
  <si>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</si>
  <si>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</si>
  <si>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</si>
  <si>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</si>
  <si>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</si>
  <si>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</si>
  <si>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</si>
  <si>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</si>
  <si>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</si>
  <si>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</si>
  <si>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</si>
  <si>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</si>
  <si>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</si>
  <si>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</si>
  <si>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</si>
  <si>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</si>
  <si>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</si>
  <si>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</si>
  <si>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</si>
  <si>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</si>
  <si>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</si>
  <si>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</si>
  <si>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</si>
  <si>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</si>
  <si>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</si>
  <si>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</si>
  <si>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</si>
  <si>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</si>
  <si>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</si>
  <si>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</si>
  <si>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</si>
  <si>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</si>
  <si>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</si>
  <si>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</si>
  <si>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</si>
  <si>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</si>
  <si>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</si>
  <si>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</si>
  <si>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</si>
  <si>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</si>
  <si>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</si>
  <si>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</si>
  <si>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</si>
  <si>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</si>
  <si>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</si>
  <si>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</si>
  <si>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</si>
  <si>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</si>
  <si>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</si>
  <si>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</si>
  <si>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</si>
  <si>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</si>
  <si>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</si>
  <si>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</si>
  <si>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</si>
  <si>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</si>
  <si>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</si>
  <si>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</si>
  <si>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</si>
  <si>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</si>
  <si>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</si>
  <si>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</si>
  <si>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</si>
  <si>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</si>
  <si>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</si>
  <si>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</si>
  <si>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</si>
  <si>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</si>
  <si>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</si>
  <si>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</si>
  <si>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</si>
  <si>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</si>
  <si>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</si>
  <si>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</si>
  <si>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</si>
  <si>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</si>
  <si>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</si>
  <si>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</si>
  <si>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</si>
  <si>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</si>
  <si>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</si>
  <si>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</si>
  <si>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</si>
  <si>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</si>
  <si>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</si>
  <si>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</si>
  <si>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</si>
  <si>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</si>
  <si>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</si>
  <si>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</si>
  <si>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</si>
  <si>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</si>
  <si>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</si>
  <si>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</si>
  <si>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</si>
  <si>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</si>
  <si>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</si>
  <si>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</si>
  <si>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</si>
  <si>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</si>
  <si>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</si>
  <si>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</si>
  <si>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</si>
  <si>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</si>
  <si>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</si>
  <si>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</si>
  <si>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</si>
  <si>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</si>
  <si>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</si>
  <si>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</si>
  <si>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</si>
  <si>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</si>
  <si>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</si>
  <si>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</si>
  <si>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</si>
  <si>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</si>
  <si>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</si>
  <si>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</si>
  <si>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</si>
  <si>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</si>
  <si>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</si>
  <si>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</si>
  <si>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</si>
  <si>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</si>
  <si>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</si>
  <si>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</si>
  <si>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</si>
  <si>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</si>
  <si>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</si>
  <si>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</si>
  <si>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</si>
  <si>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</si>
  <si>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</si>
  <si>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</si>
  <si>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</si>
  <si>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</si>
  <si>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</si>
  <si>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</si>
  <si>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</si>
  <si>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</si>
  <si>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</si>
  <si>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</si>
  <si>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</si>
  <si>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</si>
  <si>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</si>
  <si>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</si>
  <si>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</si>
  <si>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</si>
  <si>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</si>
  <si>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</si>
  <si>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</si>
  <si>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</si>
  <si>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</si>
  <si>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</si>
  <si>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</si>
  <si>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</si>
  <si>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</si>
  <si>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</si>
  <si>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</si>
  <si>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</si>
  <si>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</si>
  <si>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</si>
  <si>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</si>
  <si>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</si>
  <si>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</si>
  <si>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</si>
  <si>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</si>
  <si>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</si>
  <si>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</si>
  <si>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</si>
  <si>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</si>
  <si>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</si>
  <si>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</si>
  <si>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</si>
  <si>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</si>
  <si>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</si>
  <si>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</si>
  <si>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</si>
  <si>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</si>
  <si>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</si>
  <si>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</si>
  <si>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</si>
  <si>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</si>
  <si>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</si>
  <si>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</si>
  <si>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</si>
  <si>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</si>
  <si>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</si>
  <si>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</si>
  <si>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</si>
  <si>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</si>
  <si>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</si>
  <si>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</si>
  <si>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</si>
  <si>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</si>
  <si>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</si>
  <si>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</si>
  <si>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</si>
  <si>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</si>
  <si>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</si>
  <si>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</si>
  <si>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</si>
  <si>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</si>
  <si>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</si>
  <si>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</si>
  <si>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</si>
  <si>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</si>
  <si>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</si>
  <si>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</si>
  <si>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</si>
  <si>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</si>
  <si>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</si>
  <si>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</si>
  <si>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</si>
  <si>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</si>
  <si>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</si>
  <si>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</si>
  <si>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</si>
  <si>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</si>
  <si>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</si>
  <si>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</si>
  <si>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</si>
  <si>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</si>
  <si>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</si>
  <si>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</si>
  <si>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</si>
  <si>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</si>
  <si>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</si>
  <si>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</si>
  <si>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</si>
  <si>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</si>
  <si>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</si>
  <si>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</si>
  <si>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</si>
  <si>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</si>
  <si>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</si>
  <si>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</si>
  <si>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</si>
  <si>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</si>
  <si>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</si>
  <si>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</si>
  <si>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</si>
  <si>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</si>
  <si>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</si>
  <si>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</si>
  <si>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</si>
  <si>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</si>
  <si>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</si>
  <si>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</si>
  <si>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</si>
  <si>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</si>
  <si>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</si>
  <si>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</si>
  <si>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</si>
  <si>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</si>
  <si>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</si>
  <si>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</si>
  <si>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</si>
  <si>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</si>
  <si>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</si>
  <si>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</si>
  <si>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</si>
  <si>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</si>
  <si>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</si>
  <si>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</si>
  <si>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</si>
  <si>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</si>
  <si>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</si>
  <si>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</si>
  <si>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</si>
  <si>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</si>
  <si>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</si>
  <si>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</si>
  <si>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</si>
  <si>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</si>
  <si>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</si>
  <si>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</si>
  <si>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</si>
  <si>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</si>
  <si>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</si>
  <si>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</si>
  <si>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</si>
  <si>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</si>
  <si>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</si>
  <si>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</si>
  <si>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</si>
  <si>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</si>
  <si>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</si>
  <si>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</si>
  <si>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</si>
  <si>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</si>
  <si>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</si>
  <si>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</si>
  <si>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</si>
  <si>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</si>
  <si>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</si>
  <si>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</si>
  <si>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</si>
  <si>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</si>
  <si>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</si>
  <si>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</si>
  <si>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</si>
  <si>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</si>
  <si>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</si>
  <si>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</si>
  <si>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</si>
  <si>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</si>
  <si>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</si>
  <si>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</si>
  <si>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</si>
  <si>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</si>
  <si>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</si>
  <si>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</si>
  <si>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</si>
  <si>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</si>
  <si>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</si>
  <si>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</si>
  <si>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</si>
  <si>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</si>
  <si>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</si>
  <si>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</si>
  <si>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</si>
  <si>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</si>
  <si>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</si>
  <si>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</si>
  <si>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</si>
  <si>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</si>
  <si>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</si>
  <si>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</si>
  <si>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</si>
  <si>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</si>
  <si>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</si>
  <si>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</si>
  <si>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</si>
  <si>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</si>
  <si>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</si>
  <si>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</si>
  <si>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</si>
  <si>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</si>
  <si>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</si>
  <si>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</si>
  <si>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</si>
  <si>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</si>
  <si>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</si>
  <si>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</si>
  <si>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</si>
  <si>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</si>
  <si>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</si>
  <si>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</si>
  <si>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</si>
  <si>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</si>
  <si>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</si>
  <si>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</si>
  <si>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</si>
  <si>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</si>
  <si>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</si>
  <si>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</si>
  <si>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</si>
  <si>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</si>
  <si>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</si>
  <si>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</si>
  <si>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</si>
  <si>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</si>
  <si>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</si>
  <si>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</si>
  <si>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</si>
  <si>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</si>
  <si>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</si>
  <si>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</si>
  <si>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</si>
  <si>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</si>
  <si>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</si>
  <si>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</si>
  <si>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</si>
  <si>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</si>
  <si>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</si>
  <si>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</si>
  <si>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</si>
  <si>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</si>
  <si>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</si>
  <si>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</si>
  <si>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</si>
  <si>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</si>
  <si>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</si>
  <si>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</si>
  <si>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</si>
  <si>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</si>
  <si>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</si>
  <si>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</si>
  <si>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</si>
  <si>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</si>
  <si>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</si>
  <si>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</si>
  <si>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</si>
  <si>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</si>
  <si>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</si>
  <si>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</si>
  <si>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</si>
  <si>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</si>
  <si>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</si>
  <si>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</si>
  <si>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</si>
  <si>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</si>
  <si>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</si>
  <si>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</si>
  <si>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</si>
  <si>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</si>
  <si>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</si>
  <si>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</si>
  <si>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</si>
  <si>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</si>
  <si>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</si>
  <si>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</si>
  <si>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</si>
  <si>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</si>
  <si>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</si>
  <si>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</si>
  <si>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</si>
  <si>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</si>
  <si>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</si>
  <si>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</si>
  <si>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</si>
  <si>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</si>
  <si>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</si>
  <si>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</si>
  <si>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</si>
  <si>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</si>
  <si>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</si>
  <si>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</si>
  <si>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</si>
  <si>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</si>
  <si>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</si>
  <si>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</si>
  <si>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</si>
  <si>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</si>
  <si>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</si>
  <si>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</si>
  <si>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</si>
  <si>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</si>
  <si>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</si>
  <si>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</si>
  <si>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</si>
  <si>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</si>
  <si>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</si>
  <si>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</si>
  <si>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</si>
  <si>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</si>
  <si>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</si>
  <si>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</si>
  <si>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</si>
  <si>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</si>
  <si>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</si>
  <si>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</si>
  <si>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</si>
  <si>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</si>
  <si>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</si>
  <si>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</si>
  <si>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</si>
  <si>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</si>
  <si>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</si>
  <si>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</si>
  <si>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</si>
  <si>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</si>
  <si>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</si>
  <si>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</si>
  <si>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</si>
  <si>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</si>
  <si>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</si>
  <si>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</si>
  <si>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</si>
  <si>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</si>
  <si>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</si>
  <si>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</si>
  <si>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</si>
  <si>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</si>
  <si>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</si>
  <si>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</si>
  <si>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</si>
  <si>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</si>
  <si>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</si>
  <si>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</si>
  <si>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</si>
  <si>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</si>
  <si>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</si>
  <si>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</si>
  <si>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</si>
  <si>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</si>
  <si>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</si>
  <si>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</si>
  <si>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</si>
  <si>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</si>
  <si>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</si>
  <si>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</si>
  <si>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</si>
  <si>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</si>
  <si>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</si>
  <si>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</si>
  <si>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</si>
  <si>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</si>
  <si>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</si>
  <si>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</si>
  <si>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</si>
  <si>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</si>
  <si>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</si>
  <si>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</si>
  <si>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</si>
  <si>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</si>
  <si>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</si>
  <si>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</si>
  <si>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</si>
  <si>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</si>
  <si>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</si>
  <si>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</si>
  <si>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</si>
  <si>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</si>
  <si>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</si>
  <si>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</si>
  <si>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</si>
  <si>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</si>
  <si>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</si>
  <si>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</si>
  <si>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</si>
  <si>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</si>
  <si>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</si>
  <si>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</si>
  <si>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</si>
  <si>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</si>
  <si>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</si>
  <si>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</si>
  <si>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</si>
  <si>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</si>
  <si>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</si>
  <si>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</si>
  <si>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</si>
  <si>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</si>
  <si>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</si>
  <si>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</si>
  <si>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</si>
  <si>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</si>
  <si>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</si>
  <si>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</si>
  <si>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</si>
  <si>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</si>
  <si>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</si>
  <si>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</si>
  <si>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</si>
  <si>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</si>
  <si>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</si>
  <si>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</si>
  <si>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</si>
  <si>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</si>
  <si>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</si>
  <si>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</si>
  <si>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</si>
  <si>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</si>
  <si>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</si>
  <si>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</si>
  <si>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</si>
  <si>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</si>
  <si>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</si>
  <si>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</si>
  <si>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</si>
  <si>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</si>
  <si>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</si>
  <si>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</si>
  <si>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</si>
  <si>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</si>
  <si>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</si>
  <si>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</si>
  <si>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</si>
  <si>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</si>
  <si>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</si>
  <si>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</si>
  <si>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</si>
  <si>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</si>
  <si>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</si>
  <si>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</si>
  <si>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</si>
  <si>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</si>
  <si>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</si>
  <si>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</si>
  <si>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</si>
  <si>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</si>
  <si>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</si>
  <si>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</si>
  <si>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</si>
  <si>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</si>
  <si>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</si>
  <si>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</si>
  <si>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</si>
  <si>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</si>
  <si>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</si>
  <si>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</si>
  <si>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</si>
  <si>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</si>
  <si>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</si>
  <si>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</si>
  <si>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</si>
  <si>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</si>
  <si>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</si>
  <si>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</si>
  <si>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</si>
  <si>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</si>
  <si>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</si>
  <si>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</si>
  <si>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</si>
  <si>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</si>
  <si>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</si>
  <si>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</si>
  <si>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</si>
  <si>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</si>
  <si>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</si>
  <si>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</si>
  <si>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</si>
  <si>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</si>
  <si>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</si>
  <si>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</si>
  <si>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</si>
  <si>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</si>
  <si>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</si>
  <si>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</si>
  <si>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</si>
  <si>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</si>
  <si>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</si>
  <si>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</si>
  <si>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</si>
  <si>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</si>
  <si>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</si>
  <si>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</si>
  <si>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</si>
  <si>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</si>
  <si>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</si>
  <si>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</si>
  <si>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</si>
  <si>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</si>
  <si>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</si>
  <si>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</si>
  <si>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</si>
  <si>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</si>
  <si>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</si>
  <si>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</si>
  <si>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</si>
  <si>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</si>
  <si>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</si>
  <si>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</si>
  <si>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</si>
  <si>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</si>
  <si>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</si>
  <si>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</si>
  <si>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</si>
  <si>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</si>
  <si>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</si>
  <si>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</si>
  <si>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</si>
  <si>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</si>
  <si>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</si>
  <si>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</si>
  <si>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</si>
  <si>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</si>
  <si>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</si>
  <si>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</si>
  <si>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</si>
  <si>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</si>
  <si>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</si>
  <si>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</si>
  <si>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</si>
  <si>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</si>
  <si>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</si>
  <si>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</si>
  <si>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</si>
  <si>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</si>
  <si>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</si>
  <si>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</si>
  <si>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</si>
  <si>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</si>
  <si>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</si>
  <si>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</si>
  <si>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</si>
  <si>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</si>
  <si>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</si>
  <si>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</si>
  <si>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</si>
  <si>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</si>
  <si>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</si>
  <si>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</si>
  <si>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</si>
  <si>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</si>
  <si>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</si>
  <si>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</si>
  <si>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</si>
  <si>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</si>
  <si>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</si>
  <si>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</si>
  <si>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</si>
  <si>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</si>
  <si>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</si>
  <si>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</si>
  <si>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</si>
  <si>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</si>
  <si>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</si>
  <si>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</si>
  <si>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</si>
  <si>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</si>
  <si>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</si>
  <si>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</si>
  <si>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</si>
  <si>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</si>
  <si>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</si>
  <si>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</si>
  <si>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</si>
  <si>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</si>
  <si>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</si>
  <si>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</si>
  <si>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</si>
  <si>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</si>
  <si>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</si>
  <si>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</si>
  <si>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</si>
  <si>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</si>
  <si>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</si>
  <si>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</si>
  <si>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</si>
  <si>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</si>
  <si>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</si>
  <si>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</si>
  <si>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</si>
  <si>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</si>
  <si>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</si>
  <si>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</si>
  <si>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</si>
  <si>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</si>
  <si>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</si>
  <si>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</si>
  <si>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</si>
  <si>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</si>
  <si>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</si>
  <si>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</si>
  <si>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</si>
  <si>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</si>
  <si>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</si>
  <si>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</si>
  <si>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</si>
  <si>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</si>
  <si>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</si>
  <si>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</si>
  <si>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</si>
  <si>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</si>
  <si>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</si>
  <si>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</si>
  <si>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</si>
  <si>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</si>
  <si>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</si>
  <si>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</si>
  <si>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</si>
  <si>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</si>
  <si>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</si>
  <si>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</si>
  <si>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</si>
  <si>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</si>
  <si>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</si>
  <si>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</si>
  <si>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</si>
  <si>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</si>
  <si>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</si>
  <si>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</si>
  <si>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</si>
  <si>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</si>
  <si>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</si>
  <si>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</si>
  <si>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</si>
  <si>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</si>
  <si>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</si>
  <si>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</si>
  <si>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</si>
  <si>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</si>
  <si>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</si>
  <si>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</si>
  <si>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</si>
  <si>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</si>
  <si>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</si>
  <si>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</si>
  <si>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</si>
  <si>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</si>
  <si>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</si>
  <si>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</si>
  <si>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</si>
  <si>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</si>
  <si>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</si>
  <si>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</si>
  <si>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</si>
  <si>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</si>
  <si>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</si>
  <si>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</si>
  <si>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</si>
  <si>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</si>
  <si>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</si>
  <si>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</si>
  <si>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</si>
  <si>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</si>
  <si>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</si>
  <si>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</si>
  <si>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</si>
  <si>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</si>
  <si>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</si>
  <si>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</si>
  <si>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</si>
  <si>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</si>
  <si>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</si>
  <si>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</si>
  <si>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</si>
  <si>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</si>
  <si>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</si>
  <si>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</si>
  <si>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</si>
  <si>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</si>
  <si>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</si>
  <si>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</si>
  <si>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</si>
  <si>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</si>
  <si>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</si>
  <si>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</si>
  <si>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</si>
  <si>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</si>
  <si>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</si>
  <si>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</si>
  <si>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</si>
  <si>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</si>
  <si>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</si>
  <si>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</si>
  <si>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</si>
  <si>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</si>
  <si>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</si>
  <si>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</si>
  <si>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</si>
  <si>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</si>
  <si>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</si>
  <si>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</si>
  <si>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</si>
  <si>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</si>
  <si>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</si>
  <si>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</si>
  <si>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</si>
  <si>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</si>
  <si>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</si>
  <si>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</si>
  <si>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</si>
  <si>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</si>
  <si>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</si>
  <si>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</si>
  <si>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</si>
  <si>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</si>
  <si>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</si>
  <si>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</si>
  <si>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</si>
  <si>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</si>
  <si>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</si>
  <si>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</si>
  <si>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</si>
  <si>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</si>
  <si>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</si>
  <si>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</si>
  <si>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</si>
  <si>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</si>
  <si>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</si>
  <si>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</si>
  <si>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</si>
  <si>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</si>
  <si>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</si>
  <si>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</si>
  <si>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</si>
  <si>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</si>
  <si>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</si>
  <si>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</si>
  <si>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</si>
  <si>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</si>
  <si>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</si>
  <si>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</si>
  <si>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</si>
  <si>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</si>
  <si>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</si>
  <si>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</si>
  <si>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</si>
  <si>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</si>
  <si>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</si>
  <si>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</si>
  <si>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</si>
  <si>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</si>
  <si>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</si>
  <si>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</si>
  <si>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</si>
  <si>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</si>
  <si>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</si>
  <si>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</si>
  <si>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</si>
  <si>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</si>
  <si>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</si>
  <si>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</si>
  <si>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</si>
  <si>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</si>
  <si>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</si>
  <si>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</si>
  <si>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</si>
  <si>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</si>
  <si>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</si>
  <si>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</si>
  <si>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</si>
  <si>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</si>
  <si>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</si>
  <si>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</si>
  <si>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</si>
  <si>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</si>
  <si>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</si>
  <si>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</si>
  <si>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</si>
  <si>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</si>
  <si>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</si>
  <si>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</si>
  <si>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</si>
  <si>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</si>
  <si>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</si>
  <si>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</si>
  <si>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</si>
  <si>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</si>
  <si>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</si>
  <si>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</si>
  <si>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</si>
  <si>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</si>
  <si>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</si>
  <si>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</si>
  <si>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</si>
  <si>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</si>
  <si>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</si>
  <si>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</si>
  <si>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</si>
  <si>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</si>
  <si>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</si>
  <si>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</si>
  <si>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</si>
  <si>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</si>
  <si>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</si>
  <si>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</si>
  <si>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</si>
  <si>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</si>
  <si>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</si>
  <si>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</si>
  <si>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</si>
  <si>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</si>
  <si>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</si>
  <si>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</si>
  <si>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</si>
  <si>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</si>
  <si>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</si>
  <si>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</si>
  <si>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</si>
  <si>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</si>
  <si>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</si>
  <si>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</si>
  <si>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</si>
  <si>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</si>
  <si>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</si>
  <si>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</si>
  <si>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</si>
  <si>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</si>
  <si>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</si>
  <si>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</si>
  <si>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</si>
  <si>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</si>
  <si>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</si>
  <si>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</si>
  <si>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</si>
  <si>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</si>
  <si>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</si>
  <si>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</si>
  <si>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</si>
  <si>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</si>
  <si>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</si>
  <si>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</si>
  <si>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</si>
  <si>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</si>
  <si>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</si>
  <si>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</si>
  <si>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</si>
  <si>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</si>
  <si>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</si>
  <si>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</si>
  <si>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</si>
  <si>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</si>
  <si>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</si>
  <si>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</si>
  <si>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</si>
  <si>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</si>
  <si>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</si>
  <si>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</si>
  <si>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</si>
  <si>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</si>
  <si>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</si>
  <si>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</si>
  <si>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</si>
  <si>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</si>
  <si>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</si>
  <si>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</si>
  <si>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</si>
  <si>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</si>
  <si>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</si>
  <si>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</si>
  <si>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</si>
  <si>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</si>
  <si>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</si>
  <si>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</si>
  <si>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</si>
  <si>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</si>
  <si>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</si>
  <si>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</si>
  <si>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</si>
  <si>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</si>
  <si>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</si>
  <si>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</si>
  <si>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</si>
  <si>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</si>
  <si>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</si>
  <si>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</si>
  <si>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</si>
  <si>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</si>
  <si>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</si>
  <si>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</si>
  <si>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</si>
  <si>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</si>
  <si>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</si>
  <si>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</si>
  <si>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</si>
  <si>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</si>
  <si>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</si>
  <si>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</si>
  <si>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</si>
  <si>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</si>
  <si>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</si>
  <si>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</si>
  <si>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</si>
  <si>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</si>
  <si>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</si>
  <si>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</si>
  <si>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</si>
  <si>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</si>
  <si>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</si>
  <si>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</si>
  <si>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</si>
  <si>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</si>
  <si>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</si>
  <si>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</si>
  <si>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</si>
  <si>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</si>
  <si>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</si>
  <si>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</si>
  <si>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</si>
  <si>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</si>
  <si>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</si>
  <si>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</si>
  <si>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</si>
  <si>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</si>
  <si>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</si>
  <si>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</si>
  <si>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</si>
  <si>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</si>
  <si>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</si>
  <si>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</si>
  <si>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</si>
  <si>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</si>
  <si>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</si>
  <si>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</si>
  <si>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</si>
  <si>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</si>
  <si>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</si>
  <si>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</si>
  <si>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</si>
  <si>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</si>
  <si>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</si>
  <si>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</si>
  <si>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</si>
  <si>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</si>
  <si>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</si>
  <si>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</si>
  <si>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</si>
  <si>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</si>
  <si>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</si>
  <si>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</si>
  <si>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</si>
  <si>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</si>
  <si>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</si>
  <si>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</si>
  <si>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</si>
  <si>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</si>
  <si>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</si>
  <si>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</si>
  <si>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</si>
  <si>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</si>
  <si>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</si>
  <si>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</si>
  <si>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</si>
  <si>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</si>
  <si>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</si>
  <si>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</si>
  <si>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</si>
  <si>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</si>
  <si>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</si>
  <si>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</si>
  <si>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</si>
  <si>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</si>
  <si>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</si>
  <si>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</si>
  <si>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</si>
  <si>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</si>
  <si>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</si>
  <si>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</si>
  <si>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</si>
  <si>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</si>
  <si>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</si>
  <si>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</si>
  <si>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</si>
  <si>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</si>
  <si>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</si>
  <si>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</si>
  <si>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</si>
  <si>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</si>
  <si>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</si>
  <si>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</si>
  <si>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</si>
  <si>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</si>
  <si>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</si>
  <si>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</si>
  <si>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</si>
  <si>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</si>
  <si>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</si>
  <si>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</si>
  <si>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</si>
  <si>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</si>
  <si>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</si>
  <si>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</si>
  <si>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</si>
  <si>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</si>
  <si>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</si>
  <si>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</si>
  <si>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</si>
  <si>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</si>
  <si>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</si>
  <si>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</si>
  <si>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</si>
  <si>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</si>
  <si>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</si>
  <si>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</si>
  <si>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</si>
  <si>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</si>
  <si>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</si>
  <si>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</si>
  <si>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</si>
  <si>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</si>
  <si>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</si>
  <si>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</si>
  <si>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</si>
  <si>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</si>
  <si>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</si>
  <si>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</si>
  <si>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</si>
  <si>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</si>
  <si>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</si>
  <si>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</si>
  <si>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</si>
  <si>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</si>
  <si>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</si>
  <si>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</si>
  <si>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</si>
  <si>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</si>
  <si>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</si>
  <si>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</si>
  <si>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</si>
  <si>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</si>
  <si>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</si>
  <si>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</si>
  <si>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</si>
  <si>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</si>
  <si>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</si>
  <si>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</si>
  <si>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</si>
  <si>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</si>
  <si>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</si>
  <si>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</si>
  <si>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</si>
  <si>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</si>
  <si>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</si>
  <si>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</si>
  <si>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</si>
  <si>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</si>
  <si>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</si>
  <si>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</si>
  <si>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</si>
  <si>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</si>
  <si>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</si>
  <si>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</si>
  <si>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</si>
  <si>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</si>
  <si>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</si>
  <si>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</si>
  <si>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</si>
  <si>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</si>
  <si>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</si>
  <si>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</si>
  <si>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</si>
  <si>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</si>
  <si>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</si>
  <si>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</si>
  <si>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</si>
  <si>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</si>
  <si>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</si>
  <si>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</si>
  <si>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</si>
  <si>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</si>
  <si>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</si>
  <si>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</si>
  <si>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</si>
  <si>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</si>
  <si>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</si>
  <si>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</si>
  <si>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</si>
  <si>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</si>
  <si>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</si>
  <si>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</si>
  <si>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</si>
  <si>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</si>
  <si>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</si>
  <si>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</si>
  <si>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</si>
  <si>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</si>
  <si>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</si>
  <si>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</si>
  <si>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</si>
  <si>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</si>
  <si>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</si>
  <si>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</si>
  <si>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</si>
  <si>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</si>
  <si>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</si>
  <si>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</si>
  <si>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</si>
  <si>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</si>
  <si>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</si>
  <si>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</si>
  <si>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</si>
  <si>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</si>
  <si>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</si>
  <si>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</si>
  <si>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</si>
  <si>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</si>
  <si>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</si>
  <si>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</si>
  <si>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</si>
  <si>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</si>
  <si>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</si>
  <si>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</si>
  <si>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</si>
  <si>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</si>
  <si>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</si>
  <si>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</si>
  <si>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</si>
  <si>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</si>
  <si>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</si>
  <si>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</si>
  <si>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</si>
  <si>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</si>
  <si>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</si>
  <si>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</si>
  <si>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</si>
  <si>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</si>
  <si>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</si>
  <si>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</si>
  <si>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</si>
  <si>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</si>
  <si>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</si>
  <si>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</si>
  <si>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</si>
  <si>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</si>
  <si>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</si>
  <si>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</si>
  <si>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</si>
  <si>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</si>
  <si>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</si>
  <si>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</si>
  <si>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</si>
  <si>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</si>
  <si>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</si>
  <si>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</si>
  <si>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</si>
  <si>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</si>
  <si>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</si>
  <si>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</si>
  <si>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</si>
  <si>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</si>
  <si>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</si>
  <si>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</si>
  <si>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</si>
  <si>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</si>
  <si>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</si>
  <si>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</si>
  <si>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</si>
  <si>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</si>
  <si>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</si>
  <si>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</si>
  <si>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</si>
  <si>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</si>
  <si>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</si>
  <si>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</si>
  <si>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</si>
  <si>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</si>
  <si>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</si>
  <si>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</si>
  <si>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</si>
  <si>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</si>
  <si>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</si>
  <si>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</si>
  <si>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</si>
  <si>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</si>
  <si>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</si>
  <si>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</si>
  <si>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</si>
  <si>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</si>
  <si>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</si>
  <si>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</si>
  <si>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</si>
  <si>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</si>
  <si>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</si>
  <si>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</si>
  <si>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</si>
  <si>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</si>
  <si>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</si>
  <si>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</si>
  <si>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</si>
  <si>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</si>
  <si>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</si>
  <si>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</si>
  <si>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</si>
  <si>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</si>
  <si>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</si>
  <si>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</si>
  <si>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</si>
  <si>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</si>
  <si>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</si>
  <si>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</si>
  <si>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</si>
  <si>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</si>
  <si>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</si>
  <si>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</si>
  <si>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</si>
  <si>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</si>
  <si>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</si>
  <si>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</si>
  <si>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</si>
  <si>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</si>
  <si>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</si>
  <si>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</si>
  <si>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</si>
  <si>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</si>
  <si>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</si>
  <si>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</si>
  <si>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</si>
  <si>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</si>
  <si>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</si>
  <si>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</si>
  <si>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</si>
  <si>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</si>
  <si>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</si>
  <si>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</si>
  <si>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</si>
  <si>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</si>
  <si>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</si>
  <si>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</si>
  <si>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</si>
  <si>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</si>
  <si>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</si>
  <si>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</si>
  <si>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</si>
  <si>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</si>
  <si>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</si>
  <si>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</si>
  <si>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</si>
  <si>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</si>
  <si>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</si>
  <si>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</si>
  <si>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</si>
  <si>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</si>
  <si>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</si>
  <si>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</si>
  <si>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</si>
  <si>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</si>
  <si>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</si>
  <si>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</si>
  <si>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</si>
  <si>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</si>
  <si>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</si>
  <si>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</si>
  <si>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</si>
  <si>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</si>
  <si>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</si>
  <si>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</si>
  <si>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</si>
  <si>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</si>
  <si>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</si>
  <si>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</si>
  <si>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</si>
  <si>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</si>
  <si>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</si>
  <si>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</si>
  <si>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</si>
  <si>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</si>
  <si>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</si>
  <si>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</si>
  <si>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</si>
  <si>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</si>
  <si>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</si>
  <si>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</si>
  <si>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</si>
  <si>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</si>
  <si>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</si>
  <si>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</si>
  <si>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</si>
  <si>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</si>
  <si>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</si>
  <si>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</si>
  <si>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</si>
  <si>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</si>
  <si>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</si>
  <si>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</si>
  <si>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</si>
  <si>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</si>
  <si>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</si>
  <si>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</si>
  <si>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</si>
  <si>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</si>
  <si>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</si>
  <si>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</si>
  <si>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</si>
  <si>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</si>
  <si>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</si>
  <si>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</si>
  <si>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</si>
  <si>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</si>
  <si>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</si>
  <si>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</si>
  <si>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</si>
  <si>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</si>
  <si>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</si>
  <si>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</si>
  <si>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</si>
  <si>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</si>
  <si>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</si>
  <si>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</si>
  <si>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</si>
  <si>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</si>
  <si>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</si>
  <si>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</si>
  <si>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</si>
  <si>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</si>
  <si>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</si>
  <si>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</si>
  <si>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</si>
  <si>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</si>
  <si>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</si>
  <si>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</si>
  <si>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</si>
  <si>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</si>
  <si>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</si>
  <si>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</si>
  <si>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</si>
  <si>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</si>
  <si>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</si>
  <si>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</si>
  <si>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</si>
  <si>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</si>
  <si>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</si>
  <si>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</si>
  <si>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</si>
  <si>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</si>
  <si>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</si>
  <si>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</si>
  <si>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</si>
  <si>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</si>
  <si>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</si>
  <si>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</si>
  <si>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</si>
  <si>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</si>
  <si>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</si>
  <si>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</si>
  <si>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</si>
  <si>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</si>
  <si>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</si>
  <si>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</si>
  <si>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</si>
  <si>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</si>
  <si>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</si>
  <si>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</si>
  <si>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</si>
  <si>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</si>
  <si>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</si>
  <si>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</si>
  <si>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</si>
  <si>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</si>
  <si>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</si>
  <si>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</si>
  <si>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</si>
  <si>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</si>
  <si>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</si>
  <si>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</si>
  <si>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</si>
  <si>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</si>
  <si>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</si>
  <si>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</si>
  <si>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</si>
  <si>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</si>
  <si>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</si>
  <si>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</si>
  <si>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</si>
  <si>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</si>
  <si>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</si>
  <si>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</si>
  <si>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</si>
  <si>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</si>
  <si>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</si>
  <si>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</si>
  <si>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</si>
  <si>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</si>
  <si>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</si>
  <si>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</si>
  <si>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</si>
  <si>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</si>
  <si>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</si>
  <si>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</si>
  <si>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</si>
  <si>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</si>
  <si>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</si>
  <si>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</si>
  <si>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</si>
  <si>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</si>
  <si>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</si>
  <si>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</si>
  <si>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</si>
  <si>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</si>
  <si>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</si>
  <si>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</si>
  <si>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</si>
  <si>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</si>
  <si>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</si>
  <si>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</si>
  <si>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</si>
  <si>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</si>
  <si>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</si>
  <si>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</si>
  <si>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</si>
  <si>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</si>
  <si>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</si>
  <si>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</si>
  <si>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</si>
  <si>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</si>
  <si>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</si>
  <si>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</si>
  <si>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</si>
  <si>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</si>
  <si>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</si>
  <si>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</si>
  <si>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</si>
  <si>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</si>
  <si>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</si>
  <si>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</si>
  <si>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</si>
  <si>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</si>
  <si>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</si>
  <si>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</si>
  <si>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</si>
  <si>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</si>
  <si>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</si>
  <si>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</si>
  <si>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</si>
  <si>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</si>
  <si>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</si>
  <si>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</si>
  <si>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</si>
  <si>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</si>
  <si>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</si>
  <si>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</si>
  <si>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</si>
  <si>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</si>
  <si>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</si>
  <si>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</si>
  <si>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</si>
  <si>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</si>
  <si>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</si>
  <si>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</si>
  <si>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</si>
  <si>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</si>
  <si>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</si>
  <si>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</si>
  <si>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</si>
  <si>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</si>
  <si>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</si>
  <si>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</si>
  <si>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</si>
  <si>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</si>
  <si>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</si>
  <si>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</si>
  <si>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</si>
  <si>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</si>
  <si>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</si>
  <si>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</si>
  <si>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</si>
  <si>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</si>
  <si>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</si>
  <si>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</si>
  <si>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</si>
  <si>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</si>
  <si>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</si>
  <si>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</si>
  <si>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</si>
  <si>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</si>
  <si>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</si>
  <si>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</si>
  <si>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</si>
  <si>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</si>
  <si>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</si>
  <si>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</si>
  <si>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</si>
  <si>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</si>
  <si>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</si>
  <si>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</si>
  <si>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</si>
  <si>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</si>
  <si>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</si>
  <si>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</si>
  <si>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</si>
  <si>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</si>
  <si>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</si>
  <si>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</si>
  <si>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</si>
  <si>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</si>
  <si>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</si>
  <si>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</si>
  <si>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</si>
  <si>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</si>
  <si>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</si>
  <si>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</si>
  <si>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</si>
  <si>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</si>
  <si>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</si>
  <si>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</si>
  <si>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</si>
  <si>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</si>
  <si>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</si>
  <si>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</si>
  <si>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</si>
  <si>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</si>
  <si>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</si>
  <si>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</si>
  <si>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</si>
  <si>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</si>
  <si>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</si>
  <si>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</si>
  <si>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</si>
  <si>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</si>
  <si>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</si>
  <si>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</si>
  <si>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</si>
  <si>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</si>
  <si>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</si>
  <si>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</si>
  <si>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</si>
  <si>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</si>
  <si>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</si>
  <si>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</si>
  <si>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</si>
  <si>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</si>
  <si>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</si>
  <si>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</si>
  <si>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</si>
  <si>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</si>
  <si>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</si>
  <si>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</si>
  <si>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</si>
  <si>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</si>
  <si>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</si>
  <si>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</si>
  <si>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</si>
  <si>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</si>
  <si>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</si>
  <si>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</si>
  <si>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</si>
  <si>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</si>
  <si>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</si>
  <si>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</si>
  <si>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</si>
  <si>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</si>
  <si>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</si>
  <si>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</si>
  <si>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</si>
  <si>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</si>
  <si>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</si>
  <si>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</si>
  <si>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</si>
  <si>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</si>
  <si>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</si>
  <si>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</si>
  <si>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</si>
  <si>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</si>
  <si>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</si>
  <si>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</si>
  <si>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</si>
  <si>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</si>
  <si>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</si>
  <si>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</si>
  <si>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</si>
  <si>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</si>
  <si>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</si>
  <si>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</si>
  <si>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</si>
  <si>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</si>
  <si>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</si>
  <si>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</si>
  <si>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</si>
  <si>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</si>
  <si>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</si>
  <si>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</si>
  <si>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</si>
  <si>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</si>
  <si>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</si>
  <si>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</si>
  <si>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</si>
  <si>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</si>
  <si>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</si>
  <si>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</si>
  <si>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</si>
  <si>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</si>
  <si>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</si>
  <si>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</si>
  <si>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</si>
  <si>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</si>
  <si>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</si>
  <si>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</si>
  <si>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</si>
  <si>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</si>
  <si>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</si>
  <si>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</si>
  <si>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</si>
  <si>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</si>
  <si>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</si>
  <si>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</si>
  <si>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</si>
  <si>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</si>
  <si>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</si>
  <si>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</si>
  <si>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</si>
  <si>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</si>
  <si>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</si>
  <si>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</si>
  <si>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</si>
  <si>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</si>
  <si>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</si>
  <si>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</si>
  <si>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</si>
  <si>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</si>
  <si>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</si>
  <si>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</si>
  <si>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</si>
  <si>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</si>
  <si>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</si>
  <si>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</si>
  <si>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</si>
  <si>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</si>
  <si>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</si>
  <si>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</si>
  <si>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</si>
  <si>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</si>
  <si>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</si>
  <si>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</si>
  <si>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</si>
  <si>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</si>
  <si>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</si>
  <si>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</si>
  <si>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</si>
  <si>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</si>
  <si>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</si>
  <si>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</si>
  <si>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</si>
  <si>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</si>
  <si>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</si>
  <si>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</si>
  <si>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</si>
  <si>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</si>
  <si>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</si>
  <si>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</si>
  <si>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</si>
  <si>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</si>
  <si>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</si>
  <si>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</si>
  <si>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</si>
  <si>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</si>
  <si>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</si>
  <si>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</si>
  <si>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</si>
  <si>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</si>
  <si>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</si>
  <si>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</si>
  <si>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</si>
  <si>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</si>
  <si>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</si>
  <si>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</si>
  <si>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</si>
  <si>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</si>
  <si>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</si>
  <si>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</si>
  <si>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</si>
  <si>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</si>
  <si>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</si>
  <si>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</si>
  <si>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</si>
  <si>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</si>
  <si>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</si>
  <si>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</si>
  <si>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</si>
  <si>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</si>
  <si>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</si>
  <si>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</si>
  <si>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</si>
  <si>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</si>
  <si>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</si>
  <si>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</si>
  <si>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</si>
  <si>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</si>
  <si>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</si>
  <si>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</si>
  <si>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</si>
  <si>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</si>
  <si>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</si>
  <si>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</si>
  <si>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</si>
  <si>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</si>
  <si>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</si>
  <si>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</si>
  <si>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</si>
  <si>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</si>
  <si>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</si>
  <si>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</si>
  <si>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</si>
  <si>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</si>
  <si>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</si>
  <si>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</si>
  <si>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</si>
  <si>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</si>
  <si>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</si>
  <si>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</si>
  <si>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</si>
  <si>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</si>
  <si>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</si>
  <si>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</si>
  <si>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</si>
  <si>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</si>
  <si>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</si>
  <si>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</si>
  <si>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</si>
  <si>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</si>
  <si>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</si>
  <si>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</si>
  <si>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</si>
  <si>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</si>
  <si>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</si>
  <si>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</si>
  <si>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</si>
  <si>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</si>
  <si>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</si>
  <si>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</si>
  <si>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</si>
  <si>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</si>
  <si>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</si>
  <si>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</si>
  <si>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</si>
  <si>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</si>
  <si>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</si>
  <si>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</si>
  <si>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</si>
  <si>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</si>
  <si>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</si>
  <si>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</si>
  <si>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</si>
  <si>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</si>
  <si>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</si>
  <si>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</si>
  <si>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</si>
  <si>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</si>
  <si>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</si>
  <si>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</si>
  <si>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</si>
  <si>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</si>
  <si>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</si>
  <si>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</si>
  <si>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</si>
  <si>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</si>
  <si>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</si>
  <si>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</si>
  <si>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</si>
  <si>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</si>
  <si>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</si>
  <si>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</si>
  <si>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</si>
  <si>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</si>
  <si>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</si>
  <si>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</si>
  <si>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</si>
  <si>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</si>
  <si>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</si>
  <si>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</si>
  <si>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</si>
  <si>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</si>
  <si>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</si>
  <si>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</si>
  <si>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</si>
  <si>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</si>
  <si>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</si>
  <si>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</si>
  <si>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</si>
  <si>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</si>
  <si>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</si>
  <si>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</si>
  <si>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</si>
  <si>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</si>
  <si>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</si>
  <si>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</si>
  <si>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</si>
  <si>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</si>
  <si>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</si>
  <si>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</si>
  <si>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</si>
  <si>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</si>
  <si>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</si>
  <si>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</si>
  <si>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</si>
  <si>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</si>
  <si>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</si>
  <si>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</si>
  <si>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</si>
  <si>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</si>
  <si>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</si>
  <si>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</si>
  <si>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</si>
  <si>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</si>
  <si>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</si>
  <si>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</si>
  <si>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</si>
  <si>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</si>
  <si>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</si>
  <si>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</si>
  <si>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</si>
  <si>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</si>
  <si>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</si>
  <si>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</si>
  <si>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</si>
  <si>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</si>
  <si>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</si>
  <si>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</si>
  <si>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</si>
  <si>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</si>
  <si>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</si>
  <si>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</si>
  <si>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</si>
  <si>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</si>
  <si>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</si>
  <si>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</si>
  <si>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</si>
  <si>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</si>
  <si>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</si>
  <si>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</si>
  <si>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</si>
  <si>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</si>
  <si>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</si>
  <si>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</si>
  <si>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</si>
  <si>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</si>
  <si>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</si>
  <si>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</si>
  <si>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</si>
  <si>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</si>
  <si>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</si>
  <si>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</si>
  <si>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</si>
  <si>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</si>
  <si>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</si>
  <si>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</si>
  <si>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</si>
  <si>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</si>
  <si>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</si>
  <si>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</si>
  <si>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</si>
  <si>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</si>
  <si>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</si>
  <si>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</si>
  <si>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</si>
  <si>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</si>
  <si>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</si>
  <si>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</si>
  <si>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</si>
  <si>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</si>
  <si>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</si>
  <si>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</si>
  <si>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</si>
  <si>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</si>
  <si>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</si>
  <si>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</si>
  <si>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</si>
  <si>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</si>
  <si>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</si>
  <si>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</si>
  <si>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</si>
  <si>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</si>
  <si>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</si>
  <si>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</si>
  <si>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</si>
  <si>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</si>
  <si>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</si>
  <si>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</si>
  <si>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</si>
  <si>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</si>
  <si>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</si>
  <si>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</si>
  <si>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</si>
  <si>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</si>
  <si>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</si>
  <si>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</si>
  <si>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</si>
  <si>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</si>
  <si>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</si>
  <si>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</si>
  <si>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</si>
  <si>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</si>
  <si>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</si>
  <si>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</si>
  <si>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</si>
  <si>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</si>
  <si>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</si>
  <si>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</si>
  <si>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</si>
  <si>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</si>
  <si>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</si>
  <si>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</si>
  <si>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</si>
  <si>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</si>
  <si>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</si>
  <si>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</si>
  <si>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</si>
  <si>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</si>
  <si>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</si>
  <si>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</si>
  <si>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</si>
  <si>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</si>
  <si>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</si>
  <si>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</si>
  <si>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</si>
  <si>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</si>
  <si>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</si>
  <si>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</si>
  <si>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</si>
  <si>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</si>
  <si>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</si>
  <si>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</si>
  <si>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</si>
  <si>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</si>
  <si>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</si>
  <si>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</si>
  <si>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</si>
  <si>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</si>
  <si>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</si>
  <si>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</si>
  <si>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</si>
  <si>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</si>
  <si>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</si>
  <si>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</si>
  <si>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</si>
  <si>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</si>
  <si>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</si>
  <si>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</si>
  <si>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</si>
  <si>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</si>
  <si>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</si>
  <si>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</si>
  <si>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</si>
  <si>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</si>
  <si>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</si>
  <si>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</si>
  <si>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</si>
  <si>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</si>
  <si>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</si>
  <si>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</si>
  <si>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</si>
  <si>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</si>
  <si>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</si>
  <si>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</si>
  <si>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</si>
  <si>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</si>
  <si>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</si>
  <si>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</si>
  <si>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</si>
  <si>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</si>
  <si>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</si>
  <si>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</si>
  <si>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</si>
  <si>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</si>
  <si>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</si>
  <si>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</si>
  <si>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</si>
  <si>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</si>
  <si>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</si>
  <si>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</si>
  <si>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</si>
  <si>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</si>
  <si>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</si>
  <si>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</si>
  <si>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</si>
  <si>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</si>
  <si>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</si>
  <si>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</si>
  <si>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</si>
  <si>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</si>
  <si>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</si>
  <si>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</si>
  <si>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</si>
  <si>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</si>
  <si>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</si>
  <si>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</si>
  <si>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</si>
  <si>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</si>
  <si>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</si>
  <si>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</si>
  <si>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</si>
  <si>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</si>
  <si>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</si>
  <si>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</si>
  <si>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</si>
  <si>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</si>
  <si>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</si>
  <si>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</si>
  <si>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</si>
  <si>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</si>
  <si>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</si>
  <si>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</si>
  <si>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</si>
  <si>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</si>
  <si>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</si>
  <si>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</si>
  <si>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</si>
  <si>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</si>
  <si>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</si>
  <si>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</si>
  <si>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</si>
  <si>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</si>
  <si>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</si>
  <si>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</si>
  <si>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</si>
  <si>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</si>
  <si>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</si>
  <si>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</si>
  <si>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</si>
  <si>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</si>
  <si>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</si>
  <si>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</si>
  <si>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</si>
  <si>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</si>
  <si>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</si>
  <si>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</si>
  <si>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</si>
  <si>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</si>
  <si>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</si>
  <si>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</si>
  <si>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</si>
  <si>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</si>
  <si>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</si>
  <si>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</si>
  <si>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</si>
  <si>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</si>
  <si>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</si>
  <si>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</si>
  <si>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</si>
  <si>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</si>
  <si>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</si>
  <si>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</si>
  <si>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</si>
  <si>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</si>
  <si>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</si>
  <si>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</si>
  <si>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</si>
  <si>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</si>
  <si>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</si>
  <si>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</si>
  <si>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</si>
  <si>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</si>
  <si>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</si>
  <si>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</si>
  <si>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</si>
  <si>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</si>
  <si>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</si>
  <si>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</si>
  <si>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</si>
  <si>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</si>
  <si>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</si>
  <si>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</si>
  <si>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</si>
  <si>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</si>
  <si>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</si>
  <si>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</si>
  <si>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</si>
  <si>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</si>
  <si>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</si>
  <si>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</si>
  <si>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</si>
  <si>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</si>
  <si>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</si>
  <si>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</si>
  <si>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</si>
  <si>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</si>
  <si>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</si>
  <si>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</si>
  <si>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</si>
  <si>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</si>
  <si>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</si>
  <si>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</si>
  <si>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</si>
  <si>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</si>
  <si>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</si>
  <si>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</si>
  <si>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</si>
  <si>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</si>
  <si>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</si>
  <si>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</si>
  <si>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</si>
  <si>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</si>
  <si>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</si>
  <si>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</si>
  <si>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</si>
  <si>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</si>
  <si>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</si>
  <si>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</si>
  <si>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</si>
  <si>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</si>
  <si>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</si>
  <si>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</si>
  <si>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</si>
  <si>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</si>
  <si>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</si>
  <si>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</si>
  <si>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</si>
  <si>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</si>
  <si>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</si>
  <si>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</si>
  <si>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</si>
  <si>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</si>
  <si>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</si>
  <si>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</si>
  <si>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</si>
  <si>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</si>
  <si>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</si>
  <si>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</si>
  <si>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</si>
  <si>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</si>
  <si>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</si>
  <si>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</si>
  <si>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</si>
  <si>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</si>
  <si>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</si>
  <si>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</si>
  <si>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</si>
  <si>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</si>
  <si>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</si>
  <si>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</si>
  <si>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</si>
  <si>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</si>
  <si>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</si>
  <si>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</si>
  <si>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</si>
  <si>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</si>
  <si>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</si>
  <si>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</si>
  <si>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</si>
  <si>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</si>
  <si>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</si>
  <si>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</si>
  <si>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</si>
  <si>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</si>
  <si>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</si>
  <si>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</si>
  <si>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</si>
  <si>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</si>
  <si>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</si>
  <si>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</si>
  <si>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</si>
  <si>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</si>
  <si>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</si>
  <si>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</si>
  <si>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</si>
  <si>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</si>
  <si>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</si>
  <si>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</si>
  <si>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</si>
  <si>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</si>
  <si>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</si>
  <si>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</si>
  <si>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</si>
  <si>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</si>
  <si>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</si>
  <si>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</si>
  <si>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</si>
  <si>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</si>
  <si>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</si>
  <si>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</si>
  <si>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</si>
  <si>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</si>
  <si>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</si>
  <si>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</si>
  <si>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</si>
  <si>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</si>
  <si>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</si>
  <si>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</si>
  <si>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</si>
  <si>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</si>
  <si>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</si>
  <si>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</si>
  <si>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</si>
  <si>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</si>
  <si>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</si>
  <si>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</si>
  <si>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</si>
  <si>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</si>
  <si>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</si>
  <si>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</si>
  <si>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</si>
  <si>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</si>
  <si>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</si>
  <si>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</si>
  <si>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</si>
  <si>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</si>
  <si>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</si>
  <si>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</si>
  <si>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</si>
  <si>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</si>
  <si>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</si>
  <si>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</si>
  <si>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</si>
  <si>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</si>
  <si>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</si>
  <si>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</si>
  <si>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</si>
  <si>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</si>
  <si>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</si>
  <si>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</si>
  <si>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</si>
  <si>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</si>
  <si>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</si>
  <si>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</si>
  <si>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</si>
  <si>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</si>
  <si>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</si>
  <si>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</si>
  <si>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</si>
  <si>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</si>
  <si>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</si>
  <si>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</si>
  <si>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</si>
  <si>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</si>
  <si>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</si>
  <si>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</si>
  <si>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</si>
  <si>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</si>
  <si>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</si>
  <si>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</si>
  <si>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</si>
  <si>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</si>
  <si>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</si>
  <si>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</si>
  <si>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</si>
  <si>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</si>
  <si>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</si>
  <si>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</si>
  <si>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</si>
  <si>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</si>
  <si>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</si>
  <si>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</si>
  <si>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</si>
  <si>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</si>
  <si>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</si>
  <si>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</si>
  <si>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</si>
  <si>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</si>
  <si>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</si>
  <si>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</si>
  <si>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</si>
  <si>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</si>
  <si>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</si>
  <si>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</si>
  <si>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</si>
  <si>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</si>
  <si>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</si>
  <si>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</si>
  <si>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</si>
  <si>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</si>
  <si>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</si>
  <si>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</si>
  <si>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</si>
  <si>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</si>
  <si>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</si>
  <si>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</si>
  <si>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</si>
  <si>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</si>
  <si>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</si>
  <si>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</si>
  <si>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</si>
  <si>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</si>
  <si>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</si>
  <si>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</si>
  <si>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</si>
  <si>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</si>
  <si>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</si>
  <si>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</si>
  <si>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</si>
  <si>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</si>
  <si>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</si>
  <si>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</si>
  <si>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</si>
  <si>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</si>
  <si>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</si>
  <si>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</si>
  <si>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</si>
  <si>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</si>
  <si>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</si>
  <si>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</si>
  <si>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</si>
  <si>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</si>
  <si>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</si>
  <si>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</si>
  <si>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</si>
  <si>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</si>
  <si>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</si>
  <si>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</si>
  <si>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</si>
  <si>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</si>
  <si>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</si>
  <si>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</si>
  <si>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</si>
  <si>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</si>
  <si>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</si>
  <si>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</si>
  <si>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</si>
  <si>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</si>
  <si>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</si>
  <si>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</si>
  <si>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</si>
  <si>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</si>
  <si>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</si>
  <si>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</si>
  <si>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</si>
  <si>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</si>
  <si>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</si>
  <si>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</si>
  <si>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</si>
  <si>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</si>
  <si>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</si>
  <si>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</si>
  <si>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</si>
  <si>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</si>
  <si>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</si>
  <si>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</si>
  <si>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</si>
  <si>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</si>
  <si>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</si>
  <si>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</si>
  <si>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</si>
  <si>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</si>
  <si>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</si>
  <si>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</si>
  <si>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</si>
  <si>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</si>
  <si>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</si>
  <si>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</si>
  <si>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</si>
  <si>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</si>
  <si>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</si>
  <si>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</si>
  <si>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</si>
  <si>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</si>
  <si>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</si>
  <si>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</si>
  <si>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</si>
  <si>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</si>
  <si>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</si>
  <si>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</si>
  <si>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</si>
  <si>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</si>
  <si>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</si>
  <si>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</si>
  <si>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</si>
  <si>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</si>
  <si>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</si>
  <si>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</si>
  <si>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</si>
  <si>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</si>
  <si>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</si>
  <si>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</si>
  <si>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</si>
  <si>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</si>
  <si>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</si>
  <si>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</si>
  <si>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</si>
  <si>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</si>
  <si>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</si>
  <si>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</si>
  <si>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</si>
  <si>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</si>
  <si>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</si>
  <si>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</si>
  <si>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</si>
  <si>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</si>
  <si>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</si>
  <si>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</si>
  <si>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</si>
  <si>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</si>
  <si>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</si>
  <si>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</si>
  <si>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</si>
  <si>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</si>
  <si>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</si>
  <si>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</si>
  <si>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</si>
  <si>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</si>
  <si>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</si>
  <si>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</si>
  <si>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</si>
  <si>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</si>
  <si>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</si>
  <si>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</si>
  <si>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</si>
  <si>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</si>
  <si>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</si>
  <si>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</si>
  <si>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</si>
  <si>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</si>
  <si>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</si>
  <si>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</si>
  <si>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</si>
  <si>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</si>
  <si>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</si>
  <si>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</si>
  <si>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</si>
  <si>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</si>
  <si>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</si>
  <si>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</si>
  <si>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</si>
  <si>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</si>
  <si>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</si>
  <si>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</si>
  <si>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</si>
  <si>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</si>
  <si>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</si>
  <si>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</si>
  <si>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</si>
  <si>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</si>
  <si>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</si>
  <si>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</si>
  <si>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</si>
  <si>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</si>
  <si>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</si>
  <si>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</si>
  <si>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</si>
  <si>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</si>
  <si>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</si>
  <si>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</si>
  <si>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</si>
  <si>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</si>
  <si>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</si>
  <si>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</si>
  <si>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</si>
  <si>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</si>
  <si>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</si>
  <si>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</si>
  <si>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</si>
  <si>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</si>
  <si>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</si>
  <si>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</si>
  <si>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</si>
  <si>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</si>
  <si>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</si>
  <si>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</si>
  <si>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</si>
  <si>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</si>
  <si>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</si>
  <si>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</si>
  <si>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</si>
  <si>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</si>
  <si>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</si>
  <si>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</si>
  <si>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</si>
  <si>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</si>
  <si>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</si>
  <si>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</si>
  <si>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</si>
  <si>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</si>
  <si>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</si>
  <si>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</si>
  <si>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</si>
  <si>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</si>
  <si>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</si>
  <si>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</si>
  <si>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</si>
  <si>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</si>
  <si>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</si>
  <si>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</si>
  <si>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</si>
  <si>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</si>
  <si>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</si>
  <si>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</si>
  <si>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</si>
  <si>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</si>
  <si>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</si>
  <si>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</si>
  <si>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</si>
  <si>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</si>
  <si>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</si>
  <si>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</si>
  <si>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</si>
  <si>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</si>
  <si>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</si>
  <si>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</si>
  <si>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</si>
  <si>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</si>
  <si>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</si>
  <si>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</si>
  <si>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</si>
  <si>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</si>
  <si>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</si>
  <si>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</si>
  <si>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</si>
  <si>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</si>
  <si>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</si>
  <si>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</si>
  <si>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</si>
  <si>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</si>
  <si>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</si>
  <si>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</si>
  <si>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</si>
  <si>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</si>
  <si>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</si>
  <si>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</si>
  <si>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</si>
  <si>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</si>
  <si>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</si>
  <si>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</si>
  <si>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</si>
  <si>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</si>
  <si>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</si>
  <si>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</si>
  <si>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</si>
  <si>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</si>
  <si>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</si>
  <si>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</si>
  <si>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</si>
  <si>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</si>
  <si>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</si>
  <si>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</si>
  <si>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</si>
  <si>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</si>
  <si>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</si>
  <si>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</si>
  <si>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</si>
  <si>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</si>
  <si>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</si>
  <si>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</si>
  <si>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</si>
  <si>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</si>
  <si>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</si>
  <si>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</si>
  <si>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</si>
  <si>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</si>
  <si>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</si>
  <si>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</si>
  <si>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</si>
  <si>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</si>
  <si>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</si>
  <si>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</si>
  <si>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</si>
  <si>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</si>
  <si>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</si>
  <si>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</si>
  <si>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</si>
  <si>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</si>
  <si>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</si>
  <si>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</si>
  <si>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</si>
  <si>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</si>
  <si>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</si>
  <si>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</si>
  <si>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</si>
  <si>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</si>
  <si>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</si>
  <si>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</si>
  <si>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</si>
  <si>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</si>
  <si>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</si>
  <si>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</si>
  <si>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</si>
  <si>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</si>
  <si>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</si>
  <si>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</si>
  <si>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</si>
  <si>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</si>
  <si>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</si>
  <si>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</si>
  <si>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</si>
  <si>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</si>
  <si>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</si>
  <si>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</si>
  <si>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</si>
  <si>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</si>
  <si>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</si>
  <si>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</si>
  <si>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</si>
  <si>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</si>
  <si>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</si>
  <si>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</si>
  <si>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</si>
  <si>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</si>
  <si>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</si>
  <si>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</si>
  <si>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</si>
  <si>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</si>
  <si>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</si>
  <si>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</si>
  <si>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</si>
  <si>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</si>
  <si>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</si>
  <si>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</si>
  <si>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</si>
  <si>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</si>
  <si>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</si>
  <si>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</si>
  <si>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</si>
  <si>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</si>
  <si>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</si>
  <si>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</si>
  <si>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</si>
  <si>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</si>
  <si>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</si>
  <si>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</si>
  <si>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</si>
  <si>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</si>
  <si>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</si>
  <si>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</si>
  <si>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</si>
  <si>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</si>
  <si>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</si>
  <si>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</si>
  <si>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</si>
  <si>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</si>
  <si>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</si>
  <si>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</si>
  <si>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</si>
  <si>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</si>
  <si>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</si>
  <si>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</si>
  <si>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</si>
  <si>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</si>
  <si>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</si>
  <si>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</si>
  <si>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</si>
  <si>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</si>
  <si>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</si>
  <si>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</si>
  <si>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</si>
  <si>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</si>
  <si>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</si>
  <si>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</si>
  <si>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</si>
  <si>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</si>
  <si>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</si>
  <si>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</si>
  <si>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</si>
  <si>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</si>
  <si>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</si>
  <si>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</si>
  <si>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</si>
  <si>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</si>
  <si>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</si>
  <si>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</si>
  <si>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</si>
  <si>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</si>
  <si>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</si>
  <si>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</si>
  <si>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</si>
  <si>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</si>
  <si>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</si>
  <si>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</si>
  <si>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</si>
  <si>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</si>
  <si>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</si>
  <si>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</si>
  <si>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</si>
  <si>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</si>
  <si>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</si>
  <si>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</si>
  <si>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</si>
  <si>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</si>
  <si>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</si>
  <si>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</si>
  <si>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</si>
  <si>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</si>
  <si>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</si>
  <si>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</si>
  <si>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</si>
  <si>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</si>
  <si>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</si>
  <si>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</si>
  <si>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</si>
  <si>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</si>
  <si>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</si>
  <si>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</si>
  <si>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</si>
  <si>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</si>
  <si>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</si>
  <si>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</si>
  <si>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</si>
  <si>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</si>
  <si>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</si>
  <si>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</si>
  <si>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</si>
  <si>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</si>
  <si>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</si>
  <si>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</si>
  <si>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</si>
  <si>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</si>
  <si>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</si>
  <si>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</si>
  <si>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</si>
  <si>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</si>
  <si>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</si>
  <si>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</si>
  <si>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</si>
  <si>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</si>
  <si>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</si>
  <si>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</si>
  <si>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</si>
  <si>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</si>
  <si>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</si>
  <si>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</si>
  <si>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</si>
  <si>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</si>
  <si>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</si>
  <si>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</si>
  <si>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</si>
  <si>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</si>
  <si>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</si>
  <si>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</si>
  <si>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</si>
  <si>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</si>
  <si>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</si>
  <si>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</si>
  <si>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</si>
  <si>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</si>
  <si>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</si>
  <si>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</si>
  <si>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</si>
  <si>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</si>
  <si>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</si>
  <si>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</si>
  <si>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</si>
  <si>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</si>
  <si>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</si>
  <si>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</si>
  <si>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</si>
  <si>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</si>
  <si>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</si>
  <si>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</si>
  <si>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</si>
  <si>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</si>
  <si>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</si>
  <si>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</si>
  <si>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</si>
  <si>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</si>
  <si>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</si>
  <si>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</si>
  <si>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</si>
  <si>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</si>
  <si>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</si>
  <si>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</si>
  <si>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</si>
  <si>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</si>
  <si>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</si>
  <si>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</si>
  <si>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</si>
  <si>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</si>
  <si>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</si>
  <si>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</si>
  <si>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</si>
  <si>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</si>
  <si>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</si>
  <si>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</si>
  <si>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</si>
  <si>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</si>
  <si>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</si>
  <si>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</si>
  <si>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</si>
  <si>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</si>
  <si>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</si>
  <si>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</si>
  <si>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</si>
  <si>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</si>
  <si>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</si>
  <si>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</si>
  <si>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</si>
  <si>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</si>
  <si>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</si>
  <si>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</si>
  <si>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</si>
  <si>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</si>
  <si>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</si>
  <si>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</si>
  <si>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</si>
  <si>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</si>
  <si>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</si>
  <si>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</si>
  <si>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</si>
  <si>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</si>
  <si>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</si>
  <si>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</si>
  <si>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</si>
  <si>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</si>
  <si>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</si>
  <si>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</si>
  <si>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</si>
  <si>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</si>
  <si>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</si>
  <si>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</si>
  <si>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</si>
  <si>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</si>
  <si>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</si>
  <si>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</si>
  <si>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</si>
  <si>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</si>
  <si>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</si>
  <si>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</si>
  <si>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</si>
  <si>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</si>
  <si>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</si>
  <si>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</si>
  <si>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</si>
  <si>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</si>
  <si>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</si>
  <si>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</si>
  <si>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</si>
  <si>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</si>
  <si>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</si>
  <si>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</si>
  <si>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</si>
  <si>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</si>
  <si>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</si>
  <si>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</si>
  <si>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</si>
  <si>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</si>
  <si>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</si>
  <si>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</si>
  <si>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</si>
  <si>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</si>
  <si>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</si>
  <si>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</si>
  <si>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</si>
  <si>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</si>
  <si>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</si>
  <si>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</si>
  <si>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</si>
  <si>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</si>
  <si>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</si>
  <si>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</si>
  <si>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</si>
  <si>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</si>
  <si>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</si>
  <si>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</si>
  <si>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</si>
  <si>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</si>
  <si>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</si>
  <si>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</si>
  <si>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</si>
  <si>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</si>
  <si>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</si>
  <si>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</si>
  <si>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</si>
  <si>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</si>
  <si>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</si>
  <si>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</si>
  <si>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</si>
  <si>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</si>
  <si>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</si>
  <si>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</si>
  <si>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</si>
  <si>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</si>
  <si>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</si>
  <si>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</si>
  <si>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</si>
  <si>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</si>
  <si>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</si>
  <si>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</si>
  <si>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</si>
  <si>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</si>
  <si>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</si>
  <si>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</si>
  <si>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</si>
  <si>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</si>
  <si>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</si>
  <si>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</si>
  <si>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</si>
  <si>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</si>
  <si>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</si>
  <si>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</si>
  <si>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</si>
  <si>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</si>
  <si>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</si>
  <si>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</si>
  <si>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</si>
  <si>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</si>
  <si>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</si>
  <si>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</si>
  <si>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</si>
  <si>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</si>
  <si>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</si>
  <si>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</si>
  <si>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</si>
  <si>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</si>
  <si>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</si>
  <si>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</si>
  <si>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</si>
  <si>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</si>
  <si>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</si>
  <si>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</si>
  <si>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</si>
  <si>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</si>
  <si>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</si>
  <si>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</si>
  <si>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</si>
  <si>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</si>
  <si>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</si>
  <si>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</si>
  <si>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</si>
  <si>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</si>
  <si>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</si>
  <si>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</si>
  <si>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</si>
  <si>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</si>
  <si>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</si>
  <si>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</si>
  <si>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</si>
  <si>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</si>
  <si>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</si>
  <si>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</si>
  <si>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</si>
  <si>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</si>
  <si>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</si>
  <si>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</si>
  <si>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</si>
  <si>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</si>
  <si>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</si>
  <si>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</si>
  <si>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</si>
  <si>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</si>
  <si>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</si>
  <si>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</si>
  <si>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</si>
  <si>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</si>
  <si>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</si>
  <si>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</si>
  <si>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</si>
  <si>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</si>
  <si>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</si>
  <si>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</si>
  <si>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</si>
  <si>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</si>
  <si>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</si>
  <si>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</si>
  <si>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</si>
  <si>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</si>
  <si>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</si>
  <si>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</si>
  <si>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</si>
  <si>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</si>
  <si>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</si>
  <si>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</si>
  <si>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</si>
  <si>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</si>
  <si>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</si>
  <si>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</si>
  <si>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</si>
  <si>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</si>
  <si>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</si>
  <si>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</si>
  <si>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</si>
  <si>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</si>
  <si>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</si>
  <si>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</si>
  <si>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</si>
  <si>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</si>
  <si>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</si>
  <si>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</si>
  <si>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</si>
  <si>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</si>
  <si>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</si>
  <si>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</si>
  <si>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</si>
  <si>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</si>
  <si>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</si>
  <si>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</si>
  <si>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</si>
  <si>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</si>
  <si>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</si>
  <si>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</si>
  <si>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</si>
  <si>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</si>
  <si>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</si>
  <si>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</si>
  <si>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</si>
  <si>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</si>
  <si>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</si>
  <si>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</si>
  <si>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</si>
  <si>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</si>
  <si>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</si>
  <si>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</si>
  <si>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</si>
  <si>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</si>
  <si>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</si>
  <si>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</si>
  <si>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</si>
  <si>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</si>
  <si>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</si>
  <si>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</si>
  <si>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</si>
  <si>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</si>
  <si>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</si>
  <si>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</si>
  <si>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</si>
  <si>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</si>
  <si>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</si>
  <si>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</si>
  <si>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</si>
  <si>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</si>
  <si>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</si>
  <si>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</si>
  <si>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</si>
  <si>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</si>
  <si>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</si>
  <si>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</si>
  <si>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</si>
  <si>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</si>
  <si>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</si>
  <si>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</si>
  <si>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</si>
  <si>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</si>
  <si>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</si>
  <si>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</si>
  <si>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</si>
  <si>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</si>
  <si>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</si>
  <si>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</si>
  <si>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</si>
  <si>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</si>
  <si>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</si>
  <si>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</si>
  <si>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</si>
  <si>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</si>
  <si>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</si>
  <si>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</si>
  <si>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</si>
  <si>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</si>
  <si>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</si>
  <si>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</si>
  <si>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</si>
  <si>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</si>
  <si>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</si>
  <si>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</si>
  <si>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</si>
  <si>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</si>
  <si>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</si>
  <si>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</si>
  <si>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</si>
  <si>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</si>
  <si>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</si>
  <si>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</si>
  <si>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</si>
  <si>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</si>
  <si>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</si>
  <si>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</si>
  <si>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</si>
  <si>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</si>
  <si>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</si>
  <si>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</si>
  <si>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</si>
  <si>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</si>
  <si>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</si>
  <si>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</si>
  <si>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</si>
  <si>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</si>
  <si>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</si>
  <si>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</si>
  <si>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</si>
  <si>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</si>
  <si>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</si>
  <si>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</si>
  <si>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</si>
  <si>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</si>
  <si>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</si>
  <si>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</si>
  <si>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</si>
  <si>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</si>
  <si>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</si>
  <si>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</si>
  <si>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</si>
  <si>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</si>
  <si>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</si>
  <si>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</si>
  <si>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</si>
  <si>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</si>
  <si>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</si>
  <si>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</si>
  <si>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</si>
  <si>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</si>
  <si>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</si>
  <si>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</si>
  <si>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</si>
  <si>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</si>
  <si>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</si>
  <si>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</si>
  <si>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</si>
  <si>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</si>
  <si>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</si>
  <si>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</si>
  <si>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</si>
  <si>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</si>
  <si>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</si>
  <si>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</si>
  <si>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</si>
  <si>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</si>
  <si>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</si>
  <si>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</si>
  <si>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</si>
  <si>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</si>
  <si>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</si>
  <si>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</si>
  <si>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</si>
  <si>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</si>
  <si>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</si>
  <si>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</si>
  <si>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</si>
  <si>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</si>
  <si>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</si>
  <si>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</si>
  <si>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</si>
  <si>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</si>
  <si>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</si>
  <si>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</si>
  <si>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</si>
  <si>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</si>
  <si>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</si>
  <si>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</si>
  <si>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</si>
  <si>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</si>
  <si>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</si>
  <si>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</si>
  <si>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</si>
  <si>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</si>
  <si>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</si>
  <si>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</si>
  <si>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</si>
  <si>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</si>
  <si>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</si>
  <si>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</si>
  <si>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</si>
  <si>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</si>
  <si>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</si>
  <si>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</si>
  <si>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</si>
  <si>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</si>
  <si>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</si>
  <si>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</si>
  <si>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</si>
  <si>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</si>
  <si>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</si>
  <si>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</si>
  <si>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</si>
  <si>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</si>
  <si>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</si>
  <si>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</si>
  <si>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</si>
  <si>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</si>
  <si>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</si>
  <si>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</si>
  <si>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</si>
  <si>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</si>
  <si>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</si>
  <si>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</si>
  <si>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</si>
  <si>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</si>
  <si>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</si>
  <si>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</si>
  <si>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</si>
  <si>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</si>
  <si>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</si>
  <si>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</si>
  <si>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</si>
  <si>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</si>
  <si>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</si>
  <si>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</si>
  <si>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</si>
  <si>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</si>
  <si>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</si>
  <si>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</si>
  <si>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</si>
  <si>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</si>
  <si>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</si>
  <si>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</si>
  <si>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</si>
  <si>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</si>
  <si>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</si>
  <si>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</si>
  <si>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</si>
  <si>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</si>
  <si>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</si>
  <si>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</si>
  <si>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</si>
  <si>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</si>
  <si>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</si>
  <si>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</si>
  <si>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</si>
  <si>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</si>
  <si>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</si>
  <si>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</si>
  <si>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</si>
  <si>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</si>
  <si>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</si>
  <si>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</si>
  <si>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</si>
  <si>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</si>
  <si>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</si>
  <si>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</si>
  <si>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</si>
  <si>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</si>
  <si>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</si>
  <si>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</si>
  <si>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</si>
  <si>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</si>
  <si>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</si>
  <si>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</si>
  <si>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</si>
  <si>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</si>
  <si>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</si>
  <si>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</si>
  <si>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</si>
  <si>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</si>
  <si>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</si>
  <si>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</si>
  <si>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</si>
  <si>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</si>
  <si>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</si>
  <si>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</si>
  <si>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</si>
  <si>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</si>
  <si>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</si>
  <si>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</si>
  <si>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</si>
  <si>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</si>
  <si>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</si>
  <si>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</si>
  <si>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</si>
  <si>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</si>
  <si>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</si>
  <si>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</si>
  <si>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</si>
  <si>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</si>
  <si>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</si>
  <si>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</si>
  <si>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</si>
  <si>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</si>
  <si>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</si>
  <si>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</si>
  <si>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</si>
  <si>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</si>
  <si>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</si>
  <si>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</si>
  <si>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</si>
  <si>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</si>
  <si>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</si>
  <si>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</si>
  <si>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</si>
  <si>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</si>
  <si>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</si>
  <si>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</si>
  <si>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</si>
  <si>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</si>
  <si>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</si>
  <si>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</si>
  <si>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</si>
  <si>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</si>
  <si>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</si>
  <si>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</si>
  <si>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</si>
  <si>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</si>
  <si>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</si>
  <si>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</si>
  <si>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</si>
  <si>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</si>
  <si>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</si>
  <si>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</si>
  <si>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</si>
  <si>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</si>
  <si>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</si>
  <si>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</si>
  <si>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</si>
  <si>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</si>
  <si>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</si>
  <si>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</si>
  <si>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</si>
  <si>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</si>
  <si>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</si>
  <si>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</si>
  <si>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</si>
  <si>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</si>
  <si>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</si>
  <si>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</si>
  <si>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</si>
  <si>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</si>
  <si>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</si>
  <si>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</si>
  <si>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</si>
  <si>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</si>
  <si>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</si>
  <si>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</si>
  <si>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</si>
  <si>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</si>
  <si>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</si>
  <si>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</si>
  <si>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</si>
  <si>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</si>
  <si>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</si>
  <si>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</si>
  <si>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</si>
  <si>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</si>
  <si>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</si>
  <si>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</si>
  <si>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</si>
  <si>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</si>
  <si>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</si>
  <si>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</si>
  <si>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</si>
  <si>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</si>
  <si>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</si>
  <si>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</si>
  <si>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</si>
  <si>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</si>
  <si>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</si>
  <si>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</si>
  <si>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</si>
  <si>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</si>
  <si>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</si>
  <si>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</si>
  <si>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</si>
  <si>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</si>
  <si>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</si>
  <si>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</si>
  <si>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</si>
  <si>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</si>
  <si>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</si>
  <si>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</si>
  <si>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</si>
  <si>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</si>
  <si>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</si>
  <si>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</si>
  <si>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</si>
  <si>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</si>
  <si>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</si>
  <si>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</si>
  <si>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</si>
  <si>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</si>
  <si>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</si>
  <si>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</si>
  <si>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</si>
  <si>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</si>
  <si>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</si>
  <si>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</si>
  <si>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</si>
  <si>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</si>
  <si>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</si>
  <si>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</si>
  <si>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</si>
  <si>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</si>
  <si>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</si>
  <si>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</si>
  <si>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</si>
  <si>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</si>
  <si>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</si>
  <si>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</si>
  <si>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</si>
  <si>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</si>
  <si>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</si>
  <si>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</si>
  <si>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</si>
  <si>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</si>
  <si>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</si>
  <si>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</si>
  <si>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</si>
  <si>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</si>
  <si>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</si>
  <si>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</si>
  <si>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</si>
  <si>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</si>
  <si>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</si>
  <si>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</si>
  <si>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</si>
  <si>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</si>
  <si>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</si>
  <si>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</si>
  <si>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</si>
  <si>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</si>
  <si>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</si>
  <si>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</si>
  <si>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</si>
  <si>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</si>
  <si>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</si>
  <si>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</si>
  <si>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</si>
  <si>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</si>
  <si>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</si>
  <si>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</si>
  <si>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</si>
  <si>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</si>
  <si>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</si>
  <si>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</si>
  <si>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</si>
  <si>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</si>
  <si>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</si>
  <si>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</si>
  <si>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</si>
  <si>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</si>
  <si>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</si>
  <si>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</si>
  <si>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</si>
  <si>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</si>
  <si>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</si>
  <si>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</si>
  <si>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</si>
  <si>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</si>
  <si>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</si>
  <si>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</si>
  <si>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</si>
  <si>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</si>
  <si>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</si>
  <si>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</si>
  <si>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</si>
  <si>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</si>
  <si>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</si>
  <si>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</si>
  <si>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</si>
  <si>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</si>
  <si>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</si>
  <si>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</si>
  <si>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</si>
  <si>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</si>
  <si>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</si>
  <si>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</si>
  <si>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</si>
  <si>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</si>
  <si>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</si>
  <si>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</si>
  <si>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</si>
  <si>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</si>
  <si>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</si>
  <si>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</si>
  <si>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</si>
  <si>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</si>
  <si>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</si>
  <si>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</si>
  <si>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</si>
  <si>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</si>
  <si>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</si>
  <si>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</si>
  <si>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</si>
  <si>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</si>
  <si>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</si>
  <si>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</si>
  <si>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</si>
  <si>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</si>
  <si>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</si>
  <si>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</si>
  <si>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</si>
  <si>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</si>
  <si>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</si>
  <si>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</si>
  <si>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</si>
  <si>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</si>
  <si>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</si>
  <si>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</si>
  <si>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</si>
  <si>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</si>
  <si>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</si>
  <si>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</si>
  <si>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</si>
  <si>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</si>
  <si>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</si>
  <si>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</si>
  <si>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</si>
  <si>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</si>
  <si>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</si>
  <si>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</si>
  <si>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</si>
  <si>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</si>
  <si>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</si>
  <si>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</si>
  <si>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</si>
  <si>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</si>
  <si>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</si>
  <si>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</si>
  <si>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</si>
  <si>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</si>
  <si>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</si>
  <si>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</si>
  <si>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</si>
  <si>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</si>
  <si>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</si>
  <si>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</si>
  <si>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</si>
  <si>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</si>
  <si>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</si>
  <si>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</si>
  <si>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</si>
  <si>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</si>
  <si>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</si>
  <si>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</si>
  <si>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</si>
  <si>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</si>
  <si>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</si>
  <si>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</si>
  <si>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</si>
  <si>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</si>
  <si>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</si>
  <si>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</si>
  <si>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</si>
  <si>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</si>
  <si>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</si>
  <si>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</si>
  <si>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</si>
  <si>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</si>
  <si>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</si>
  <si>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</si>
  <si>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</si>
  <si>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</si>
  <si>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</si>
  <si>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</si>
  <si>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</si>
  <si>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</si>
  <si>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</si>
  <si>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</si>
  <si>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</si>
  <si>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</si>
  <si>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</si>
  <si>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</si>
  <si>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</si>
  <si>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</si>
  <si>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</si>
  <si>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</si>
  <si>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</si>
  <si>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</si>
  <si>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</si>
  <si>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</si>
  <si>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</si>
  <si>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</si>
  <si>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</si>
  <si>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</si>
  <si>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</si>
  <si>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</si>
  <si>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</si>
  <si>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</si>
  <si>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</si>
  <si>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</si>
  <si>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</si>
  <si>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</si>
  <si>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</si>
  <si>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</si>
  <si>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</si>
  <si>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</si>
  <si>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</si>
  <si>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</si>
  <si>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</si>
  <si>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</si>
  <si>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</si>
  <si>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</si>
  <si>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</si>
  <si>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</si>
  <si>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</si>
  <si>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</si>
  <si>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</si>
  <si>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</si>
  <si>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</si>
  <si>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</si>
  <si>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</si>
  <si>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</si>
  <si>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</si>
  <si>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</si>
  <si>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</si>
  <si>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</si>
  <si>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</si>
  <si>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</si>
  <si>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</si>
  <si>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</si>
  <si>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</si>
  <si>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</si>
  <si>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</si>
  <si>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</si>
  <si>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</si>
  <si>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</si>
  <si>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</si>
  <si>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</si>
  <si>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</si>
  <si>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</si>
  <si>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</si>
  <si>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</si>
  <si>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</si>
  <si>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</si>
  <si>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</si>
  <si>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</si>
  <si>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</si>
  <si>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</si>
  <si>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</si>
  <si>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</si>
  <si>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</si>
  <si>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</si>
  <si>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</si>
  <si>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</si>
  <si>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</si>
  <si>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</si>
  <si>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</si>
  <si>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</si>
  <si>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</si>
  <si>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</si>
  <si>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</si>
  <si>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</si>
  <si>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</si>
  <si>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</si>
  <si>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</si>
  <si>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</si>
  <si>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</si>
  <si>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</si>
  <si>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</si>
  <si>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</si>
  <si>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</si>
  <si>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</si>
  <si>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</si>
  <si>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</si>
  <si>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</si>
  <si>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</si>
  <si>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</si>
  <si>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</si>
  <si>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</si>
  <si>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</si>
  <si>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</si>
  <si>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</si>
  <si>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</si>
  <si>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</si>
  <si>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</si>
  <si>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</si>
  <si>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</si>
  <si>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</si>
  <si>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</si>
  <si>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</si>
  <si>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</si>
  <si>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</si>
  <si>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</si>
  <si>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</si>
  <si>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</si>
  <si>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</si>
  <si>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</si>
  <si>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</si>
  <si>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</si>
  <si>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</si>
  <si>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</si>
  <si>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</si>
  <si>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</si>
  <si>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</si>
  <si>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</si>
  <si>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</si>
  <si>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</si>
  <si>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</si>
  <si>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</si>
  <si>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</si>
  <si>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</si>
  <si>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</si>
  <si>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</si>
  <si>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</si>
  <si>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</si>
  <si>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</si>
  <si>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</si>
  <si>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</si>
  <si>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</si>
  <si>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</si>
  <si>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</si>
  <si>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</si>
  <si>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</si>
  <si>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</si>
  <si>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</si>
  <si>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</si>
  <si>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</si>
  <si>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</si>
  <si>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</si>
  <si>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</si>
  <si>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</si>
  <si>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</si>
  <si>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</si>
  <si>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</si>
  <si>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</si>
  <si>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</si>
  <si>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</si>
  <si>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</si>
  <si>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</si>
  <si>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</si>
  <si>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</si>
  <si>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</si>
  <si>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</si>
  <si>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</si>
  <si>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</si>
  <si>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</si>
  <si>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</si>
  <si>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</si>
  <si>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</si>
  <si>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</si>
  <si>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</si>
  <si>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</si>
  <si>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</si>
  <si>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</si>
  <si>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</si>
  <si>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</si>
  <si>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</si>
  <si>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</si>
  <si>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</si>
  <si>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</si>
  <si>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</si>
  <si>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</si>
  <si>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</si>
  <si>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</si>
  <si>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</si>
  <si>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</si>
  <si>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</si>
  <si>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</si>
  <si>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</si>
  <si>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</si>
  <si>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</si>
  <si>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</si>
  <si>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</si>
  <si>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</si>
  <si>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</si>
  <si>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</si>
  <si>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</si>
  <si>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</si>
  <si>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</si>
  <si>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</si>
  <si>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</si>
  <si>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</si>
  <si>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</si>
  <si>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</si>
  <si>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</si>
  <si>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</si>
  <si>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</si>
  <si>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</si>
  <si>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</si>
  <si>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</si>
  <si>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</si>
  <si>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</si>
  <si>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</si>
  <si>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</si>
  <si>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</si>
  <si>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</si>
  <si>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</si>
  <si>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</si>
  <si>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</si>
  <si>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</si>
  <si>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</si>
  <si>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</si>
  <si>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</si>
  <si>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</si>
  <si>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</si>
  <si>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</si>
  <si>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</si>
  <si>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</si>
  <si>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</si>
  <si>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</si>
  <si>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</si>
  <si>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</si>
  <si>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</si>
  <si>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</si>
  <si>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</si>
  <si>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</si>
  <si>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</si>
  <si>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</si>
  <si>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</si>
  <si>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</si>
  <si>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</si>
  <si>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</si>
  <si>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</si>
  <si>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</si>
  <si>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</si>
  <si>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</si>
  <si>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</si>
  <si>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</si>
  <si>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</si>
  <si>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</si>
  <si>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</si>
  <si>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</si>
  <si>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</si>
  <si>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</si>
  <si>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</si>
  <si>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</si>
  <si>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</si>
  <si>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</si>
  <si>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</si>
  <si>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</si>
  <si>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</si>
  <si>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</si>
  <si>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</si>
  <si>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</si>
  <si>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</si>
  <si>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</si>
  <si>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</si>
  <si>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</si>
  <si>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</si>
  <si>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</si>
  <si>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</si>
  <si>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</si>
  <si>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</si>
  <si>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</si>
  <si>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</si>
  <si>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</si>
  <si>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</si>
  <si>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</si>
  <si>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</si>
  <si>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</si>
  <si>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</si>
  <si>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</si>
  <si>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</si>
  <si>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</si>
  <si>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</si>
  <si>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</si>
  <si>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</si>
  <si>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</si>
  <si>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</si>
  <si>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</si>
  <si>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</si>
  <si>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</si>
  <si>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</si>
  <si>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</si>
  <si>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</si>
  <si>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</si>
  <si>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</si>
  <si>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</si>
  <si>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</si>
  <si>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</si>
  <si>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</si>
  <si>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</si>
  <si>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</si>
  <si>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</si>
  <si>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</si>
  <si>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</si>
  <si>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</si>
  <si>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</si>
  <si>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</si>
  <si>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</si>
  <si>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</si>
  <si>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</si>
  <si>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</si>
  <si>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</si>
  <si>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</si>
  <si>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</si>
  <si>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</si>
  <si>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</si>
  <si>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</si>
  <si>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</si>
  <si>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</si>
  <si>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</si>
  <si>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</si>
  <si>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</si>
  <si>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</si>
  <si>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</si>
  <si>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</si>
  <si>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</si>
  <si>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</si>
  <si>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</si>
  <si>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</si>
  <si>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</si>
  <si>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</si>
  <si>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</si>
  <si>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</si>
  <si>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</si>
  <si>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</si>
  <si>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</si>
  <si>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</si>
  <si>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</si>
  <si>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</si>
  <si>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</si>
  <si>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</si>
  <si>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</si>
  <si>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</si>
  <si>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</si>
  <si>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</si>
  <si>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</si>
  <si>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</si>
  <si>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</si>
  <si>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</si>
  <si>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</si>
  <si>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</si>
  <si>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</si>
  <si>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</si>
  <si>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</si>
  <si>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</si>
  <si>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</si>
  <si>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</si>
  <si>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</si>
  <si>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</si>
  <si>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</si>
  <si>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</si>
  <si>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</si>
  <si>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</si>
  <si>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</si>
  <si>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</si>
  <si>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</si>
  <si>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</si>
  <si>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</si>
  <si>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</si>
  <si>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</si>
  <si>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</si>
  <si>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</si>
  <si>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</si>
  <si>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</si>
  <si>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</si>
  <si>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</si>
  <si>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</si>
  <si>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</si>
  <si>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</si>
  <si>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</si>
  <si>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</si>
  <si>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</si>
  <si>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</si>
  <si>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</si>
  <si>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</si>
  <si>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</si>
  <si>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</si>
  <si>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</si>
  <si>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</si>
  <si>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</si>
  <si>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</si>
  <si>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</si>
  <si>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</si>
  <si>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</si>
  <si>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</si>
  <si>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</si>
  <si>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</si>
  <si>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</si>
  <si>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</si>
  <si>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</si>
  <si>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</si>
  <si>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</si>
  <si>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</si>
  <si>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</si>
  <si>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</si>
  <si>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</si>
  <si>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</si>
  <si>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</si>
  <si>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</si>
  <si>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</si>
  <si>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</si>
  <si>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</si>
  <si>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</si>
  <si>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</si>
  <si>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</si>
  <si>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</si>
  <si>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</si>
  <si>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</si>
  <si>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</si>
  <si>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</si>
  <si>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</si>
  <si>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</si>
  <si>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</si>
  <si>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</si>
  <si>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</si>
  <si>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</si>
  <si>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</si>
  <si>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</si>
  <si>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</si>
  <si>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</si>
  <si>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</si>
  <si>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</si>
  <si>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</si>
  <si>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</si>
  <si>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</si>
  <si>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</si>
  <si>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</si>
  <si>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</si>
  <si>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</si>
  <si>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</si>
  <si>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</si>
  <si>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</si>
  <si>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</si>
  <si>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</si>
  <si>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</si>
  <si>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</si>
  <si>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</si>
  <si>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</si>
  <si>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</si>
  <si>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</si>
  <si>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</si>
  <si>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</si>
  <si>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</si>
  <si>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</si>
  <si>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</si>
  <si>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</si>
  <si>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</si>
  <si>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</si>
  <si>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</si>
  <si>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</si>
  <si>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</si>
  <si>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</si>
  <si>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</si>
  <si>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</si>
  <si>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</si>
  <si>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</si>
  <si>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</si>
  <si>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</si>
  <si>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</si>
  <si>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</si>
  <si>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</si>
  <si>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</si>
  <si>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</si>
  <si>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</si>
  <si>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</si>
  <si>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</si>
  <si>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</si>
  <si>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</si>
  <si>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</si>
  <si>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</si>
  <si>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</si>
  <si>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</si>
  <si>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</si>
  <si>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</si>
  <si>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</si>
  <si>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</si>
  <si>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</si>
  <si>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</si>
  <si>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</si>
  <si>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</si>
  <si>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</si>
  <si>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</si>
  <si>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</si>
  <si>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</si>
  <si>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</si>
  <si>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</si>
  <si>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</si>
  <si>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</si>
  <si>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</si>
  <si>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</si>
  <si>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</si>
  <si>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</si>
  <si>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</si>
  <si>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</si>
  <si>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</si>
  <si>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</si>
  <si>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</si>
  <si>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</si>
  <si>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</si>
  <si>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</si>
  <si>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</si>
  <si>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</si>
  <si>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</si>
  <si>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</si>
  <si>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</si>
  <si>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</si>
  <si>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</si>
  <si>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</si>
  <si>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</si>
  <si>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</si>
  <si>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</si>
  <si>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</si>
  <si>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</si>
  <si>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</si>
  <si>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</si>
  <si>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</si>
  <si>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</si>
  <si>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</si>
  <si>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</si>
  <si>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</si>
  <si>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</si>
  <si>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</si>
  <si>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</si>
  <si>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</si>
  <si>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</si>
  <si>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</si>
  <si>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</si>
  <si>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</si>
  <si>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</si>
  <si>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</si>
  <si>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</si>
  <si>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</si>
  <si>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</si>
  <si>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</si>
  <si>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</si>
  <si>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</si>
  <si>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</si>
  <si>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</si>
  <si>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</si>
  <si>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</si>
  <si>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</si>
  <si>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</si>
  <si>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</si>
  <si>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</si>
  <si>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</si>
  <si>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</si>
  <si>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</si>
  <si>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</si>
  <si>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</si>
  <si>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</si>
  <si>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</si>
  <si>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</si>
  <si>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</si>
  <si>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</si>
  <si>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</si>
  <si>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</si>
  <si>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</si>
  <si>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</si>
  <si>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</si>
  <si>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</si>
  <si>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</si>
  <si>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</si>
  <si>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</si>
  <si>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</si>
  <si>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</si>
  <si>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</si>
  <si>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</si>
  <si>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</si>
  <si>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</si>
  <si>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</si>
  <si>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</si>
  <si>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</si>
  <si>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</si>
  <si>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</si>
  <si>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</si>
  <si>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</si>
  <si>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</si>
  <si>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</si>
  <si>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</si>
  <si>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</si>
  <si>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</si>
  <si>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</si>
  <si>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</si>
  <si>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</si>
  <si>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</si>
  <si>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</si>
  <si>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</si>
  <si>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</si>
  <si>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</si>
  <si>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</si>
  <si>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</si>
  <si>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</si>
  <si>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</si>
  <si>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</si>
  <si>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</si>
  <si>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</si>
  <si>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</si>
  <si>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</si>
  <si>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</si>
  <si>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</si>
  <si>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</si>
  <si>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</si>
  <si>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</si>
  <si>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</si>
  <si>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</si>
  <si>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</si>
  <si>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</si>
  <si>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</si>
  <si>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</si>
  <si>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</si>
  <si>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</si>
  <si>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</si>
  <si>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</si>
  <si>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</si>
  <si>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</si>
  <si>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</si>
  <si>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</si>
  <si>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</si>
  <si>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</si>
  <si>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</si>
  <si>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</si>
  <si>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</si>
  <si>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</si>
  <si>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</si>
  <si>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</si>
  <si>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</si>
  <si>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</si>
  <si>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</si>
  <si>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</si>
  <si>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</si>
  <si>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</si>
  <si>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</si>
  <si>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</si>
  <si>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</si>
  <si>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</si>
  <si>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</si>
  <si>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</si>
  <si>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</si>
  <si>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</si>
  <si>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</si>
  <si>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</si>
  <si>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</si>
  <si>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</si>
  <si>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</si>
  <si>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</si>
  <si>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</si>
  <si>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</si>
  <si>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</si>
  <si>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</si>
  <si>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</si>
  <si>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</si>
  <si>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</si>
  <si>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</si>
  <si>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</si>
  <si>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</si>
  <si>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</si>
  <si>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</si>
  <si>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</si>
  <si>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</si>
  <si>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</si>
  <si>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</si>
  <si>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</si>
  <si>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</si>
  <si>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</si>
  <si>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</si>
  <si>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</si>
  <si>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</si>
  <si>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</si>
  <si>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</si>
  <si>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</si>
  <si>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</si>
  <si>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</si>
  <si>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</si>
  <si>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</si>
  <si>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</si>
  <si>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</si>
  <si>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</si>
  <si>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</si>
  <si>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</si>
  <si>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</si>
  <si>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</si>
  <si>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</si>
  <si>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</si>
  <si>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</si>
  <si>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</si>
  <si>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</si>
  <si>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</si>
  <si>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</si>
  <si>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</si>
  <si>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</si>
  <si>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</si>
  <si>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</si>
  <si>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</si>
  <si>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</si>
  <si>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</si>
  <si>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</si>
  <si>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</si>
  <si>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</si>
  <si>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</si>
  <si>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</si>
  <si>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</si>
  <si>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</si>
  <si>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</si>
  <si>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</si>
  <si>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</si>
  <si>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</si>
  <si>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</si>
  <si>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</si>
  <si>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</si>
  <si>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</si>
  <si>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</si>
  <si>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</si>
  <si>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</si>
  <si>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</si>
  <si>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</si>
  <si>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</si>
  <si>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</si>
  <si>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</si>
  <si>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</si>
  <si>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</si>
  <si>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</si>
  <si>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</si>
  <si>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</si>
  <si>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</si>
  <si>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</si>
  <si>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</si>
  <si>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</si>
  <si>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</si>
  <si>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</si>
  <si>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</si>
  <si>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</si>
  <si>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</si>
  <si>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</si>
  <si>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</si>
  <si>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</si>
  <si>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</si>
  <si>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</si>
  <si>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</si>
  <si>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</si>
  <si>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</si>
  <si>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</si>
  <si>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</si>
  <si>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</si>
  <si>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</si>
  <si>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</si>
  <si>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</si>
  <si>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</si>
  <si>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</si>
  <si>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</si>
  <si>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</si>
  <si>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</si>
  <si>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</si>
  <si>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</si>
  <si>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</si>
  <si>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</si>
  <si>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</si>
  <si>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</si>
  <si>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</si>
  <si>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</si>
  <si>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</si>
  <si>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</si>
  <si>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</si>
  <si>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</si>
  <si>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</si>
  <si>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</si>
  <si>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</si>
  <si>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</si>
  <si>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</si>
  <si>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</si>
  <si>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</si>
  <si>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</si>
  <si>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</si>
  <si>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</si>
  <si>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</si>
  <si>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</si>
  <si>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</si>
  <si>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</si>
  <si>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</si>
  <si>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</si>
  <si>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</si>
  <si>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</si>
  <si>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</si>
  <si>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</si>
  <si>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</si>
  <si>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</si>
  <si>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</si>
  <si>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</si>
  <si>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</si>
  <si>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</si>
  <si>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</si>
  <si>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</si>
  <si>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</si>
  <si>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</si>
  <si>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</si>
  <si>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</si>
  <si>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</si>
  <si>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</si>
  <si>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</si>
  <si>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</si>
  <si>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</si>
  <si>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</si>
  <si>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</si>
  <si>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</si>
  <si>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</si>
  <si>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</si>
  <si>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</si>
  <si>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</si>
  <si>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</si>
  <si>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</si>
  <si>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</si>
  <si>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</si>
  <si>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</si>
  <si>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</si>
  <si>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</si>
  <si>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</si>
  <si>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</si>
  <si>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</si>
  <si>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</si>
  <si>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</si>
  <si>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</si>
  <si>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</si>
  <si>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</si>
  <si>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</si>
  <si>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</si>
  <si>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</si>
  <si>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</si>
  <si>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</si>
  <si>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</si>
  <si>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</si>
  <si>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</si>
  <si>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</si>
  <si>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</si>
  <si>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</si>
  <si>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</si>
  <si>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</si>
  <si>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</si>
  <si>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</si>
  <si>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</si>
  <si>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</si>
  <si>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</si>
  <si>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</si>
  <si>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</si>
  <si>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</si>
  <si>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</si>
  <si>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</si>
  <si>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</si>
  <si>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</si>
  <si>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</si>
  <si>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</si>
  <si>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</si>
  <si>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</si>
  <si>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</si>
  <si>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</si>
  <si>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</si>
  <si>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</si>
  <si>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</si>
  <si>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</si>
  <si>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</si>
  <si>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</si>
  <si>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</si>
  <si>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</si>
  <si>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</si>
  <si>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</si>
  <si>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</si>
  <si>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</si>
  <si>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</si>
  <si>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</si>
  <si>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</si>
  <si>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</si>
  <si>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</si>
  <si>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</si>
  <si>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</si>
  <si>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</si>
  <si>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</si>
  <si>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</si>
  <si>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</si>
  <si>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</si>
  <si>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</si>
  <si>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</si>
  <si>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인도후</t>
    <phoneticPr fontId="2" type="noConversion"/>
  </si>
  <si>
    <t>이순신함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</si>
  <si>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</si>
  <si>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</si>
  <si>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</si>
  <si>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</si>
  <si>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</si>
  <si>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</si>
  <si>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</si>
  <si>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</si>
  <si>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</si>
  <si>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</si>
  <si>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</si>
  <si>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</si>
  <si>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</si>
  <si>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</si>
  <si>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</si>
  <si>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</si>
  <si>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</si>
  <si>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</si>
  <si>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</si>
  <si>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</si>
  <si>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</si>
  <si>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</si>
  <si>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</si>
  <si>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</si>
  <si>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</si>
  <si>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</si>
  <si>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</si>
  <si>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</si>
  <si>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</si>
  <si>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</si>
  <si>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ML, HOC, PE</t>
    <phoneticPr fontId="2" type="noConversion"/>
  </si>
  <si>
    <t>작동 시험 준비 / 도장 리페어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</si>
  <si>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</si>
  <si>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</si>
  <si>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</si>
  <si>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</si>
  <si>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</si>
  <si>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</si>
  <si>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</si>
  <si>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</si>
  <si>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</si>
  <si>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</si>
  <si>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</si>
  <si>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</si>
  <si>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작동 시험 (10:00)</t>
    <phoneticPr fontId="2" type="noConversion"/>
  </si>
  <si>
    <t xml:space="preserve">P179 </t>
    <phoneticPr fontId="2" type="noConversion"/>
  </si>
  <si>
    <t>RB</t>
    <phoneticPr fontId="2" type="noConversion"/>
  </si>
  <si>
    <t>선주코멘트 조치 (HPU 밸브 &amp; 모터 명판 부착, 파운데이션 오프닝부 커버 설치, 가이드로프 12개, 샤클 공급)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</si>
  <si>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</si>
  <si>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</si>
  <si>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</si>
  <si>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</si>
  <si>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와이어링 기술 지원</t>
    <phoneticPr fontId="2" type="noConversion"/>
  </si>
  <si>
    <t>김용진, 송영국</t>
    <phoneticPr fontId="2" type="noConversion"/>
  </si>
  <si>
    <t>군산항1부두</t>
    <phoneticPr fontId="2" type="noConversion"/>
  </si>
  <si>
    <t>승조원 교육 (13:00 ~ 14:00)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</si>
  <si>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</si>
  <si>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</si>
  <si>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</si>
  <si>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</si>
  <si>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</si>
  <si>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</si>
  <si>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</si>
  <si>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</si>
  <si>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</si>
  <si>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</si>
  <si>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사전 점검 및 테스트 (군산항 2부두 23번 선석)</t>
    <phoneticPr fontId="2" type="noConversion"/>
  </si>
  <si>
    <t>군산항2부두</t>
    <phoneticPr fontId="2" type="noConversion"/>
  </si>
  <si>
    <t>범양(1)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</si>
  <si>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</si>
  <si>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</si>
  <si>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</si>
  <si>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</si>
  <si>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</si>
  <si>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</si>
  <si>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</si>
  <si>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</si>
  <si>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</si>
  <si>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</si>
  <si>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</si>
  <si>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</si>
  <si>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</si>
  <si>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박주성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</si>
  <si>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</si>
  <si>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</si>
  <si>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</si>
  <si>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HT</t>
    <phoneticPr fontId="2" type="noConversion"/>
  </si>
  <si>
    <t>특수성능 준비</t>
    <phoneticPr fontId="2" type="noConversion"/>
  </si>
  <si>
    <t>박성용</t>
    <phoneticPr fontId="2" type="noConversion"/>
  </si>
  <si>
    <t>해상시운전</t>
    <phoneticPr fontId="2" type="noConversion"/>
  </si>
  <si>
    <t>30주 긴급지원</t>
    <phoneticPr fontId="2" type="noConversion"/>
  </si>
  <si>
    <t>보증수리</t>
    <phoneticPr fontId="2" type="noConversion"/>
  </si>
  <si>
    <t>-</t>
    <phoneticPr fontId="2" type="noConversion"/>
  </si>
  <si>
    <t>31주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</si>
  <si>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</si>
  <si>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</si>
  <si>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</si>
  <si>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</si>
  <si>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해상시운전</t>
    <phoneticPr fontId="2" type="noConversion"/>
  </si>
  <si>
    <t>이시맥</t>
    <phoneticPr fontId="2" type="noConversion"/>
  </si>
  <si>
    <t>박성용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</si>
  <si>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</si>
  <si>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</si>
  <si>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</si>
  <si>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</si>
  <si>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</si>
  <si>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</si>
  <si>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</si>
  <si>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자성대부두</t>
    <phoneticPr fontId="2" type="noConversion"/>
  </si>
  <si>
    <t>HIO(1), 동아(1)</t>
    <phoneticPr fontId="2" type="noConversion"/>
  </si>
  <si>
    <t>박주성, 김용진</t>
    <phoneticPr fontId="2" type="noConversion"/>
  </si>
  <si>
    <t>CNM일정불가</t>
    <phoneticPr fontId="2" type="noConversion"/>
  </si>
  <si>
    <t>와이어 교체, 시브 개선, 자체테스트</t>
    <phoneticPr fontId="2" type="noConversion"/>
  </si>
  <si>
    <t>이시맥</t>
    <phoneticPr fontId="2" type="noConversion"/>
  </si>
  <si>
    <t>0160</t>
    <phoneticPr fontId="2" type="noConversion"/>
  </si>
  <si>
    <t>진진(1)</t>
    <phoneticPr fontId="2" type="noConversion"/>
  </si>
  <si>
    <t>-</t>
    <phoneticPr fontId="2" type="noConversion"/>
  </si>
  <si>
    <t>이혁진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</si>
  <si>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</si>
  <si>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</si>
  <si>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</si>
  <si>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우신(2), 진진(1)</t>
    <phoneticPr fontId="2" type="noConversion"/>
  </si>
  <si>
    <t>우신(2), 진진(1)</t>
    <phoneticPr fontId="2" type="noConversion"/>
  </si>
  <si>
    <t>박성용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</si>
  <si>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</si>
  <si>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</si>
  <si>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</si>
  <si>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</si>
  <si>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</si>
  <si>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박해식</t>
    <phoneticPr fontId="2" type="noConversion"/>
  </si>
  <si>
    <t>일정변경</t>
    <phoneticPr fontId="2" type="noConversion"/>
  </si>
  <si>
    <t>시운전 이후 재수립</t>
    <phoneticPr fontId="2" type="noConversion"/>
  </si>
  <si>
    <t>~8/12 넌스키드 도장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</si>
</sst>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7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93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636"/>
  <sheetViews>
    <sheetView showGridLines="0" tabSelected="1" topLeftCell="A550" zoomScaleNormal="100" workbookViewId="0">
      <selection activeCell="K557" sqref="K557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789" t="s">
        <v>3261</v>
      </c>
      <c r="B1" s="789"/>
      <c r="C1" s="789"/>
      <c r="D1" s="789"/>
      <c r="E1" s="789"/>
      <c r="F1" s="789"/>
      <c r="G1" s="789"/>
      <c r="H1" s="789"/>
      <c r="I1" s="789"/>
      <c r="J1" s="789"/>
      <c r="K1" s="789"/>
      <c r="L1" s="789"/>
      <c r="M1" s="789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83"/>
      <c r="Q22" s="784"/>
      <c r="R22" s="784"/>
      <c r="S22" s="784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83"/>
      <c r="Q27" s="784"/>
      <c r="R27" s="784"/>
      <c r="S27" s="784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83"/>
      <c r="Q36" s="784"/>
      <c r="R36" s="784"/>
      <c r="S36" s="784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83"/>
      <c r="Q37" s="784"/>
      <c r="R37" s="784"/>
      <c r="S37" s="784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83"/>
      <c r="Q40" s="784"/>
      <c r="R40" s="784"/>
      <c r="S40" s="784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83"/>
      <c r="Q41" s="784"/>
      <c r="R41" s="784"/>
      <c r="S41" s="784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83" t="s">
        <v>4390</v>
      </c>
      <c r="Q43" s="784"/>
      <c r="R43" s="784"/>
      <c r="S43" s="784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83"/>
      <c r="Q61" s="784"/>
      <c r="R61" s="784"/>
      <c r="S61" s="784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83"/>
      <c r="Q64" s="784"/>
      <c r="R64" s="784"/>
      <c r="S64" s="784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83"/>
      <c r="Q67" s="784"/>
      <c r="R67" s="784"/>
      <c r="S67" s="784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83"/>
      <c r="Q74" s="784"/>
      <c r="R74" s="784"/>
      <c r="S74" s="784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83"/>
      <c r="Q83" s="784"/>
      <c r="R83" s="784"/>
      <c r="S83" s="784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83"/>
      <c r="Q85" s="784"/>
      <c r="R85" s="784"/>
      <c r="S85" s="784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83" t="s">
        <v>4390</v>
      </c>
      <c r="Q93" s="784"/>
      <c r="R93" s="784"/>
      <c r="S93" s="784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87"/>
      <c r="Q169" s="788"/>
      <c r="R169" s="788"/>
      <c r="S169" s="788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85" t="s">
        <v>4688</v>
      </c>
      <c r="Q182" s="786"/>
      <c r="R182" s="786"/>
      <c r="S182" s="786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6344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6345</v>
      </c>
      <c r="I431" s="6" t="s">
        <v>6385</v>
      </c>
      <c r="J431" s="6" t="s">
        <v>6353</v>
      </c>
      <c r="K431" s="125" t="s">
        <v>6290</v>
      </c>
      <c r="L431" s="277" t="s">
        <v>6291</v>
      </c>
      <c r="M431" s="417">
        <v>2</v>
      </c>
      <c r="N431" s="6"/>
      <c r="O431" s="434" t="s">
        <v>6343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6370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6374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6691</v>
      </c>
      <c r="G434" s="16" t="s">
        <v>6358</v>
      </c>
      <c r="H434" s="193" t="s">
        <v>6359</v>
      </c>
      <c r="I434" s="6" t="s">
        <v>6360</v>
      </c>
      <c r="J434" s="6"/>
      <c r="K434" s="125" t="s">
        <v>6361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6363</v>
      </c>
      <c r="E435" s="31" t="s">
        <v>6364</v>
      </c>
      <c r="F435" s="31" t="s">
        <v>6365</v>
      </c>
      <c r="G435" s="16" t="s">
        <v>6366</v>
      </c>
      <c r="H435" s="193" t="s">
        <v>6367</v>
      </c>
      <c r="I435" s="6"/>
      <c r="J435" s="6" t="s">
        <v>6368</v>
      </c>
      <c r="K435" s="125" t="s">
        <v>15</v>
      </c>
      <c r="L435" s="277" t="s">
        <v>6369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6386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6357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6373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6357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6356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6371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6370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6356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6387</v>
      </c>
      <c r="I444" s="6" t="s">
        <v>6385</v>
      </c>
      <c r="J444" s="6" t="s">
        <v>6353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6392</v>
      </c>
      <c r="D445" s="3" t="s">
        <v>14</v>
      </c>
      <c r="E445" s="454" t="s">
        <v>427</v>
      </c>
      <c r="F445" s="454" t="s">
        <v>3386</v>
      </c>
      <c r="G445" s="459" t="s">
        <v>6393</v>
      </c>
      <c r="H445" s="193" t="s">
        <v>6394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6396</v>
      </c>
      <c r="I446" s="68" t="s">
        <v>6371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6347</v>
      </c>
      <c r="E448" s="31" t="s">
        <v>6375</v>
      </c>
      <c r="F448" s="31" t="s">
        <v>6376</v>
      </c>
      <c r="G448" s="16" t="s">
        <v>6395</v>
      </c>
      <c r="H448" s="193" t="s">
        <v>6285</v>
      </c>
      <c r="I448" s="68"/>
      <c r="J448" s="68" t="s">
        <v>6377</v>
      </c>
      <c r="K448" s="136" t="s">
        <v>6378</v>
      </c>
      <c r="L448" s="277" t="s">
        <v>6379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6392</v>
      </c>
      <c r="D449" s="3" t="s">
        <v>14</v>
      </c>
      <c r="E449" s="454" t="s">
        <v>427</v>
      </c>
      <c r="F449" s="454" t="s">
        <v>3386</v>
      </c>
      <c r="G449" s="459" t="s">
        <v>6393</v>
      </c>
      <c r="H449" s="193" t="s">
        <v>6397</v>
      </c>
      <c r="I449" s="193" t="s">
        <v>6398</v>
      </c>
      <c r="J449" s="31" t="s">
        <v>6399</v>
      </c>
      <c r="K449" s="125" t="s">
        <v>6400</v>
      </c>
      <c r="L449" s="16" t="s">
        <v>6401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6426</v>
      </c>
      <c r="D451" s="3" t="s">
        <v>14</v>
      </c>
      <c r="E451" s="454" t="s">
        <v>427</v>
      </c>
      <c r="F451" s="454" t="s">
        <v>3386</v>
      </c>
      <c r="G451" s="459" t="s">
        <v>6393</v>
      </c>
      <c r="H451" s="193" t="s">
        <v>6437</v>
      </c>
      <c r="I451" s="31" t="s">
        <v>6412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6402</v>
      </c>
      <c r="I452" s="31" t="s">
        <v>6403</v>
      </c>
      <c r="J452" s="31" t="s">
        <v>6404</v>
      </c>
      <c r="K452" s="125" t="s">
        <v>6378</v>
      </c>
      <c r="L452" s="16" t="s">
        <v>6362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6416</v>
      </c>
      <c r="H453" s="453" t="s">
        <v>6417</v>
      </c>
      <c r="I453" s="68"/>
      <c r="J453" s="136" t="s">
        <v>6418</v>
      </c>
      <c r="K453" s="136" t="s">
        <v>6413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6402</v>
      </c>
      <c r="I454" s="193" t="s">
        <v>6495</v>
      </c>
      <c r="J454" s="31"/>
      <c r="K454" s="125" t="s">
        <v>6378</v>
      </c>
      <c r="L454" s="16" t="s">
        <v>6362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6352</v>
      </c>
      <c r="J455" s="136" t="s">
        <v>6473</v>
      </c>
      <c r="K455" s="136" t="s">
        <v>6413</v>
      </c>
      <c r="L455" s="277" t="s">
        <v>6414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6416</v>
      </c>
      <c r="H456" s="453" t="s">
        <v>6417</v>
      </c>
      <c r="I456" s="68"/>
      <c r="J456" s="136" t="s">
        <v>6418</v>
      </c>
      <c r="K456" s="136" t="s">
        <v>6413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6352</v>
      </c>
      <c r="J457" s="136" t="s">
        <v>6415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6474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6463</v>
      </c>
      <c r="F459" s="454" t="s">
        <v>6464</v>
      </c>
      <c r="G459" s="459" t="s">
        <v>6494</v>
      </c>
      <c r="H459" s="453" t="s">
        <v>4617</v>
      </c>
      <c r="I459" s="454"/>
      <c r="J459" s="453" t="s">
        <v>6465</v>
      </c>
      <c r="K459" s="136" t="s">
        <v>6378</v>
      </c>
      <c r="L459" s="459" t="s">
        <v>6466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6463</v>
      </c>
      <c r="F460" s="454" t="s">
        <v>6464</v>
      </c>
      <c r="G460" s="459" t="s">
        <v>6494</v>
      </c>
      <c r="H460" s="453" t="s">
        <v>6285</v>
      </c>
      <c r="I460" s="454"/>
      <c r="J460" s="453" t="s">
        <v>814</v>
      </c>
      <c r="K460" s="136" t="s">
        <v>6378</v>
      </c>
      <c r="L460" s="459" t="s">
        <v>6466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6485</v>
      </c>
      <c r="F461" s="454" t="s">
        <v>6420</v>
      </c>
      <c r="G461" s="459" t="s">
        <v>6421</v>
      </c>
      <c r="H461" s="453" t="s">
        <v>6496</v>
      </c>
      <c r="I461" s="454"/>
      <c r="J461" s="453" t="s">
        <v>6482</v>
      </c>
      <c r="K461" s="136" t="s">
        <v>6378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6497</v>
      </c>
      <c r="I462" s="68" t="s">
        <v>6412</v>
      </c>
      <c r="J462" s="136" t="s">
        <v>6415</v>
      </c>
      <c r="K462" s="136" t="s">
        <v>6413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6484</v>
      </c>
      <c r="H463" s="453" t="s">
        <v>6508</v>
      </c>
      <c r="I463" s="68" t="s">
        <v>6412</v>
      </c>
      <c r="J463" s="136" t="s">
        <v>6415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6347</v>
      </c>
      <c r="E464" s="454" t="s">
        <v>6471</v>
      </c>
      <c r="F464" s="454" t="s">
        <v>6475</v>
      </c>
      <c r="G464" s="459" t="s">
        <v>6476</v>
      </c>
      <c r="H464" s="193" t="s">
        <v>6477</v>
      </c>
      <c r="I464" s="454" t="s">
        <v>6514</v>
      </c>
      <c r="J464" s="453" t="s">
        <v>6483</v>
      </c>
      <c r="K464" s="136" t="s">
        <v>6354</v>
      </c>
      <c r="L464" s="459" t="s">
        <v>6362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6485</v>
      </c>
      <c r="F465" s="454" t="s">
        <v>6420</v>
      </c>
      <c r="G465" s="459" t="s">
        <v>6421</v>
      </c>
      <c r="H465" s="453" t="s">
        <v>6422</v>
      </c>
      <c r="I465" s="454"/>
      <c r="J465" s="453" t="s">
        <v>6482</v>
      </c>
      <c r="K465" s="136" t="s">
        <v>6378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6347</v>
      </c>
      <c r="E466" s="454" t="s">
        <v>6471</v>
      </c>
      <c r="F466" s="454" t="s">
        <v>6475</v>
      </c>
      <c r="G466" s="459" t="s">
        <v>6350</v>
      </c>
      <c r="H466" s="193" t="s">
        <v>6516</v>
      </c>
      <c r="I466" s="454" t="s">
        <v>6515</v>
      </c>
      <c r="J466" s="453" t="s">
        <v>6517</v>
      </c>
      <c r="K466" s="136" t="s">
        <v>6354</v>
      </c>
      <c r="L466" s="459" t="s">
        <v>6362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6405</v>
      </c>
      <c r="D467" s="3" t="s">
        <v>6406</v>
      </c>
      <c r="E467" s="454" t="s">
        <v>6407</v>
      </c>
      <c r="F467" s="454">
        <v>7064</v>
      </c>
      <c r="G467" s="459" t="s">
        <v>6408</v>
      </c>
      <c r="H467" s="453" t="s">
        <v>6419</v>
      </c>
      <c r="I467" s="454" t="s">
        <v>6409</v>
      </c>
      <c r="J467" s="453" t="s">
        <v>6410</v>
      </c>
      <c r="K467" s="136" t="s">
        <v>6378</v>
      </c>
      <c r="L467" s="459" t="s">
        <v>6411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6467</v>
      </c>
      <c r="D468" s="4" t="s">
        <v>6363</v>
      </c>
      <c r="E468" s="31" t="s">
        <v>6498</v>
      </c>
      <c r="F468" s="31" t="s">
        <v>6468</v>
      </c>
      <c r="G468" s="16" t="s">
        <v>6469</v>
      </c>
      <c r="H468" s="193" t="s">
        <v>6524</v>
      </c>
      <c r="I468" s="31" t="s">
        <v>6499</v>
      </c>
      <c r="J468" s="31" t="s">
        <v>6488</v>
      </c>
      <c r="K468" s="125" t="s">
        <v>6470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6347</v>
      </c>
      <c r="E469" s="454" t="s">
        <v>6471</v>
      </c>
      <c r="F469" s="454" t="s">
        <v>6475</v>
      </c>
      <c r="G469" s="459" t="s">
        <v>6350</v>
      </c>
      <c r="H469" s="193" t="s">
        <v>6516</v>
      </c>
      <c r="I469" s="454" t="s">
        <v>6525</v>
      </c>
      <c r="J469" s="453" t="s">
        <v>6353</v>
      </c>
      <c r="K469" s="136" t="s">
        <v>6354</v>
      </c>
      <c r="L469" s="459" t="s">
        <v>6362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6518</v>
      </c>
      <c r="I471" s="31" t="s">
        <v>6371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6519</v>
      </c>
      <c r="P471" s="31" t="s">
        <v>6293</v>
      </c>
      <c r="Q471" s="17" t="s">
        <v>6384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6490</v>
      </c>
      <c r="G472" s="459" t="s">
        <v>6489</v>
      </c>
      <c r="H472" s="193" t="s">
        <v>6491</v>
      </c>
      <c r="I472" s="31" t="s">
        <v>6493</v>
      </c>
      <c r="J472" s="31" t="s">
        <v>6512</v>
      </c>
      <c r="K472" s="125" t="s">
        <v>6487</v>
      </c>
      <c r="L472" s="16">
        <v>9080</v>
      </c>
      <c r="M472" s="8">
        <v>2</v>
      </c>
      <c r="N472" s="31"/>
      <c r="O472" s="431" t="s">
        <v>6520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6423</v>
      </c>
      <c r="F473" s="454" t="s">
        <v>6420</v>
      </c>
      <c r="G473" s="459" t="s">
        <v>6421</v>
      </c>
      <c r="H473" s="193" t="s">
        <v>6539</v>
      </c>
      <c r="I473" s="31" t="s">
        <v>6493</v>
      </c>
      <c r="J473" s="31" t="s">
        <v>6512</v>
      </c>
      <c r="K473" s="125" t="s">
        <v>911</v>
      </c>
      <c r="L473" s="16">
        <v>9080</v>
      </c>
      <c r="M473" s="8">
        <v>2</v>
      </c>
      <c r="N473" s="31"/>
      <c r="O473" s="431" t="s">
        <v>6521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6423</v>
      </c>
      <c r="F474" s="454" t="s">
        <v>6420</v>
      </c>
      <c r="G474" s="459" t="s">
        <v>6424</v>
      </c>
      <c r="H474" s="193" t="s">
        <v>6492</v>
      </c>
      <c r="I474" s="31" t="s">
        <v>6493</v>
      </c>
      <c r="J474" s="31" t="s">
        <v>6512</v>
      </c>
      <c r="K474" s="125" t="s">
        <v>6487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6548</v>
      </c>
      <c r="I475" s="31" t="s">
        <v>6549</v>
      </c>
      <c r="J475" s="31" t="s">
        <v>6541</v>
      </c>
      <c r="K475" s="125" t="s">
        <v>15</v>
      </c>
      <c r="L475" s="16" t="s">
        <v>6538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6538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6509</v>
      </c>
      <c r="F477" s="454" t="s">
        <v>3386</v>
      </c>
      <c r="G477" s="459" t="s">
        <v>964</v>
      </c>
      <c r="H477" s="453" t="s">
        <v>6513</v>
      </c>
      <c r="I477" s="454" t="s">
        <v>6510</v>
      </c>
      <c r="J477" s="31" t="s">
        <v>6541</v>
      </c>
      <c r="K477" s="125" t="s">
        <v>911</v>
      </c>
      <c r="L477" s="459" t="s">
        <v>6511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6347</v>
      </c>
      <c r="E478" s="31" t="s">
        <v>6471</v>
      </c>
      <c r="F478" s="31" t="s">
        <v>6472</v>
      </c>
      <c r="G478" s="16" t="s">
        <v>6486</v>
      </c>
      <c r="H478" s="193" t="s">
        <v>6554</v>
      </c>
      <c r="I478" s="31" t="s">
        <v>6552</v>
      </c>
      <c r="J478" s="31" t="s">
        <v>6553</v>
      </c>
      <c r="K478" s="125" t="s">
        <v>911</v>
      </c>
      <c r="L478" s="16" t="s">
        <v>6507</v>
      </c>
      <c r="M478" s="8">
        <v>3</v>
      </c>
      <c r="N478" s="422"/>
      <c r="O478" s="437" t="s">
        <v>6564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6551</v>
      </c>
      <c r="I479" s="31" t="s">
        <v>6552</v>
      </c>
      <c r="J479" s="31" t="s">
        <v>6553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6567</v>
      </c>
      <c r="I480" s="31" t="s">
        <v>6552</v>
      </c>
      <c r="J480" s="31" t="s">
        <v>6553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6543</v>
      </c>
      <c r="E481" s="31" t="s">
        <v>3335</v>
      </c>
      <c r="F481" s="31" t="s">
        <v>6555</v>
      </c>
      <c r="G481" s="16" t="s">
        <v>6544</v>
      </c>
      <c r="H481" s="193" t="s">
        <v>1279</v>
      </c>
      <c r="I481" s="31" t="s">
        <v>1690</v>
      </c>
      <c r="J481" s="31" t="s">
        <v>6561</v>
      </c>
      <c r="K481" s="125" t="s">
        <v>6545</v>
      </c>
      <c r="L481" s="16" t="s">
        <v>6562</v>
      </c>
      <c r="M481" s="8">
        <v>4</v>
      </c>
      <c r="N481" s="422"/>
      <c r="O481" s="437" t="s">
        <v>6563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6543</v>
      </c>
      <c r="E482" s="31" t="s">
        <v>3335</v>
      </c>
      <c r="F482" s="31" t="s">
        <v>4939</v>
      </c>
      <c r="G482" s="16" t="s">
        <v>6546</v>
      </c>
      <c r="H482" s="193" t="s">
        <v>6547</v>
      </c>
      <c r="I482" s="31" t="s">
        <v>1690</v>
      </c>
      <c r="J482" s="31" t="s">
        <v>6561</v>
      </c>
      <c r="K482" s="125" t="s">
        <v>6545</v>
      </c>
      <c r="L482" s="16" t="s">
        <v>6562</v>
      </c>
      <c r="M482" s="8">
        <v>4</v>
      </c>
      <c r="N482" s="422"/>
      <c r="O482" s="437" t="s">
        <v>6563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6565</v>
      </c>
      <c r="K484" s="125" t="s">
        <v>911</v>
      </c>
      <c r="L484" s="459">
        <v>9080</v>
      </c>
      <c r="M484" s="455">
        <v>3</v>
      </c>
      <c r="N484" s="422"/>
      <c r="O484" s="437" t="s">
        <v>6566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6542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6588</v>
      </c>
      <c r="I488" s="193" t="s">
        <v>6589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6556</v>
      </c>
      <c r="F489" s="454">
        <v>8262</v>
      </c>
      <c r="G489" s="459" t="s">
        <v>1225</v>
      </c>
      <c r="H489" s="193" t="s">
        <v>6609</v>
      </c>
      <c r="I489" s="454" t="s">
        <v>6557</v>
      </c>
      <c r="J489" s="453"/>
      <c r="K489" s="136" t="s">
        <v>6550</v>
      </c>
      <c r="L489" s="459" t="s">
        <v>33</v>
      </c>
      <c r="M489" s="455">
        <v>2</v>
      </c>
      <c r="N489" s="31"/>
      <c r="O489" s="429" t="s">
        <v>6575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6522</v>
      </c>
      <c r="F490" s="454" t="s">
        <v>2653</v>
      </c>
      <c r="G490" s="459" t="s">
        <v>263</v>
      </c>
      <c r="H490" s="193" t="s">
        <v>6573</v>
      </c>
      <c r="I490" s="454" t="s">
        <v>6557</v>
      </c>
      <c r="J490" s="453"/>
      <c r="K490" s="136" t="s">
        <v>6550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6479</v>
      </c>
      <c r="E491" s="193" t="s">
        <v>6480</v>
      </c>
      <c r="F491" s="31" t="s">
        <v>6690</v>
      </c>
      <c r="G491" s="16" t="s">
        <v>6481</v>
      </c>
      <c r="H491" s="193" t="s">
        <v>6611</v>
      </c>
      <c r="I491" s="31" t="s">
        <v>6591</v>
      </c>
      <c r="J491" s="31" t="s">
        <v>686</v>
      </c>
      <c r="K491" s="125" t="s">
        <v>6558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6478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60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6547</v>
      </c>
      <c r="I493" s="31" t="s">
        <v>6768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60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6596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60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6574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6540</v>
      </c>
      <c r="F496" s="454" t="s">
        <v>2978</v>
      </c>
      <c r="G496" s="459" t="s">
        <v>843</v>
      </c>
      <c r="H496" s="193" t="s">
        <v>6594</v>
      </c>
      <c r="I496" s="454"/>
      <c r="J496" s="453" t="s">
        <v>5284</v>
      </c>
      <c r="K496" s="136" t="s">
        <v>15</v>
      </c>
      <c r="L496" s="459" t="s">
        <v>6595</v>
      </c>
      <c r="M496" s="8">
        <v>3</v>
      </c>
      <c r="N496" s="31"/>
      <c r="O496" s="431" t="s">
        <v>6610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6581</v>
      </c>
      <c r="I497" s="454" t="s">
        <v>6629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6603</v>
      </c>
      <c r="E498" s="454" t="s">
        <v>6582</v>
      </c>
      <c r="F498" s="454" t="s">
        <v>6604</v>
      </c>
      <c r="G498" s="459" t="s">
        <v>6605</v>
      </c>
      <c r="H498" s="193" t="s">
        <v>6606</v>
      </c>
      <c r="I498" s="454" t="s">
        <v>3661</v>
      </c>
      <c r="J498" s="453" t="s">
        <v>6607</v>
      </c>
      <c r="K498" s="136" t="s">
        <v>6608</v>
      </c>
      <c r="L498" s="459" t="s">
        <v>6585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6612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6540</v>
      </c>
      <c r="F500" s="31" t="s">
        <v>2978</v>
      </c>
      <c r="G500" s="16" t="s">
        <v>23</v>
      </c>
      <c r="H500" s="193" t="s">
        <v>146</v>
      </c>
      <c r="I500" s="31" t="s">
        <v>6593</v>
      </c>
      <c r="J500" s="31" t="s">
        <v>6630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6540</v>
      </c>
      <c r="F501" s="454" t="s">
        <v>2978</v>
      </c>
      <c r="G501" s="459" t="s">
        <v>843</v>
      </c>
      <c r="H501" s="193" t="s">
        <v>146</v>
      </c>
      <c r="I501" s="31" t="s">
        <v>6593</v>
      </c>
      <c r="J501" s="31" t="s">
        <v>6630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6577</v>
      </c>
      <c r="H502" s="193" t="s">
        <v>6578</v>
      </c>
      <c r="I502" s="31" t="s">
        <v>6579</v>
      </c>
      <c r="J502" s="31" t="s">
        <v>6638</v>
      </c>
      <c r="K502" s="125" t="s">
        <v>15</v>
      </c>
      <c r="L502" s="16" t="s">
        <v>33</v>
      </c>
      <c r="M502" s="8">
        <v>4</v>
      </c>
      <c r="N502" s="31"/>
      <c r="O502" s="429" t="s">
        <v>6590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6506</v>
      </c>
      <c r="I503" s="31" t="s">
        <v>6568</v>
      </c>
      <c r="J503" s="31" t="s">
        <v>6569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6577</v>
      </c>
      <c r="H504" s="193" t="s">
        <v>6578</v>
      </c>
      <c r="I504" s="31" t="s">
        <v>6579</v>
      </c>
      <c r="J504" s="31" t="s">
        <v>6638</v>
      </c>
      <c r="K504" s="125" t="s">
        <v>15</v>
      </c>
      <c r="L504" s="16" t="s">
        <v>33</v>
      </c>
      <c r="M504" s="8">
        <v>4</v>
      </c>
      <c r="N504" s="31"/>
      <c r="O504" s="429" t="s">
        <v>6590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6540</v>
      </c>
      <c r="F505" s="454" t="s">
        <v>2978</v>
      </c>
      <c r="G505" s="459" t="s">
        <v>23</v>
      </c>
      <c r="H505" s="453" t="s">
        <v>6644</v>
      </c>
      <c r="I505" s="454" t="s">
        <v>6593</v>
      </c>
      <c r="J505" s="454" t="s">
        <v>6630</v>
      </c>
      <c r="K505" s="136" t="s">
        <v>15</v>
      </c>
      <c r="L505" s="459">
        <v>9080</v>
      </c>
      <c r="M505" s="455">
        <v>2</v>
      </c>
      <c r="N505" s="456"/>
      <c r="O505" s="773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6664</v>
      </c>
      <c r="I506" s="454" t="s">
        <v>90</v>
      </c>
      <c r="J506" s="454" t="s">
        <v>6630</v>
      </c>
      <c r="K506" s="136" t="s">
        <v>15</v>
      </c>
      <c r="L506" s="459">
        <v>9080</v>
      </c>
      <c r="M506" s="455">
        <v>2</v>
      </c>
      <c r="N506" s="456"/>
      <c r="O506" s="773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6537</v>
      </c>
      <c r="I507" s="31" t="s">
        <v>6568</v>
      </c>
      <c r="J507" s="31" t="s">
        <v>6569</v>
      </c>
      <c r="K507" s="125" t="s">
        <v>6570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2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6577</v>
      </c>
      <c r="H508" s="193" t="s">
        <v>6578</v>
      </c>
      <c r="I508" s="31" t="s">
        <v>6579</v>
      </c>
      <c r="J508" s="31" t="s">
        <v>6638</v>
      </c>
      <c r="K508" s="125" t="s">
        <v>15</v>
      </c>
      <c r="L508" s="16" t="s">
        <v>33</v>
      </c>
      <c r="M508" s="8">
        <v>4</v>
      </c>
      <c r="N508" s="31"/>
      <c r="O508" s="429" t="s">
        <v>6590</v>
      </c>
      <c r="P508" s="31"/>
    </row>
    <row r="509" spans="1:16" s="17" customFormat="1" ht="33" customHeight="1">
      <c r="A509" s="762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2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6501</v>
      </c>
      <c r="G510" s="16" t="s">
        <v>200</v>
      </c>
      <c r="H510" s="193" t="s">
        <v>6587</v>
      </c>
      <c r="I510" s="31" t="s">
        <v>6568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6501</v>
      </c>
      <c r="G511" s="16" t="s">
        <v>200</v>
      </c>
      <c r="H511" s="193" t="s">
        <v>6587</v>
      </c>
      <c r="I511" s="31" t="s">
        <v>6568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1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6628</v>
      </c>
      <c r="J513" s="31" t="s">
        <v>6645</v>
      </c>
      <c r="K513" s="125" t="s">
        <v>6641</v>
      </c>
      <c r="L513" s="16" t="s">
        <v>6636</v>
      </c>
      <c r="M513" s="8">
        <v>2</v>
      </c>
      <c r="N513" s="31" t="s">
        <v>202</v>
      </c>
      <c r="O513" s="431" t="s">
        <v>6646</v>
      </c>
      <c r="P513" s="31"/>
    </row>
    <row r="514" spans="1:17" s="17" customFormat="1" ht="33" customHeight="1">
      <c r="A514" s="595"/>
      <c r="B514" s="399">
        <v>46230</v>
      </c>
      <c r="C514" s="4" t="s">
        <v>6500</v>
      </c>
      <c r="D514" s="4" t="s">
        <v>797</v>
      </c>
      <c r="E514" s="31" t="s">
        <v>6114</v>
      </c>
      <c r="F514" s="31" t="s">
        <v>6501</v>
      </c>
      <c r="G514" s="16" t="s">
        <v>6502</v>
      </c>
      <c r="H514" s="193" t="s">
        <v>6503</v>
      </c>
      <c r="I514" s="31" t="s">
        <v>6568</v>
      </c>
      <c r="J514" s="31" t="s">
        <v>6569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6547</v>
      </c>
      <c r="I515" s="31"/>
      <c r="J515" s="31" t="s">
        <v>6652</v>
      </c>
      <c r="K515" s="125" t="s">
        <v>6641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6500</v>
      </c>
      <c r="D516" s="4" t="s">
        <v>797</v>
      </c>
      <c r="E516" s="31" t="s">
        <v>6114</v>
      </c>
      <c r="F516" s="31" t="s">
        <v>6501</v>
      </c>
      <c r="G516" s="16" t="s">
        <v>6502</v>
      </c>
      <c r="H516" s="193" t="s">
        <v>6503</v>
      </c>
      <c r="I516" s="31" t="s">
        <v>6568</v>
      </c>
      <c r="J516" s="31" t="s">
        <v>6569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6584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6681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7" t="s">
        <v>6686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6682</v>
      </c>
      <c r="I519" s="454"/>
      <c r="J519" s="454" t="s">
        <v>6683</v>
      </c>
      <c r="K519" s="136" t="s">
        <v>15</v>
      </c>
      <c r="L519" s="459" t="s">
        <v>6684</v>
      </c>
      <c r="M519" s="455">
        <v>1</v>
      </c>
      <c r="N519" s="31"/>
      <c r="O519" s="431" t="s">
        <v>6685</v>
      </c>
      <c r="P519" s="31"/>
      <c r="Q519" s="777" t="s">
        <v>6686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6720</v>
      </c>
      <c r="I520" s="454" t="s">
        <v>6640</v>
      </c>
      <c r="J520" s="454" t="s">
        <v>6719</v>
      </c>
      <c r="K520" s="136" t="s">
        <v>6641</v>
      </c>
      <c r="L520" s="459" t="s">
        <v>6721</v>
      </c>
      <c r="M520" s="455">
        <v>2</v>
      </c>
      <c r="N520" s="31"/>
      <c r="O520" s="431" t="s">
        <v>6663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6637</v>
      </c>
      <c r="I521" s="454"/>
      <c r="J521" s="454" t="s">
        <v>6662</v>
      </c>
      <c r="K521" s="136" t="s">
        <v>15</v>
      </c>
      <c r="L521" s="459">
        <v>9080</v>
      </c>
      <c r="M521" s="455">
        <v>2</v>
      </c>
      <c r="N521" s="31"/>
      <c r="O521" s="431" t="s">
        <v>6647</v>
      </c>
      <c r="P521" s="31"/>
    </row>
    <row r="522" spans="1:17" s="17" customFormat="1" ht="33" customHeight="1">
      <c r="A522" s="595"/>
      <c r="B522" s="198">
        <v>46232</v>
      </c>
      <c r="C522" s="3" t="s">
        <v>6500</v>
      </c>
      <c r="D522" s="3" t="s">
        <v>797</v>
      </c>
      <c r="E522" s="454" t="s">
        <v>6114</v>
      </c>
      <c r="F522" s="454" t="s">
        <v>6501</v>
      </c>
      <c r="G522" s="459" t="s">
        <v>6502</v>
      </c>
      <c r="H522" s="453" t="s">
        <v>6504</v>
      </c>
      <c r="I522" s="454" t="s">
        <v>6568</v>
      </c>
      <c r="J522" s="454" t="s">
        <v>6569</v>
      </c>
      <c r="K522" s="136" t="s">
        <v>6571</v>
      </c>
      <c r="L522" s="459" t="s">
        <v>4550</v>
      </c>
      <c r="M522" s="455">
        <v>3</v>
      </c>
      <c r="N522" s="422" t="s">
        <v>6639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6598</v>
      </c>
      <c r="D523" s="3" t="s">
        <v>31</v>
      </c>
      <c r="E523" s="454" t="s">
        <v>6599</v>
      </c>
      <c r="F523" s="454" t="s">
        <v>6600</v>
      </c>
      <c r="G523" s="459" t="s">
        <v>6601</v>
      </c>
      <c r="H523" s="453" t="s">
        <v>6687</v>
      </c>
      <c r="I523" s="454" t="s">
        <v>6635</v>
      </c>
      <c r="J523" s="454"/>
      <c r="K523" s="136" t="s">
        <v>6602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6678</v>
      </c>
      <c r="G524" s="459" t="s">
        <v>207</v>
      </c>
      <c r="H524" s="453" t="s">
        <v>6679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6680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6720</v>
      </c>
      <c r="I525" s="454"/>
      <c r="J525" s="454" t="s">
        <v>6723</v>
      </c>
      <c r="K525" s="136" t="s">
        <v>6378</v>
      </c>
      <c r="L525" s="459" t="s">
        <v>6722</v>
      </c>
      <c r="M525" s="455">
        <v>2</v>
      </c>
      <c r="N525" s="422"/>
      <c r="O525" s="430"/>
      <c r="P525" s="31"/>
      <c r="Q525" s="777" t="s">
        <v>6686</v>
      </c>
    </row>
    <row r="526" spans="1:17" s="17" customFormat="1" ht="33" customHeight="1">
      <c r="A526" s="595"/>
      <c r="B526" s="198">
        <v>46233</v>
      </c>
      <c r="C526" s="3" t="s">
        <v>6500</v>
      </c>
      <c r="D526" s="3" t="s">
        <v>797</v>
      </c>
      <c r="E526" s="454" t="s">
        <v>6114</v>
      </c>
      <c r="F526" s="454" t="s">
        <v>6501</v>
      </c>
      <c r="G526" s="459" t="s">
        <v>6502</v>
      </c>
      <c r="H526" s="453" t="s">
        <v>6504</v>
      </c>
      <c r="I526" s="454" t="s">
        <v>6568</v>
      </c>
      <c r="J526" s="454" t="s">
        <v>6569</v>
      </c>
      <c r="K526" s="136" t="s">
        <v>6572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6712</v>
      </c>
      <c r="F527" s="454" t="s">
        <v>5488</v>
      </c>
      <c r="G527" s="459" t="s">
        <v>5428</v>
      </c>
      <c r="H527" s="453" t="s">
        <v>6714</v>
      </c>
      <c r="I527" s="31" t="s">
        <v>6715</v>
      </c>
      <c r="J527" s="31" t="s">
        <v>6716</v>
      </c>
      <c r="K527" s="125" t="s">
        <v>6717</v>
      </c>
      <c r="L527" s="16" t="s">
        <v>6718</v>
      </c>
      <c r="M527" s="8">
        <v>2</v>
      </c>
      <c r="N527" s="422"/>
      <c r="O527" s="430"/>
      <c r="P527" s="31"/>
      <c r="Q527" s="777" t="s">
        <v>6686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6712</v>
      </c>
      <c r="F528" s="454" t="s">
        <v>5488</v>
      </c>
      <c r="G528" s="459" t="s">
        <v>5428</v>
      </c>
      <c r="H528" s="453" t="s">
        <v>6714</v>
      </c>
      <c r="I528" s="31" t="s">
        <v>6715</v>
      </c>
      <c r="J528" s="31" t="s">
        <v>6716</v>
      </c>
      <c r="K528" s="125" t="s">
        <v>6717</v>
      </c>
      <c r="L528" s="16" t="s">
        <v>6718</v>
      </c>
      <c r="M528" s="8">
        <v>2</v>
      </c>
      <c r="N528" s="422"/>
      <c r="O528" s="430"/>
      <c r="P528" s="31"/>
      <c r="Q528" s="777" t="s">
        <v>6686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6653</v>
      </c>
      <c r="I529" s="454"/>
      <c r="J529" s="454" t="s">
        <v>6654</v>
      </c>
      <c r="K529" s="136" t="s">
        <v>15</v>
      </c>
      <c r="L529" s="459" t="s">
        <v>6655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6500</v>
      </c>
      <c r="D530" s="4" t="s">
        <v>797</v>
      </c>
      <c r="E530" s="31" t="s">
        <v>6114</v>
      </c>
      <c r="F530" s="31" t="s">
        <v>6501</v>
      </c>
      <c r="G530" s="16" t="s">
        <v>6502</v>
      </c>
      <c r="H530" s="193" t="s">
        <v>6505</v>
      </c>
      <c r="I530" s="31" t="s">
        <v>6568</v>
      </c>
      <c r="J530" s="31" t="s">
        <v>6569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6536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6730</v>
      </c>
      <c r="D535" s="4" t="s">
        <v>6731</v>
      </c>
      <c r="E535" s="31" t="s">
        <v>6732</v>
      </c>
      <c r="F535" s="31">
        <v>7065</v>
      </c>
      <c r="G535" s="16" t="s">
        <v>6733</v>
      </c>
      <c r="H535" s="193" t="s">
        <v>6729</v>
      </c>
      <c r="I535" s="31" t="s">
        <v>6734</v>
      </c>
      <c r="J535" s="31"/>
      <c r="K535" s="125"/>
      <c r="L535" s="16" t="s">
        <v>6735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6730</v>
      </c>
      <c r="D536" s="4" t="s">
        <v>6731</v>
      </c>
      <c r="E536" s="31" t="s">
        <v>6736</v>
      </c>
      <c r="F536" s="31">
        <v>7065</v>
      </c>
      <c r="G536" s="16" t="s">
        <v>6737</v>
      </c>
      <c r="H536" s="193" t="s">
        <v>6738</v>
      </c>
      <c r="I536" s="31" t="s">
        <v>6739</v>
      </c>
      <c r="J536" s="31" t="s">
        <v>6692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6536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6730</v>
      </c>
      <c r="D538" s="4" t="s">
        <v>6731</v>
      </c>
      <c r="E538" s="31" t="s">
        <v>6732</v>
      </c>
      <c r="F538" s="31">
        <v>7065</v>
      </c>
      <c r="G538" s="16" t="s">
        <v>6733</v>
      </c>
      <c r="H538" s="193" t="s">
        <v>6729</v>
      </c>
      <c r="I538" s="31" t="s">
        <v>6734</v>
      </c>
      <c r="J538" s="31"/>
      <c r="K538" s="125"/>
      <c r="L538" s="16" t="s">
        <v>6735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6730</v>
      </c>
      <c r="D539" s="4" t="s">
        <v>6731</v>
      </c>
      <c r="E539" s="31" t="s">
        <v>6736</v>
      </c>
      <c r="F539" s="31">
        <v>7065</v>
      </c>
      <c r="G539" s="16" t="s">
        <v>6737</v>
      </c>
      <c r="H539" s="193" t="s">
        <v>6738</v>
      </c>
      <c r="I539" s="31" t="s">
        <v>6739</v>
      </c>
      <c r="J539" s="31" t="s">
        <v>6692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6536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6730</v>
      </c>
      <c r="D541" s="4" t="s">
        <v>6731</v>
      </c>
      <c r="E541" s="31" t="s">
        <v>6732</v>
      </c>
      <c r="F541" s="31">
        <v>7065</v>
      </c>
      <c r="G541" s="16" t="s">
        <v>6733</v>
      </c>
      <c r="H541" s="193" t="s">
        <v>6729</v>
      </c>
      <c r="I541" s="31" t="s">
        <v>6734</v>
      </c>
      <c r="J541" s="31"/>
      <c r="K541" s="125"/>
      <c r="L541" s="16" t="s">
        <v>6735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6730</v>
      </c>
      <c r="D542" s="4" t="s">
        <v>6731</v>
      </c>
      <c r="E542" s="31" t="s">
        <v>6736</v>
      </c>
      <c r="F542" s="31">
        <v>7065</v>
      </c>
      <c r="G542" s="16" t="s">
        <v>6737</v>
      </c>
      <c r="H542" s="193" t="s">
        <v>6738</v>
      </c>
      <c r="I542" s="31" t="s">
        <v>6739</v>
      </c>
      <c r="J542" s="31" t="s">
        <v>6692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6730</v>
      </c>
      <c r="D543" s="4" t="s">
        <v>6731</v>
      </c>
      <c r="E543" s="31" t="s">
        <v>6732</v>
      </c>
      <c r="F543" s="31">
        <v>7065</v>
      </c>
      <c r="G543" s="16" t="s">
        <v>6733</v>
      </c>
      <c r="H543" s="193" t="s">
        <v>6729</v>
      </c>
      <c r="I543" s="31" t="s">
        <v>6734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6712</v>
      </c>
      <c r="F544" s="454" t="s">
        <v>5488</v>
      </c>
      <c r="G544" s="459" t="s">
        <v>5428</v>
      </c>
      <c r="H544" s="453" t="s">
        <v>6741</v>
      </c>
      <c r="I544" s="31"/>
      <c r="J544" s="193" t="s">
        <v>6742</v>
      </c>
      <c r="K544" s="125"/>
      <c r="L544" s="16" t="s">
        <v>6786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6730</v>
      </c>
      <c r="D545" s="4" t="s">
        <v>6731</v>
      </c>
      <c r="E545" s="31" t="s">
        <v>6732</v>
      </c>
      <c r="F545" s="31">
        <v>7065</v>
      </c>
      <c r="G545" s="16" t="s">
        <v>6733</v>
      </c>
      <c r="H545" s="193" t="s">
        <v>6729</v>
      </c>
      <c r="I545" s="31" t="s">
        <v>6734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6712</v>
      </c>
      <c r="F546" s="454" t="s">
        <v>5488</v>
      </c>
      <c r="G546" s="459" t="s">
        <v>5428</v>
      </c>
      <c r="H546" s="453" t="s">
        <v>6728</v>
      </c>
      <c r="I546" s="31"/>
      <c r="J546" s="193" t="s">
        <v>6742</v>
      </c>
      <c r="K546" s="125"/>
      <c r="L546" s="16" t="s">
        <v>6786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595"/>
      <c r="B548" s="763" t="s">
        <v>6580</v>
      </c>
      <c r="C548" s="272" t="s">
        <v>5047</v>
      </c>
      <c r="D548" s="272" t="s">
        <v>6656</v>
      </c>
      <c r="E548" s="765" t="s">
        <v>78</v>
      </c>
      <c r="F548" s="765" t="s">
        <v>6657</v>
      </c>
      <c r="G548" s="766" t="s">
        <v>4001</v>
      </c>
      <c r="H548" s="764" t="s">
        <v>6523</v>
      </c>
      <c r="I548" s="765" t="s">
        <v>6593</v>
      </c>
      <c r="J548" s="765" t="s">
        <v>6586</v>
      </c>
      <c r="K548" s="767" t="s">
        <v>6658</v>
      </c>
      <c r="L548" s="766" t="s">
        <v>6659</v>
      </c>
      <c r="M548" s="768">
        <v>2</v>
      </c>
      <c r="N548" s="769"/>
      <c r="O548" s="774"/>
      <c r="P548" s="31"/>
    </row>
    <row r="549" spans="1:16" s="17" customFormat="1" ht="33" customHeight="1">
      <c r="A549" s="595"/>
      <c r="B549" s="763" t="s">
        <v>6648</v>
      </c>
      <c r="C549" s="272" t="s">
        <v>21</v>
      </c>
      <c r="D549" s="272" t="s">
        <v>14</v>
      </c>
      <c r="E549" s="765" t="s">
        <v>211</v>
      </c>
      <c r="F549" s="765" t="s">
        <v>5754</v>
      </c>
      <c r="G549" s="766" t="s">
        <v>18</v>
      </c>
      <c r="H549" s="764" t="s">
        <v>6355</v>
      </c>
      <c r="I549" s="765"/>
      <c r="J549" s="764"/>
      <c r="K549" s="767"/>
      <c r="L549" s="766"/>
      <c r="M549" s="768"/>
      <c r="N549" s="769"/>
      <c r="O549" s="774"/>
      <c r="P549" s="31"/>
    </row>
    <row r="550" spans="1:16" s="17" customFormat="1" ht="33" customHeight="1">
      <c r="A550" s="595"/>
      <c r="B550" s="763" t="s">
        <v>6648</v>
      </c>
      <c r="C550" s="272" t="s">
        <v>21</v>
      </c>
      <c r="D550" s="272" t="s">
        <v>14</v>
      </c>
      <c r="E550" s="765" t="s">
        <v>107</v>
      </c>
      <c r="F550" s="765" t="s">
        <v>2959</v>
      </c>
      <c r="G550" s="766" t="s">
        <v>6650</v>
      </c>
      <c r="H550" s="764" t="s">
        <v>6651</v>
      </c>
      <c r="I550" s="765"/>
      <c r="J550" s="765" t="s">
        <v>6642</v>
      </c>
      <c r="K550" s="767" t="s">
        <v>15</v>
      </c>
      <c r="L550" s="766" t="s">
        <v>4550</v>
      </c>
      <c r="M550" s="768"/>
      <c r="N550" s="769"/>
      <c r="O550" s="774"/>
      <c r="P550" s="31"/>
    </row>
    <row r="551" spans="1:16" s="17" customFormat="1" ht="33" customHeight="1">
      <c r="A551" s="595"/>
      <c r="B551" s="763" t="s">
        <v>6649</v>
      </c>
      <c r="C551" s="272" t="s">
        <v>21</v>
      </c>
      <c r="D551" s="272" t="s">
        <v>14</v>
      </c>
      <c r="E551" s="765" t="s">
        <v>107</v>
      </c>
      <c r="F551" s="765" t="s">
        <v>2959</v>
      </c>
      <c r="G551" s="766" t="s">
        <v>1895</v>
      </c>
      <c r="H551" s="764" t="s">
        <v>6643</v>
      </c>
      <c r="I551" s="765"/>
      <c r="J551" s="765" t="s">
        <v>6642</v>
      </c>
      <c r="K551" s="767" t="s">
        <v>15</v>
      </c>
      <c r="L551" s="766" t="s">
        <v>4550</v>
      </c>
      <c r="M551" s="768"/>
      <c r="N551" s="769"/>
      <c r="O551" s="771"/>
      <c r="P551" s="31"/>
    </row>
    <row r="552" spans="1:16" s="17" customFormat="1" ht="33" customHeight="1">
      <c r="A552" s="596"/>
      <c r="B552" s="763" t="s">
        <v>6580</v>
      </c>
      <c r="C552" s="272" t="s">
        <v>21</v>
      </c>
      <c r="D552" s="272" t="s">
        <v>14</v>
      </c>
      <c r="E552" s="764" t="s">
        <v>107</v>
      </c>
      <c r="F552" s="765" t="s">
        <v>3386</v>
      </c>
      <c r="G552" s="766" t="s">
        <v>102</v>
      </c>
      <c r="H552" s="764" t="s">
        <v>6583</v>
      </c>
      <c r="I552" s="765" t="s">
        <v>1948</v>
      </c>
      <c r="J552" s="765" t="s">
        <v>6597</v>
      </c>
      <c r="K552" s="767" t="s">
        <v>15</v>
      </c>
      <c r="L552" s="766" t="s">
        <v>6580</v>
      </c>
      <c r="M552" s="768">
        <v>3</v>
      </c>
      <c r="N552" s="770"/>
      <c r="O552" s="771"/>
      <c r="P552" s="31"/>
    </row>
    <row r="553" spans="1:16" s="17" customFormat="1" ht="33" customHeight="1">
      <c r="A553" s="322" t="s">
        <v>0</v>
      </c>
      <c r="B553" s="323" t="s">
        <v>1</v>
      </c>
      <c r="C553" s="322" t="s">
        <v>2</v>
      </c>
      <c r="D553" s="322" t="s">
        <v>3</v>
      </c>
      <c r="E553" s="322" t="s">
        <v>4</v>
      </c>
      <c r="F553" s="322" t="s">
        <v>5</v>
      </c>
      <c r="G553" s="322" t="s">
        <v>6</v>
      </c>
      <c r="H553" s="324" t="s">
        <v>7</v>
      </c>
      <c r="I553" s="322" t="s">
        <v>8</v>
      </c>
      <c r="J553" s="322" t="s">
        <v>9</v>
      </c>
      <c r="K553" s="325" t="s">
        <v>10</v>
      </c>
      <c r="L553" s="326" t="s">
        <v>11</v>
      </c>
      <c r="M553" s="322" t="s">
        <v>12</v>
      </c>
      <c r="N553" s="327" t="s">
        <v>13</v>
      </c>
      <c r="O553" s="427" t="s">
        <v>63</v>
      </c>
      <c r="P553" s="322" t="s">
        <v>123</v>
      </c>
    </row>
    <row r="554" spans="1:16" s="17" customFormat="1" ht="33" customHeight="1">
      <c r="A554" s="594" t="s">
        <v>6330</v>
      </c>
      <c r="B554" s="399">
        <v>46244</v>
      </c>
      <c r="C554" s="4" t="s">
        <v>6730</v>
      </c>
      <c r="D554" s="4" t="s">
        <v>151</v>
      </c>
      <c r="E554" s="31" t="s">
        <v>6732</v>
      </c>
      <c r="F554" s="31">
        <v>7065</v>
      </c>
      <c r="G554" s="16" t="s">
        <v>145</v>
      </c>
      <c r="H554" s="193" t="s">
        <v>6729</v>
      </c>
      <c r="I554" s="31" t="s">
        <v>6312</v>
      </c>
      <c r="J554" s="31"/>
      <c r="K554" s="277" t="s">
        <v>6774</v>
      </c>
      <c r="L554" s="16">
        <v>9080</v>
      </c>
      <c r="M554" s="8">
        <v>1</v>
      </c>
      <c r="N554" s="31"/>
      <c r="O554" s="431"/>
      <c r="P554" s="31"/>
    </row>
    <row r="555" spans="1:16" s="17" customFormat="1" ht="33" customHeight="1">
      <c r="A555" s="595"/>
      <c r="B555" s="763" t="s">
        <v>6788</v>
      </c>
      <c r="C555" s="272" t="s">
        <v>21</v>
      </c>
      <c r="D555" s="272" t="s">
        <v>14</v>
      </c>
      <c r="E555" s="765" t="s">
        <v>107</v>
      </c>
      <c r="F555" s="765" t="s">
        <v>3386</v>
      </c>
      <c r="G555" s="766" t="s">
        <v>102</v>
      </c>
      <c r="H555" s="764" t="s">
        <v>6770</v>
      </c>
      <c r="I555" s="765"/>
      <c r="J555" s="765" t="s">
        <v>6779</v>
      </c>
      <c r="K555" s="767" t="s">
        <v>15</v>
      </c>
      <c r="L555" s="766" t="s">
        <v>33</v>
      </c>
      <c r="M555" s="768">
        <v>3</v>
      </c>
      <c r="N555" s="765"/>
      <c r="O555" s="1073" t="s">
        <v>6789</v>
      </c>
      <c r="P555" s="31"/>
    </row>
    <row r="556" spans="1:16" s="17" customFormat="1" ht="40.5">
      <c r="A556" s="595"/>
      <c r="B556" s="763" t="s">
        <v>6788</v>
      </c>
      <c r="C556" s="272" t="s">
        <v>21</v>
      </c>
      <c r="D556" s="272" t="s">
        <v>139</v>
      </c>
      <c r="E556" s="765" t="s">
        <v>140</v>
      </c>
      <c r="F556" s="765" t="s">
        <v>6703</v>
      </c>
      <c r="G556" s="766" t="s">
        <v>150</v>
      </c>
      <c r="H556" s="764" t="s">
        <v>6705</v>
      </c>
      <c r="I556" s="765"/>
      <c r="J556" s="765" t="s">
        <v>6780</v>
      </c>
      <c r="K556" s="767" t="s">
        <v>181</v>
      </c>
      <c r="L556" s="766" t="s">
        <v>6772</v>
      </c>
      <c r="M556" s="768">
        <v>3</v>
      </c>
      <c r="N556" s="765"/>
      <c r="O556" s="1073" t="s">
        <v>6790</v>
      </c>
      <c r="P556" s="31"/>
    </row>
    <row r="557" spans="1:16" s="17" customFormat="1" ht="33" customHeight="1">
      <c r="A557" s="595"/>
      <c r="B557" s="399">
        <v>46245</v>
      </c>
      <c r="C557" s="3" t="s">
        <v>21</v>
      </c>
      <c r="D557" s="3" t="s">
        <v>17</v>
      </c>
      <c r="E557" s="454" t="s">
        <v>78</v>
      </c>
      <c r="F557" s="454" t="s">
        <v>1645</v>
      </c>
      <c r="G557" s="459" t="s">
        <v>23</v>
      </c>
      <c r="H557" s="453" t="s">
        <v>6785</v>
      </c>
      <c r="I557" s="31" t="s">
        <v>202</v>
      </c>
      <c r="J557" s="31" t="s">
        <v>3353</v>
      </c>
      <c r="K557" s="125" t="s">
        <v>181</v>
      </c>
      <c r="L557" s="16" t="s">
        <v>4379</v>
      </c>
      <c r="M557" s="8">
        <v>2</v>
      </c>
      <c r="N557" s="422"/>
      <c r="O557" s="430"/>
      <c r="P557" s="31"/>
    </row>
    <row r="558" spans="1:16" s="17" customFormat="1" ht="33" customHeight="1">
      <c r="A558" s="595"/>
      <c r="B558" s="399">
        <v>46245</v>
      </c>
      <c r="C558" s="4" t="s">
        <v>6730</v>
      </c>
      <c r="D558" s="4" t="s">
        <v>151</v>
      </c>
      <c r="E558" s="31" t="s">
        <v>6732</v>
      </c>
      <c r="F558" s="31">
        <v>7065</v>
      </c>
      <c r="G558" s="16" t="s">
        <v>145</v>
      </c>
      <c r="H558" s="193" t="s">
        <v>6729</v>
      </c>
      <c r="I558" s="31" t="s">
        <v>6312</v>
      </c>
      <c r="J558" s="31"/>
      <c r="K558" s="277" t="s">
        <v>6774</v>
      </c>
      <c r="L558" s="16">
        <v>9080</v>
      </c>
      <c r="M558" s="8">
        <v>1</v>
      </c>
      <c r="N558" s="31" t="s">
        <v>6771</v>
      </c>
      <c r="O558" s="431"/>
      <c r="P558" s="31"/>
    </row>
    <row r="559" spans="1:16" s="17" customFormat="1" ht="33" customHeight="1">
      <c r="A559" s="595"/>
      <c r="B559" s="763" t="s">
        <v>6788</v>
      </c>
      <c r="C559" s="272" t="s">
        <v>21</v>
      </c>
      <c r="D559" s="272" t="s">
        <v>14</v>
      </c>
      <c r="E559" s="765" t="s">
        <v>107</v>
      </c>
      <c r="F559" s="765" t="s">
        <v>3386</v>
      </c>
      <c r="G559" s="766" t="s">
        <v>102</v>
      </c>
      <c r="H559" s="764" t="s">
        <v>303</v>
      </c>
      <c r="I559" s="765" t="s">
        <v>90</v>
      </c>
      <c r="J559" s="765" t="s">
        <v>41</v>
      </c>
      <c r="K559" s="767" t="s">
        <v>15</v>
      </c>
      <c r="L559" s="766" t="s">
        <v>33</v>
      </c>
      <c r="M559" s="768">
        <v>2</v>
      </c>
      <c r="N559" s="765"/>
      <c r="O559" s="1073" t="s">
        <v>6789</v>
      </c>
      <c r="P559" s="31"/>
    </row>
    <row r="560" spans="1:16" s="17" customFormat="1" ht="49.5" customHeight="1">
      <c r="A560" s="595"/>
      <c r="B560" s="763" t="s">
        <v>6788</v>
      </c>
      <c r="C560" s="272" t="s">
        <v>21</v>
      </c>
      <c r="D560" s="272" t="s">
        <v>139</v>
      </c>
      <c r="E560" s="765" t="s">
        <v>140</v>
      </c>
      <c r="F560" s="765" t="s">
        <v>6703</v>
      </c>
      <c r="G560" s="766" t="s">
        <v>150</v>
      </c>
      <c r="H560" s="764" t="s">
        <v>6705</v>
      </c>
      <c r="I560" s="765" t="s">
        <v>6781</v>
      </c>
      <c r="J560" s="765" t="s">
        <v>6773</v>
      </c>
      <c r="K560" s="767" t="s">
        <v>181</v>
      </c>
      <c r="L560" s="766" t="s">
        <v>6772</v>
      </c>
      <c r="M560" s="768">
        <v>2</v>
      </c>
      <c r="N560" s="765"/>
      <c r="O560" s="1073" t="s">
        <v>6790</v>
      </c>
      <c r="P560" s="31"/>
    </row>
    <row r="561" spans="1:16" s="17" customFormat="1" ht="33.75" customHeight="1">
      <c r="A561" s="595"/>
      <c r="B561" s="399">
        <v>46246</v>
      </c>
      <c r="C561" s="3" t="s">
        <v>113</v>
      </c>
      <c r="D561" s="3" t="s">
        <v>157</v>
      </c>
      <c r="E561" s="454" t="s">
        <v>6766</v>
      </c>
      <c r="F561" s="454" t="s">
        <v>1222</v>
      </c>
      <c r="G561" s="459" t="s">
        <v>150</v>
      </c>
      <c r="H561" s="453" t="s">
        <v>6783</v>
      </c>
      <c r="I561" s="31" t="s">
        <v>120</v>
      </c>
      <c r="J561" s="31"/>
      <c r="K561" s="125" t="s">
        <v>181</v>
      </c>
      <c r="L561" s="16" t="s">
        <v>6772</v>
      </c>
      <c r="M561" s="8">
        <v>1</v>
      </c>
      <c r="N561" s="31"/>
      <c r="O561" s="431"/>
      <c r="P561" s="31"/>
    </row>
    <row r="562" spans="1:16" s="17" customFormat="1" ht="33" customHeight="1">
      <c r="A562" s="595"/>
      <c r="B562" s="399">
        <v>46246</v>
      </c>
      <c r="C562" s="3" t="s">
        <v>21</v>
      </c>
      <c r="D562" s="3" t="s">
        <v>14</v>
      </c>
      <c r="E562" s="454" t="s">
        <v>6712</v>
      </c>
      <c r="F562" s="454" t="s">
        <v>5488</v>
      </c>
      <c r="G562" s="459" t="s">
        <v>5428</v>
      </c>
      <c r="H562" s="193" t="s">
        <v>6713</v>
      </c>
      <c r="I562" s="31" t="s">
        <v>6775</v>
      </c>
      <c r="J562" s="31"/>
      <c r="K562" s="125" t="s">
        <v>181</v>
      </c>
      <c r="L562" s="16" t="s">
        <v>6776</v>
      </c>
      <c r="M562" s="8">
        <v>1</v>
      </c>
      <c r="N562" s="31" t="s">
        <v>6782</v>
      </c>
      <c r="O562" s="431"/>
      <c r="P562" s="31"/>
    </row>
    <row r="563" spans="1:16" s="17" customFormat="1" ht="33" customHeight="1">
      <c r="A563" s="595"/>
      <c r="B563" s="399">
        <v>46246</v>
      </c>
      <c r="C563" s="4" t="s">
        <v>6730</v>
      </c>
      <c r="D563" s="4" t="s">
        <v>151</v>
      </c>
      <c r="E563" s="31" t="s">
        <v>6732</v>
      </c>
      <c r="F563" s="31">
        <v>7065</v>
      </c>
      <c r="G563" s="16" t="s">
        <v>145</v>
      </c>
      <c r="H563" s="193" t="s">
        <v>6729</v>
      </c>
      <c r="I563" s="31" t="s">
        <v>6312</v>
      </c>
      <c r="J563" s="31"/>
      <c r="K563" s="277" t="s">
        <v>6774</v>
      </c>
      <c r="L563" s="16">
        <v>9080</v>
      </c>
      <c r="M563" s="8">
        <v>1</v>
      </c>
      <c r="N563" s="422"/>
      <c r="O563" s="430"/>
      <c r="P563" s="31"/>
    </row>
    <row r="564" spans="1:16" s="17" customFormat="1" ht="33" customHeight="1">
      <c r="A564" s="595"/>
      <c r="B564" s="399">
        <v>46246</v>
      </c>
      <c r="C564" s="3" t="s">
        <v>6706</v>
      </c>
      <c r="D564" s="3" t="s">
        <v>6707</v>
      </c>
      <c r="E564" s="454" t="s">
        <v>1787</v>
      </c>
      <c r="F564" s="454" t="s">
        <v>6708</v>
      </c>
      <c r="G564" s="459" t="s">
        <v>6709</v>
      </c>
      <c r="H564" s="453" t="s">
        <v>6710</v>
      </c>
      <c r="I564" s="31"/>
      <c r="J564" s="31" t="s">
        <v>3074</v>
      </c>
      <c r="K564" s="125" t="s">
        <v>181</v>
      </c>
      <c r="L564" s="16" t="s">
        <v>6778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3" t="s">
        <v>21</v>
      </c>
      <c r="D565" s="3" t="s">
        <v>14</v>
      </c>
      <c r="E565" s="454" t="s">
        <v>107</v>
      </c>
      <c r="F565" s="454" t="s">
        <v>2959</v>
      </c>
      <c r="G565" s="459" t="s">
        <v>6693</v>
      </c>
      <c r="H565" s="453" t="s">
        <v>6694</v>
      </c>
      <c r="I565" s="31" t="s">
        <v>6787</v>
      </c>
      <c r="J565" s="31" t="s">
        <v>6692</v>
      </c>
      <c r="K565" s="125" t="s">
        <v>6777</v>
      </c>
      <c r="L565" s="16" t="s">
        <v>4379</v>
      </c>
      <c r="M565" s="8">
        <v>3</v>
      </c>
      <c r="N565" s="422"/>
      <c r="O565" s="430"/>
      <c r="P565" s="31" t="s">
        <v>6293</v>
      </c>
    </row>
    <row r="566" spans="1:16" s="17" customFormat="1" ht="33" customHeight="1">
      <c r="A566" s="595"/>
      <c r="B566" s="399">
        <v>46247</v>
      </c>
      <c r="C566" s="4" t="s">
        <v>6730</v>
      </c>
      <c r="D566" s="4" t="s">
        <v>151</v>
      </c>
      <c r="E566" s="31" t="s">
        <v>6732</v>
      </c>
      <c r="F566" s="31">
        <v>7065</v>
      </c>
      <c r="G566" s="16" t="s">
        <v>145</v>
      </c>
      <c r="H566" s="193" t="s">
        <v>6729</v>
      </c>
      <c r="I566" s="31" t="s">
        <v>6312</v>
      </c>
      <c r="J566" s="31"/>
      <c r="K566" s="277" t="s">
        <v>6774</v>
      </c>
      <c r="L566" s="16">
        <v>9080</v>
      </c>
      <c r="M566" s="8">
        <v>1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6688</v>
      </c>
      <c r="H567" s="453" t="s">
        <v>6689</v>
      </c>
      <c r="I567" s="31" t="s">
        <v>6711</v>
      </c>
      <c r="J567" s="31" t="s">
        <v>6767</v>
      </c>
      <c r="K567" s="125" t="s">
        <v>181</v>
      </c>
      <c r="L567" s="16" t="s">
        <v>6772</v>
      </c>
      <c r="M567" s="8">
        <v>4</v>
      </c>
      <c r="N567" s="422"/>
      <c r="O567" s="430"/>
      <c r="P567" s="31" t="s">
        <v>6293</v>
      </c>
    </row>
    <row r="568" spans="1:16" s="17" customFormat="1" ht="33" customHeight="1">
      <c r="A568" s="595"/>
      <c r="B568" s="399">
        <v>46248</v>
      </c>
      <c r="C568" s="4" t="s">
        <v>6730</v>
      </c>
      <c r="D568" s="4" t="s">
        <v>151</v>
      </c>
      <c r="E568" s="31" t="s">
        <v>6732</v>
      </c>
      <c r="F568" s="31">
        <v>7065</v>
      </c>
      <c r="G568" s="16" t="s">
        <v>145</v>
      </c>
      <c r="H568" s="193" t="s">
        <v>6729</v>
      </c>
      <c r="I568" s="31" t="s">
        <v>120</v>
      </c>
      <c r="J568" s="31"/>
      <c r="K568" s="277" t="s">
        <v>6774</v>
      </c>
      <c r="L568" s="16">
        <v>9080</v>
      </c>
      <c r="M568" s="8">
        <v>1</v>
      </c>
      <c r="N568" s="422"/>
      <c r="O568" s="430"/>
      <c r="P568" s="31"/>
    </row>
    <row r="569" spans="1:16" s="17" customFormat="1" ht="33" customHeight="1">
      <c r="A569" s="596"/>
      <c r="B569" s="399">
        <v>46249</v>
      </c>
      <c r="C569" s="4"/>
      <c r="D569" s="4"/>
      <c r="E569" s="291"/>
      <c r="F569" s="31"/>
      <c r="G569" s="16"/>
      <c r="H569" s="193"/>
      <c r="I569" s="31"/>
      <c r="J569" s="31"/>
      <c r="K569" s="125"/>
      <c r="L569" s="16"/>
      <c r="M569" s="8"/>
      <c r="N569" s="31"/>
      <c r="O569" s="432"/>
      <c r="P569" s="31"/>
    </row>
    <row r="570" spans="1:16" s="17" customFormat="1" ht="33" customHeight="1">
      <c r="A570" s="322" t="s">
        <v>0</v>
      </c>
      <c r="B570" s="323" t="s">
        <v>1</v>
      </c>
      <c r="C570" s="322" t="s">
        <v>2</v>
      </c>
      <c r="D570" s="322" t="s">
        <v>3</v>
      </c>
      <c r="E570" s="322" t="s">
        <v>4</v>
      </c>
      <c r="F570" s="322" t="s">
        <v>5</v>
      </c>
      <c r="G570" s="322" t="s">
        <v>6</v>
      </c>
      <c r="H570" s="324" t="s">
        <v>7</v>
      </c>
      <c r="I570" s="322" t="s">
        <v>8</v>
      </c>
      <c r="J570" s="322" t="s">
        <v>9</v>
      </c>
      <c r="K570" s="325" t="s">
        <v>10</v>
      </c>
      <c r="L570" s="326" t="s">
        <v>11</v>
      </c>
      <c r="M570" s="322" t="s">
        <v>12</v>
      </c>
      <c r="N570" s="327" t="s">
        <v>13</v>
      </c>
      <c r="O570" s="427" t="s">
        <v>63</v>
      </c>
      <c r="P570" s="322" t="s">
        <v>123</v>
      </c>
    </row>
    <row r="571" spans="1:16" s="17" customFormat="1" ht="33" customHeight="1">
      <c r="A571" s="594" t="s">
        <v>6331</v>
      </c>
      <c r="B571" s="399">
        <v>46251</v>
      </c>
      <c r="C571" s="4" t="s">
        <v>6346</v>
      </c>
      <c r="D571" s="4" t="s">
        <v>6347</v>
      </c>
      <c r="E571" s="31" t="s">
        <v>6725</v>
      </c>
      <c r="F571" s="31" t="s">
        <v>6349</v>
      </c>
      <c r="G571" s="16" t="s">
        <v>6350</v>
      </c>
      <c r="H571" s="193" t="s">
        <v>6724</v>
      </c>
      <c r="I571" s="31"/>
      <c r="J571" s="31"/>
      <c r="K571" s="125"/>
      <c r="L571" s="16"/>
      <c r="M571" s="8"/>
      <c r="N571" s="31"/>
      <c r="O571" s="431"/>
      <c r="P571" s="31"/>
    </row>
    <row r="572" spans="1:16" s="17" customFormat="1" ht="33" customHeight="1">
      <c r="A572" s="595"/>
      <c r="B572" s="399">
        <v>46252</v>
      </c>
      <c r="C572" s="4" t="s">
        <v>21</v>
      </c>
      <c r="D572" s="4" t="s">
        <v>6695</v>
      </c>
      <c r="E572" s="31" t="s">
        <v>6697</v>
      </c>
      <c r="F572" s="31" t="s">
        <v>6698</v>
      </c>
      <c r="G572" s="16" t="s">
        <v>6696</v>
      </c>
      <c r="H572" s="193" t="s">
        <v>6700</v>
      </c>
      <c r="I572" s="31"/>
      <c r="J572" s="31"/>
      <c r="K572" s="125"/>
      <c r="L572" s="16"/>
      <c r="M572" s="8"/>
      <c r="N572" s="31"/>
      <c r="O572" s="431"/>
      <c r="P572" s="31"/>
    </row>
    <row r="573" spans="1:16" s="17" customFormat="1" ht="33" customHeight="1">
      <c r="A573" s="595"/>
      <c r="B573" s="399">
        <v>46252</v>
      </c>
      <c r="C573" s="4" t="s">
        <v>6337</v>
      </c>
      <c r="D573" s="4" t="s">
        <v>6338</v>
      </c>
      <c r="E573" s="31" t="s">
        <v>6339</v>
      </c>
      <c r="F573" s="31" t="s">
        <v>6340</v>
      </c>
      <c r="G573" s="16" t="s">
        <v>6341</v>
      </c>
      <c r="H573" s="193" t="s">
        <v>6342</v>
      </c>
      <c r="I573" s="31"/>
      <c r="J573" s="31"/>
      <c r="K573" s="125"/>
      <c r="L573" s="16"/>
      <c r="M573" s="8"/>
      <c r="N573" s="31"/>
      <c r="O573" s="431"/>
      <c r="P573" s="31"/>
    </row>
    <row r="574" spans="1:16" s="17" customFormat="1" ht="33" customHeight="1">
      <c r="A574" s="595"/>
      <c r="B574" s="399">
        <v>46253</v>
      </c>
      <c r="C574" s="4" t="s">
        <v>21</v>
      </c>
      <c r="D574" s="4" t="s">
        <v>14</v>
      </c>
      <c r="E574" s="31" t="s">
        <v>107</v>
      </c>
      <c r="F574" s="193" t="s">
        <v>6631</v>
      </c>
      <c r="G574" s="16" t="s">
        <v>376</v>
      </c>
      <c r="H574" s="193" t="s">
        <v>6632</v>
      </c>
      <c r="I574" s="31"/>
      <c r="J574" s="193"/>
      <c r="K574" s="125"/>
      <c r="L574" s="16"/>
      <c r="M574" s="8"/>
      <c r="N574" s="422"/>
      <c r="O574" s="430" t="s">
        <v>6633</v>
      </c>
      <c r="P574" s="31"/>
    </row>
    <row r="575" spans="1:16" s="17" customFormat="1" ht="33" customHeight="1">
      <c r="A575" s="595"/>
      <c r="B575" s="399">
        <v>46253</v>
      </c>
      <c r="C575" s="4" t="s">
        <v>21</v>
      </c>
      <c r="D575" s="4" t="s">
        <v>6695</v>
      </c>
      <c r="E575" s="31" t="s">
        <v>6697</v>
      </c>
      <c r="F575" s="31" t="s">
        <v>6698</v>
      </c>
      <c r="G575" s="16" t="s">
        <v>6699</v>
      </c>
      <c r="H575" s="193" t="s">
        <v>6700</v>
      </c>
      <c r="I575" s="31"/>
      <c r="J575" s="193"/>
      <c r="K575" s="125"/>
      <c r="L575" s="16"/>
      <c r="M575" s="8"/>
      <c r="N575" s="422"/>
      <c r="O575" s="430"/>
      <c r="P575" s="31"/>
    </row>
    <row r="576" spans="1:16" s="17" customFormat="1" ht="33" customHeight="1">
      <c r="A576" s="595"/>
      <c r="B576" s="399">
        <v>46254</v>
      </c>
      <c r="C576" s="4" t="s">
        <v>21</v>
      </c>
      <c r="D576" s="4" t="s">
        <v>14</v>
      </c>
      <c r="E576" s="31" t="s">
        <v>107</v>
      </c>
      <c r="F576" s="193" t="s">
        <v>6631</v>
      </c>
      <c r="G576" s="16" t="s">
        <v>67</v>
      </c>
      <c r="H576" s="193" t="s">
        <v>6632</v>
      </c>
      <c r="I576" s="31"/>
      <c r="J576" s="193"/>
      <c r="K576" s="125"/>
      <c r="L576" s="16"/>
      <c r="M576" s="8"/>
      <c r="N576" s="422"/>
      <c r="O576" s="430" t="s">
        <v>6634</v>
      </c>
      <c r="P576" s="31"/>
    </row>
    <row r="577" spans="1:17" s="17" customFormat="1" ht="33" customHeight="1">
      <c r="A577" s="595"/>
      <c r="B577" s="399">
        <v>46254</v>
      </c>
      <c r="C577" s="4" t="s">
        <v>21</v>
      </c>
      <c r="D577" s="4" t="s">
        <v>6695</v>
      </c>
      <c r="E577" s="31" t="s">
        <v>6697</v>
      </c>
      <c r="F577" s="31" t="s">
        <v>6698</v>
      </c>
      <c r="G577" s="16" t="s">
        <v>6701</v>
      </c>
      <c r="H577" s="193" t="s">
        <v>6702</v>
      </c>
      <c r="I577" s="31"/>
      <c r="J577" s="193"/>
      <c r="K577" s="125"/>
      <c r="L577" s="16"/>
      <c r="M577" s="8"/>
      <c r="N577" s="422"/>
      <c r="O577" s="430"/>
      <c r="P577" s="31"/>
    </row>
    <row r="578" spans="1:17" s="17" customFormat="1" ht="33" customHeight="1">
      <c r="A578" s="595"/>
      <c r="B578" s="399">
        <v>46255</v>
      </c>
      <c r="C578" s="4" t="s">
        <v>6346</v>
      </c>
      <c r="D578" s="4" t="s">
        <v>6347</v>
      </c>
      <c r="E578" s="31" t="s">
        <v>6348</v>
      </c>
      <c r="F578" s="31" t="s">
        <v>6349</v>
      </c>
      <c r="G578" s="16" t="s">
        <v>6350</v>
      </c>
      <c r="H578" s="193" t="s">
        <v>6351</v>
      </c>
      <c r="I578" s="31"/>
      <c r="J578" s="193"/>
      <c r="K578" s="125"/>
      <c r="L578" s="16"/>
      <c r="M578" s="8"/>
      <c r="N578" s="422"/>
      <c r="O578" s="430"/>
      <c r="P578" s="31"/>
    </row>
    <row r="579" spans="1:17" s="17" customFormat="1" ht="33" customHeight="1">
      <c r="A579" s="595"/>
      <c r="B579" s="399"/>
      <c r="C579" s="4"/>
      <c r="D579" s="4"/>
      <c r="E579" s="31"/>
      <c r="F579" s="31"/>
      <c r="G579" s="16"/>
      <c r="H579" s="193"/>
      <c r="I579" s="31"/>
      <c r="J579" s="193"/>
      <c r="K579" s="125"/>
      <c r="L579" s="16"/>
      <c r="M579" s="8"/>
      <c r="N579" s="422"/>
      <c r="O579" s="430"/>
      <c r="P579" s="31"/>
    </row>
    <row r="580" spans="1:17" s="17" customFormat="1" ht="33" customHeight="1">
      <c r="A580" s="596"/>
      <c r="B580" s="399">
        <v>46256</v>
      </c>
      <c r="C580" s="4"/>
      <c r="D580" s="4"/>
      <c r="E580" s="291"/>
      <c r="F580" s="31"/>
      <c r="G580" s="16"/>
      <c r="H580" s="193"/>
      <c r="I580" s="31"/>
      <c r="J580" s="31"/>
      <c r="K580" s="125"/>
      <c r="L580" s="16"/>
      <c r="M580" s="8"/>
      <c r="N580" s="31"/>
      <c r="O580" s="432"/>
      <c r="P580" s="31"/>
    </row>
    <row r="581" spans="1:17" s="17" customFormat="1" ht="33" customHeight="1">
      <c r="A581" s="322" t="s">
        <v>0</v>
      </c>
      <c r="B581" s="323" t="s">
        <v>1</v>
      </c>
      <c r="C581" s="322" t="s">
        <v>2</v>
      </c>
      <c r="D581" s="322" t="s">
        <v>3</v>
      </c>
      <c r="E581" s="322" t="s">
        <v>4</v>
      </c>
      <c r="F581" s="322" t="s">
        <v>5</v>
      </c>
      <c r="G581" s="322" t="s">
        <v>6</v>
      </c>
      <c r="H581" s="324" t="s">
        <v>7</v>
      </c>
      <c r="I581" s="322" t="s">
        <v>8</v>
      </c>
      <c r="J581" s="322" t="s">
        <v>9</v>
      </c>
      <c r="K581" s="325" t="s">
        <v>10</v>
      </c>
      <c r="L581" s="326" t="s">
        <v>11</v>
      </c>
      <c r="M581" s="322" t="s">
        <v>12</v>
      </c>
      <c r="N581" s="327" t="s">
        <v>13</v>
      </c>
      <c r="O581" s="427" t="s">
        <v>63</v>
      </c>
      <c r="P581" s="322" t="s">
        <v>123</v>
      </c>
    </row>
    <row r="582" spans="1:17" s="17" customFormat="1" ht="33" customHeight="1">
      <c r="A582" s="594" t="s">
        <v>6332</v>
      </c>
      <c r="B582" s="399">
        <v>46258</v>
      </c>
      <c r="C582" s="4" t="s">
        <v>6762</v>
      </c>
      <c r="D582" s="4" t="s">
        <v>6761</v>
      </c>
      <c r="E582" s="31" t="s">
        <v>6760</v>
      </c>
      <c r="F582" s="31">
        <v>3006</v>
      </c>
      <c r="G582" s="16" t="s">
        <v>6759</v>
      </c>
      <c r="H582" s="193" t="s">
        <v>6765</v>
      </c>
      <c r="I582" s="31"/>
      <c r="J582" s="31" t="s">
        <v>6763</v>
      </c>
      <c r="K582" s="125" t="s">
        <v>6727</v>
      </c>
      <c r="L582" s="16" t="s">
        <v>6764</v>
      </c>
      <c r="M582" s="8"/>
      <c r="N582" s="31"/>
      <c r="O582" s="431"/>
      <c r="P582" s="31"/>
    </row>
    <row r="583" spans="1:17" s="17" customFormat="1" ht="33" customHeight="1">
      <c r="A583" s="595"/>
      <c r="B583" s="399">
        <v>46259</v>
      </c>
      <c r="C583" s="4"/>
      <c r="D583" s="4"/>
      <c r="E583" s="291"/>
      <c r="F583" s="31"/>
      <c r="G583" s="16"/>
      <c r="H583" s="193"/>
      <c r="I583" s="31"/>
      <c r="J583" s="31"/>
      <c r="K583" s="125"/>
      <c r="L583" s="16"/>
      <c r="M583" s="8"/>
      <c r="N583" s="31"/>
      <c r="O583" s="431"/>
      <c r="P583" s="31"/>
    </row>
    <row r="584" spans="1:17" s="17" customFormat="1" ht="33" customHeight="1">
      <c r="A584" s="595"/>
      <c r="B584" s="399">
        <v>46260</v>
      </c>
      <c r="C584" s="4"/>
      <c r="D584" s="4"/>
      <c r="E584" s="31"/>
      <c r="F584" s="31"/>
      <c r="G584" s="16"/>
      <c r="H584" s="193"/>
      <c r="I584" s="31"/>
      <c r="J584" s="193"/>
      <c r="K584" s="125"/>
      <c r="L584" s="16"/>
      <c r="M584" s="8"/>
      <c r="N584" s="422"/>
      <c r="O584" s="430"/>
      <c r="P584" s="31"/>
      <c r="Q584" s="17" t="s">
        <v>6769</v>
      </c>
    </row>
    <row r="585" spans="1:17" s="17" customFormat="1" ht="33" customHeight="1">
      <c r="A585" s="595"/>
      <c r="B585" s="399">
        <v>46261</v>
      </c>
      <c r="C585" s="4"/>
      <c r="D585" s="4"/>
      <c r="E585" s="31"/>
      <c r="F585" s="31"/>
      <c r="G585" s="16"/>
      <c r="H585" s="193"/>
      <c r="I585" s="31"/>
      <c r="J585" s="193"/>
      <c r="K585" s="125"/>
      <c r="L585" s="16"/>
      <c r="M585" s="8"/>
      <c r="N585" s="422"/>
      <c r="O585" s="430"/>
      <c r="P585" s="31"/>
      <c r="Q585" s="17" t="s">
        <v>6769</v>
      </c>
    </row>
    <row r="586" spans="1:17" s="17" customFormat="1" ht="33" customHeight="1">
      <c r="A586" s="595"/>
      <c r="B586" s="399">
        <v>46262</v>
      </c>
      <c r="C586" s="4"/>
      <c r="D586" s="4"/>
      <c r="E586" s="31"/>
      <c r="F586" s="31"/>
      <c r="G586" s="16"/>
      <c r="H586" s="193"/>
      <c r="I586" s="31"/>
      <c r="J586" s="193"/>
      <c r="K586" s="125"/>
      <c r="L586" s="16"/>
      <c r="M586" s="8"/>
      <c r="N586" s="422"/>
      <c r="O586" s="430"/>
      <c r="P586" s="31"/>
      <c r="Q586" s="17" t="s">
        <v>6769</v>
      </c>
    </row>
    <row r="587" spans="1:17" s="17" customFormat="1" ht="33" customHeight="1">
      <c r="A587" s="596"/>
      <c r="B587" s="399">
        <v>46263</v>
      </c>
      <c r="C587" s="4"/>
      <c r="D587" s="4"/>
      <c r="E587" s="291"/>
      <c r="F587" s="31"/>
      <c r="G587" s="16"/>
      <c r="H587" s="193"/>
      <c r="I587" s="31"/>
      <c r="J587" s="31"/>
      <c r="K587" s="125"/>
      <c r="L587" s="16"/>
      <c r="M587" s="8"/>
      <c r="N587" s="31"/>
      <c r="O587" s="432"/>
      <c r="P587" s="31"/>
    </row>
    <row r="588" spans="1:17" s="17" customFormat="1" ht="33" customHeight="1">
      <c r="A588" s="322" t="s">
        <v>0</v>
      </c>
      <c r="B588" s="323" t="s">
        <v>1</v>
      </c>
      <c r="C588" s="322" t="s">
        <v>2</v>
      </c>
      <c r="D588" s="322" t="s">
        <v>3</v>
      </c>
      <c r="E588" s="322" t="s">
        <v>4</v>
      </c>
      <c r="F588" s="322" t="s">
        <v>5</v>
      </c>
      <c r="G588" s="322" t="s">
        <v>6</v>
      </c>
      <c r="H588" s="324" t="s">
        <v>7</v>
      </c>
      <c r="I588" s="322" t="s">
        <v>8</v>
      </c>
      <c r="J588" s="322" t="s">
        <v>9</v>
      </c>
      <c r="K588" s="325" t="s">
        <v>10</v>
      </c>
      <c r="L588" s="326" t="s">
        <v>11</v>
      </c>
      <c r="M588" s="322" t="s">
        <v>12</v>
      </c>
      <c r="N588" s="327" t="s">
        <v>13</v>
      </c>
      <c r="O588" s="427" t="s">
        <v>63</v>
      </c>
      <c r="P588" s="322" t="s">
        <v>123</v>
      </c>
    </row>
    <row r="589" spans="1:17" s="17" customFormat="1" ht="33" customHeight="1">
      <c r="A589" s="594" t="s">
        <v>6333</v>
      </c>
      <c r="B589" s="399">
        <v>46265</v>
      </c>
      <c r="C589" s="4"/>
      <c r="D589" s="4"/>
      <c r="E589" s="31"/>
      <c r="F589" s="31"/>
      <c r="G589" s="16"/>
      <c r="H589" s="193"/>
      <c r="I589" s="31"/>
      <c r="J589" s="31"/>
      <c r="K589" s="125"/>
      <c r="L589" s="16"/>
      <c r="M589" s="8"/>
      <c r="N589" s="31"/>
      <c r="O589" s="431"/>
      <c r="P589" s="31"/>
    </row>
    <row r="590" spans="1:17" s="17" customFormat="1" ht="33" customHeight="1">
      <c r="A590" s="595"/>
      <c r="B590" s="399">
        <v>46266</v>
      </c>
      <c r="C590" s="4"/>
      <c r="D590" s="4"/>
      <c r="E590" s="291"/>
      <c r="F590" s="31"/>
      <c r="G590" s="16"/>
      <c r="H590" s="193"/>
      <c r="I590" s="31"/>
      <c r="J590" s="31"/>
      <c r="K590" s="125"/>
      <c r="L590" s="16"/>
      <c r="M590" s="8"/>
      <c r="N590" s="31"/>
      <c r="O590" s="431"/>
      <c r="P590" s="31"/>
    </row>
    <row r="591" spans="1:17" s="17" customFormat="1" ht="33" customHeight="1">
      <c r="A591" s="595"/>
      <c r="B591" s="399">
        <v>46267</v>
      </c>
      <c r="C591" s="4"/>
      <c r="D591" s="4"/>
      <c r="E591" s="31"/>
      <c r="F591" s="31"/>
      <c r="G591" s="16"/>
      <c r="H591" s="193"/>
      <c r="I591" s="31"/>
      <c r="J591" s="193"/>
      <c r="K591" s="125"/>
      <c r="L591" s="16"/>
      <c r="M591" s="8"/>
      <c r="N591" s="422"/>
      <c r="O591" s="430"/>
      <c r="P591" s="31"/>
    </row>
    <row r="592" spans="1:17" s="17" customFormat="1" ht="33" customHeight="1">
      <c r="A592" s="595"/>
      <c r="B592" s="399">
        <v>46268</v>
      </c>
      <c r="C592" s="4"/>
      <c r="D592" s="4"/>
      <c r="E592" s="31"/>
      <c r="F592" s="31"/>
      <c r="G592" s="16"/>
      <c r="H592" s="193"/>
      <c r="I592" s="31"/>
      <c r="J592" s="193"/>
      <c r="K592" s="125"/>
      <c r="L592" s="16"/>
      <c r="M592" s="8"/>
      <c r="N592" s="422"/>
      <c r="O592" s="430"/>
      <c r="P592" s="31"/>
    </row>
    <row r="593" spans="1:16" s="17" customFormat="1" ht="33" customHeight="1">
      <c r="A593" s="595"/>
      <c r="B593" s="399">
        <v>46269</v>
      </c>
      <c r="C593" s="4"/>
      <c r="D593" s="4"/>
      <c r="E593" s="31"/>
      <c r="F593" s="31"/>
      <c r="G593" s="16"/>
      <c r="H593" s="193"/>
      <c r="I593" s="31"/>
      <c r="J593" s="193"/>
      <c r="K593" s="125"/>
      <c r="L593" s="16"/>
      <c r="M593" s="8"/>
      <c r="N593" s="422"/>
      <c r="O593" s="430"/>
      <c r="P593" s="31"/>
    </row>
    <row r="594" spans="1:16" s="17" customFormat="1" ht="33" customHeight="1">
      <c r="A594" s="596"/>
      <c r="B594" s="399">
        <v>46270</v>
      </c>
      <c r="C594" s="4"/>
      <c r="D594" s="4"/>
      <c r="E594" s="291"/>
      <c r="F594" s="31"/>
      <c r="G594" s="16"/>
      <c r="H594" s="193"/>
      <c r="I594" s="31"/>
      <c r="J594" s="31"/>
      <c r="K594" s="125"/>
      <c r="L594" s="16"/>
      <c r="M594" s="8"/>
      <c r="N594" s="31"/>
      <c r="O594" s="432"/>
      <c r="P594" s="31"/>
    </row>
    <row r="595" spans="1:16" s="17" customFormat="1" ht="33" customHeight="1">
      <c r="A595" s="322" t="s">
        <v>0</v>
      </c>
      <c r="B595" s="323" t="s">
        <v>1</v>
      </c>
      <c r="C595" s="322" t="s">
        <v>2</v>
      </c>
      <c r="D595" s="322" t="s">
        <v>3</v>
      </c>
      <c r="E595" s="322" t="s">
        <v>4</v>
      </c>
      <c r="F595" s="322" t="s">
        <v>5</v>
      </c>
      <c r="G595" s="322" t="s">
        <v>6</v>
      </c>
      <c r="H595" s="324" t="s">
        <v>7</v>
      </c>
      <c r="I595" s="322" t="s">
        <v>8</v>
      </c>
      <c r="J595" s="322" t="s">
        <v>9</v>
      </c>
      <c r="K595" s="325" t="s">
        <v>10</v>
      </c>
      <c r="L595" s="326" t="s">
        <v>11</v>
      </c>
      <c r="M595" s="322" t="s">
        <v>12</v>
      </c>
      <c r="N595" s="327" t="s">
        <v>13</v>
      </c>
      <c r="O595" s="427" t="s">
        <v>63</v>
      </c>
      <c r="P595" s="322" t="s">
        <v>123</v>
      </c>
    </row>
    <row r="596" spans="1:16" s="17" customFormat="1" ht="33" customHeight="1">
      <c r="A596" s="594"/>
      <c r="B596" s="399"/>
      <c r="C596" s="4"/>
      <c r="D596" s="4"/>
      <c r="E596" s="31"/>
      <c r="F596" s="31"/>
      <c r="G596" s="16"/>
      <c r="H596" s="193"/>
      <c r="I596" s="31"/>
      <c r="J596" s="31"/>
      <c r="K596" s="125"/>
      <c r="L596" s="16"/>
      <c r="M596" s="8"/>
      <c r="N596" s="31"/>
      <c r="O596" s="431"/>
      <c r="P596" s="31"/>
    </row>
    <row r="597" spans="1:16" s="17" customFormat="1" ht="33" customHeight="1">
      <c r="A597" s="595"/>
      <c r="B597" s="399"/>
      <c r="C597" s="4"/>
      <c r="D597" s="4"/>
      <c r="E597" s="291"/>
      <c r="F597" s="31"/>
      <c r="G597" s="16"/>
      <c r="H597" s="193"/>
      <c r="I597" s="31"/>
      <c r="J597" s="31"/>
      <c r="K597" s="125"/>
      <c r="L597" s="16"/>
      <c r="M597" s="8"/>
      <c r="N597" s="31"/>
      <c r="O597" s="431"/>
      <c r="P597" s="31"/>
    </row>
    <row r="598" spans="1:16" s="17" customFormat="1" ht="33" customHeight="1">
      <c r="A598" s="595"/>
      <c r="B598" s="399"/>
      <c r="C598" s="4"/>
      <c r="D598" s="4"/>
      <c r="E598" s="31"/>
      <c r="F598" s="31"/>
      <c r="G598" s="16"/>
      <c r="H598" s="193"/>
      <c r="I598" s="31"/>
      <c r="J598" s="193"/>
      <c r="K598" s="125"/>
      <c r="L598" s="16"/>
      <c r="M598" s="8"/>
      <c r="N598" s="422"/>
      <c r="O598" s="430"/>
      <c r="P598" s="31"/>
    </row>
    <row r="599" spans="1:16" s="17" customFormat="1" ht="33" customHeight="1">
      <c r="A599" s="595"/>
      <c r="B599" s="399"/>
      <c r="C599" s="4"/>
      <c r="D599" s="4"/>
      <c r="E599" s="31"/>
      <c r="F599" s="31"/>
      <c r="G599" s="16"/>
      <c r="H599" s="193"/>
      <c r="I599" s="31"/>
      <c r="J599" s="193"/>
      <c r="K599" s="125"/>
      <c r="L599" s="16"/>
      <c r="M599" s="8"/>
      <c r="N599" s="422"/>
      <c r="O599" s="430"/>
      <c r="P599" s="31"/>
    </row>
    <row r="600" spans="1:16" s="17" customFormat="1" ht="33" customHeight="1">
      <c r="A600" s="595"/>
      <c r="B600" s="399"/>
      <c r="C600" s="4"/>
      <c r="D600" s="4"/>
      <c r="E600" s="31"/>
      <c r="F600" s="31"/>
      <c r="G600" s="16"/>
      <c r="H600" s="193"/>
      <c r="I600" s="31"/>
      <c r="J600" s="193"/>
      <c r="K600" s="125"/>
      <c r="L600" s="16"/>
      <c r="M600" s="8"/>
      <c r="N600" s="422"/>
      <c r="O600" s="430"/>
      <c r="P600" s="31"/>
    </row>
    <row r="601" spans="1:16" s="17" customFormat="1" ht="33" customHeight="1">
      <c r="A601" s="596"/>
      <c r="B601" s="399"/>
      <c r="C601" s="4"/>
      <c r="D601" s="4"/>
      <c r="E601" s="291"/>
      <c r="F601" s="31"/>
      <c r="G601" s="16"/>
      <c r="H601" s="193"/>
      <c r="I601" s="31"/>
      <c r="J601" s="31"/>
      <c r="K601" s="125"/>
      <c r="L601" s="16"/>
      <c r="M601" s="8"/>
      <c r="N601" s="31"/>
      <c r="O601" s="432"/>
      <c r="P601" s="31"/>
    </row>
    <row r="602" spans="1:16" s="17" customFormat="1" ht="33" customHeight="1">
      <c r="A602" s="322" t="s">
        <v>0</v>
      </c>
      <c r="B602" s="323" t="s">
        <v>1</v>
      </c>
      <c r="C602" s="322" t="s">
        <v>2</v>
      </c>
      <c r="D602" s="322" t="s">
        <v>3</v>
      </c>
      <c r="E602" s="322" t="s">
        <v>4</v>
      </c>
      <c r="F602" s="322" t="s">
        <v>5</v>
      </c>
      <c r="G602" s="322" t="s">
        <v>6</v>
      </c>
      <c r="H602" s="324" t="s">
        <v>7</v>
      </c>
      <c r="I602" s="322" t="s">
        <v>8</v>
      </c>
      <c r="J602" s="322" t="s">
        <v>9</v>
      </c>
      <c r="K602" s="325" t="s">
        <v>10</v>
      </c>
      <c r="L602" s="326" t="s">
        <v>11</v>
      </c>
      <c r="M602" s="322" t="s">
        <v>12</v>
      </c>
      <c r="N602" s="327" t="s">
        <v>13</v>
      </c>
      <c r="O602" s="427" t="s">
        <v>63</v>
      </c>
      <c r="P602" s="322" t="s">
        <v>123</v>
      </c>
    </row>
    <row r="603" spans="1:16" s="17" customFormat="1" ht="33" customHeight="1">
      <c r="A603" s="594"/>
      <c r="B603" s="399"/>
      <c r="C603" s="4"/>
      <c r="D603" s="4"/>
      <c r="E603" s="31"/>
      <c r="F603" s="31"/>
      <c r="G603" s="16"/>
      <c r="H603" s="193"/>
      <c r="I603" s="31"/>
      <c r="J603" s="31"/>
      <c r="K603" s="125"/>
      <c r="L603" s="16"/>
      <c r="M603" s="8"/>
      <c r="N603" s="31"/>
      <c r="O603" s="431"/>
      <c r="P603" s="31"/>
    </row>
    <row r="604" spans="1:16" s="17" customFormat="1" ht="33" customHeight="1">
      <c r="A604" s="595"/>
      <c r="B604" s="399"/>
      <c r="C604" s="4"/>
      <c r="D604" s="4"/>
      <c r="E604" s="291"/>
      <c r="F604" s="31"/>
      <c r="G604" s="16"/>
      <c r="H604" s="193"/>
      <c r="I604" s="31"/>
      <c r="J604" s="31"/>
      <c r="K604" s="125"/>
      <c r="L604" s="16"/>
      <c r="M604" s="8"/>
      <c r="N604" s="31"/>
      <c r="O604" s="431"/>
      <c r="P604" s="31"/>
    </row>
    <row r="605" spans="1:16" s="17" customFormat="1" ht="33" customHeight="1">
      <c r="A605" s="595"/>
      <c r="B605" s="399"/>
      <c r="C605" s="4"/>
      <c r="D605" s="4"/>
      <c r="E605" s="31"/>
      <c r="F605" s="31"/>
      <c r="G605" s="16"/>
      <c r="H605" s="193"/>
      <c r="I605" s="31"/>
      <c r="J605" s="193"/>
      <c r="K605" s="125"/>
      <c r="L605" s="16"/>
      <c r="M605" s="8"/>
      <c r="N605" s="422"/>
      <c r="O605" s="430"/>
      <c r="P605" s="31"/>
    </row>
    <row r="606" spans="1:16" s="17" customFormat="1" ht="33" customHeight="1">
      <c r="A606" s="595"/>
      <c r="B606" s="399"/>
      <c r="C606" s="4"/>
      <c r="D606" s="4"/>
      <c r="E606" s="31"/>
      <c r="F606" s="31"/>
      <c r="G606" s="16"/>
      <c r="H606" s="193"/>
      <c r="I606" s="31"/>
      <c r="J606" s="193"/>
      <c r="K606" s="125"/>
      <c r="L606" s="16"/>
      <c r="M606" s="8"/>
      <c r="N606" s="422"/>
      <c r="O606" s="430"/>
      <c r="P606" s="31"/>
    </row>
    <row r="607" spans="1:16" s="17" customFormat="1" ht="33" customHeight="1">
      <c r="A607" s="595"/>
      <c r="B607" s="399"/>
      <c r="C607" s="4"/>
      <c r="D607" s="4"/>
      <c r="E607" s="31"/>
      <c r="F607" s="31"/>
      <c r="G607" s="16"/>
      <c r="H607" s="193"/>
      <c r="I607" s="31"/>
      <c r="J607" s="193"/>
      <c r="K607" s="125"/>
      <c r="L607" s="16"/>
      <c r="M607" s="8"/>
      <c r="N607" s="422"/>
      <c r="O607" s="430"/>
      <c r="P607" s="31"/>
    </row>
    <row r="608" spans="1:16" s="17" customFormat="1" ht="33" customHeight="1">
      <c r="A608" s="596"/>
      <c r="B608" s="399"/>
      <c r="C608" s="4"/>
      <c r="D608" s="4"/>
      <c r="E608" s="291"/>
      <c r="F608" s="31"/>
      <c r="G608" s="16"/>
      <c r="H608" s="193"/>
      <c r="I608" s="31"/>
      <c r="J608" s="31"/>
      <c r="K608" s="125"/>
      <c r="L608" s="16"/>
      <c r="M608" s="8"/>
      <c r="N608" s="31"/>
      <c r="O608" s="432"/>
      <c r="P608" s="31"/>
    </row>
    <row r="609" spans="1:16" s="17" customFormat="1" ht="33" customHeight="1">
      <c r="A609" s="322" t="s">
        <v>0</v>
      </c>
      <c r="B609" s="323" t="s">
        <v>1</v>
      </c>
      <c r="C609" s="322" t="s">
        <v>2</v>
      </c>
      <c r="D609" s="322" t="s">
        <v>3</v>
      </c>
      <c r="E609" s="322" t="s">
        <v>4</v>
      </c>
      <c r="F609" s="322" t="s">
        <v>5</v>
      </c>
      <c r="G609" s="322" t="s">
        <v>6</v>
      </c>
      <c r="H609" s="324" t="s">
        <v>7</v>
      </c>
      <c r="I609" s="322" t="s">
        <v>8</v>
      </c>
      <c r="J609" s="322" t="s">
        <v>9</v>
      </c>
      <c r="K609" s="325" t="s">
        <v>10</v>
      </c>
      <c r="L609" s="326" t="s">
        <v>11</v>
      </c>
      <c r="M609" s="322" t="s">
        <v>12</v>
      </c>
      <c r="N609" s="327" t="s">
        <v>13</v>
      </c>
      <c r="O609" s="427" t="s">
        <v>63</v>
      </c>
      <c r="P609" s="322" t="s">
        <v>123</v>
      </c>
    </row>
    <row r="610" spans="1:16" s="17" customFormat="1" ht="33" customHeight="1">
      <c r="A610" s="594"/>
      <c r="B610" s="399"/>
      <c r="C610" s="4"/>
      <c r="D610" s="4"/>
      <c r="E610" s="31"/>
      <c r="F610" s="31"/>
      <c r="G610" s="16"/>
      <c r="H610" s="193"/>
      <c r="I610" s="31"/>
      <c r="J610" s="31"/>
      <c r="K610" s="125"/>
      <c r="L610" s="16"/>
      <c r="M610" s="8"/>
      <c r="N610" s="31"/>
      <c r="O610" s="431"/>
      <c r="P610" s="31"/>
    </row>
    <row r="611" spans="1:16" s="17" customFormat="1" ht="33" customHeight="1">
      <c r="A611" s="595"/>
      <c r="B611" s="399"/>
      <c r="C611" s="4"/>
      <c r="D611" s="4"/>
      <c r="E611" s="291"/>
      <c r="F611" s="31"/>
      <c r="G611" s="16"/>
      <c r="H611" s="193"/>
      <c r="I611" s="31"/>
      <c r="J611" s="31"/>
      <c r="K611" s="125"/>
      <c r="L611" s="16"/>
      <c r="M611" s="8"/>
      <c r="N611" s="31"/>
      <c r="O611" s="431"/>
      <c r="P611" s="31"/>
    </row>
    <row r="612" spans="1:16" s="17" customFormat="1" ht="33" customHeight="1">
      <c r="A612" s="595"/>
      <c r="B612" s="399"/>
      <c r="C612" s="4"/>
      <c r="D612" s="4"/>
      <c r="E612" s="31"/>
      <c r="F612" s="31"/>
      <c r="G612" s="16"/>
      <c r="H612" s="193"/>
      <c r="I612" s="31"/>
      <c r="J612" s="193"/>
      <c r="K612" s="125"/>
      <c r="L612" s="16"/>
      <c r="M612" s="8"/>
      <c r="N612" s="422"/>
      <c r="O612" s="430"/>
      <c r="P612" s="31"/>
    </row>
    <row r="613" spans="1:16" s="17" customFormat="1" ht="33" customHeight="1">
      <c r="A613" s="595"/>
      <c r="B613" s="399"/>
      <c r="C613" s="4"/>
      <c r="D613" s="4"/>
      <c r="E613" s="31"/>
      <c r="F613" s="31"/>
      <c r="G613" s="16"/>
      <c r="H613" s="193"/>
      <c r="I613" s="31"/>
      <c r="J613" s="193"/>
      <c r="K613" s="125"/>
      <c r="L613" s="16"/>
      <c r="M613" s="8"/>
      <c r="N613" s="422"/>
      <c r="O613" s="430"/>
      <c r="P613" s="31"/>
    </row>
    <row r="614" spans="1:16" s="17" customFormat="1" ht="33" customHeight="1">
      <c r="A614" s="595"/>
      <c r="B614" s="399"/>
      <c r="C614" s="4"/>
      <c r="D614" s="4"/>
      <c r="E614" s="31"/>
      <c r="F614" s="31"/>
      <c r="G614" s="16"/>
      <c r="H614" s="193"/>
      <c r="I614" s="31"/>
      <c r="J614" s="193"/>
      <c r="K614" s="125"/>
      <c r="L614" s="16"/>
      <c r="M614" s="8"/>
      <c r="N614" s="422"/>
      <c r="O614" s="430"/>
      <c r="P614" s="31"/>
    </row>
    <row r="615" spans="1:16" s="17" customFormat="1" ht="33" customHeight="1">
      <c r="A615" s="596"/>
      <c r="B615" s="399"/>
      <c r="C615" s="4"/>
      <c r="D615" s="4"/>
      <c r="E615" s="291"/>
      <c r="F615" s="31"/>
      <c r="G615" s="16"/>
      <c r="H615" s="193"/>
      <c r="I615" s="31"/>
      <c r="J615" s="31"/>
      <c r="K615" s="125"/>
      <c r="L615" s="16"/>
      <c r="M615" s="8"/>
      <c r="N615" s="31"/>
      <c r="O615" s="432"/>
      <c r="P615" s="31"/>
    </row>
    <row r="616" spans="1:16" s="17" customFormat="1" ht="33" customHeight="1">
      <c r="A616" s="322" t="s">
        <v>0</v>
      </c>
      <c r="B616" s="323" t="s">
        <v>1</v>
      </c>
      <c r="C616" s="322" t="s">
        <v>2</v>
      </c>
      <c r="D616" s="322" t="s">
        <v>3</v>
      </c>
      <c r="E616" s="322" t="s">
        <v>4</v>
      </c>
      <c r="F616" s="322" t="s">
        <v>5</v>
      </c>
      <c r="G616" s="322" t="s">
        <v>6</v>
      </c>
      <c r="H616" s="324" t="s">
        <v>7</v>
      </c>
      <c r="I616" s="322" t="s">
        <v>8</v>
      </c>
      <c r="J616" s="322" t="s">
        <v>9</v>
      </c>
      <c r="K616" s="325" t="s">
        <v>10</v>
      </c>
      <c r="L616" s="326" t="s">
        <v>11</v>
      </c>
      <c r="M616" s="322" t="s">
        <v>12</v>
      </c>
      <c r="N616" s="327" t="s">
        <v>13</v>
      </c>
      <c r="O616" s="427" t="s">
        <v>63</v>
      </c>
      <c r="P616" s="322" t="s">
        <v>123</v>
      </c>
    </row>
    <row r="617" spans="1:16" s="17" customFormat="1" ht="33" customHeight="1">
      <c r="A617" s="594"/>
      <c r="B617" s="399"/>
      <c r="C617" s="4"/>
      <c r="D617" s="4"/>
      <c r="E617" s="31"/>
      <c r="F617" s="31"/>
      <c r="G617" s="16"/>
      <c r="H617" s="193"/>
      <c r="I617" s="31"/>
      <c r="J617" s="31"/>
      <c r="K617" s="125"/>
      <c r="L617" s="16"/>
      <c r="M617" s="8"/>
      <c r="N617" s="31"/>
      <c r="O617" s="431"/>
      <c r="P617" s="31"/>
    </row>
    <row r="618" spans="1:16" s="17" customFormat="1" ht="33" customHeight="1">
      <c r="A618" s="595"/>
      <c r="B618" s="399"/>
      <c r="C618" s="4"/>
      <c r="D618" s="4"/>
      <c r="E618" s="291"/>
      <c r="F618" s="31"/>
      <c r="G618" s="16"/>
      <c r="H618" s="193"/>
      <c r="I618" s="31"/>
      <c r="J618" s="31"/>
      <c r="K618" s="125"/>
      <c r="L618" s="16"/>
      <c r="M618" s="8"/>
      <c r="N618" s="31"/>
      <c r="O618" s="431"/>
      <c r="P618" s="31"/>
    </row>
    <row r="619" spans="1:16" s="17" customFormat="1" ht="33" customHeight="1">
      <c r="A619" s="595"/>
      <c r="B619" s="399"/>
      <c r="C619" s="4"/>
      <c r="D619" s="4"/>
      <c r="E619" s="31"/>
      <c r="F619" s="31"/>
      <c r="G619" s="16"/>
      <c r="H619" s="193"/>
      <c r="I619" s="31"/>
      <c r="J619" s="193"/>
      <c r="K619" s="125"/>
      <c r="L619" s="16"/>
      <c r="M619" s="8"/>
      <c r="N619" s="422"/>
      <c r="O619" s="430"/>
      <c r="P619" s="31"/>
    </row>
    <row r="620" spans="1:16" s="17" customFormat="1" ht="33" customHeight="1">
      <c r="A620" s="595"/>
      <c r="B620" s="399"/>
      <c r="C620" s="4"/>
      <c r="D620" s="4"/>
      <c r="E620" s="31"/>
      <c r="F620" s="31"/>
      <c r="G620" s="16"/>
      <c r="H620" s="193"/>
      <c r="I620" s="31"/>
      <c r="J620" s="193"/>
      <c r="K620" s="125"/>
      <c r="L620" s="16"/>
      <c r="M620" s="8"/>
      <c r="N620" s="422"/>
      <c r="O620" s="430"/>
      <c r="P620" s="31"/>
    </row>
    <row r="621" spans="1:16" s="17" customFormat="1" ht="33" customHeight="1">
      <c r="A621" s="595"/>
      <c r="B621" s="399"/>
      <c r="C621" s="4"/>
      <c r="D621" s="4"/>
      <c r="E621" s="31"/>
      <c r="F621" s="31"/>
      <c r="G621" s="16"/>
      <c r="H621" s="193"/>
      <c r="I621" s="31"/>
      <c r="J621" s="193"/>
      <c r="K621" s="125"/>
      <c r="L621" s="16"/>
      <c r="M621" s="8"/>
      <c r="N621" s="422"/>
      <c r="O621" s="430"/>
      <c r="P621" s="31"/>
    </row>
    <row r="622" spans="1:16" s="17" customFormat="1" ht="33" customHeight="1">
      <c r="A622" s="596"/>
      <c r="B622" s="399"/>
      <c r="C622" s="4"/>
      <c r="D622" s="4"/>
      <c r="E622" s="291"/>
      <c r="F622" s="31"/>
      <c r="G622" s="16"/>
      <c r="H622" s="193"/>
      <c r="I622" s="31"/>
      <c r="J622" s="31"/>
      <c r="K622" s="125"/>
      <c r="L622" s="16"/>
      <c r="M622" s="8"/>
      <c r="N622" s="31"/>
      <c r="O622" s="432"/>
      <c r="P622" s="31"/>
    </row>
    <row r="623" spans="1:16" s="17" customFormat="1" ht="33" customHeight="1">
      <c r="A623" s="322" t="s">
        <v>0</v>
      </c>
      <c r="B623" s="323" t="s">
        <v>1</v>
      </c>
      <c r="C623" s="322" t="s">
        <v>2</v>
      </c>
      <c r="D623" s="322" t="s">
        <v>3</v>
      </c>
      <c r="E623" s="322" t="s">
        <v>4</v>
      </c>
      <c r="F623" s="322" t="s">
        <v>5</v>
      </c>
      <c r="G623" s="322" t="s">
        <v>6</v>
      </c>
      <c r="H623" s="324" t="s">
        <v>7</v>
      </c>
      <c r="I623" s="322" t="s">
        <v>8</v>
      </c>
      <c r="J623" s="322" t="s">
        <v>9</v>
      </c>
      <c r="K623" s="325" t="s">
        <v>10</v>
      </c>
      <c r="L623" s="326" t="s">
        <v>11</v>
      </c>
      <c r="M623" s="322" t="s">
        <v>12</v>
      </c>
      <c r="N623" s="327" t="s">
        <v>13</v>
      </c>
      <c r="O623" s="427" t="s">
        <v>63</v>
      </c>
      <c r="P623" s="322" t="s">
        <v>123</v>
      </c>
    </row>
    <row r="624" spans="1:16" s="17" customFormat="1" ht="33" customHeight="1">
      <c r="A624" s="594"/>
      <c r="B624" s="399"/>
      <c r="C624" s="4"/>
      <c r="D624" s="4"/>
      <c r="E624" s="31"/>
      <c r="F624" s="31"/>
      <c r="G624" s="16"/>
      <c r="H624" s="193"/>
      <c r="I624" s="31"/>
      <c r="J624" s="31"/>
      <c r="K624" s="125"/>
      <c r="L624" s="16"/>
      <c r="M624" s="8"/>
      <c r="N624" s="31"/>
      <c r="O624" s="431"/>
      <c r="P624" s="31"/>
    </row>
    <row r="625" spans="1:16" s="17" customFormat="1" ht="33" customHeight="1">
      <c r="A625" s="595"/>
      <c r="B625" s="399"/>
      <c r="C625" s="4"/>
      <c r="D625" s="4"/>
      <c r="E625" s="291"/>
      <c r="F625" s="31"/>
      <c r="G625" s="16"/>
      <c r="H625" s="193"/>
      <c r="I625" s="31"/>
      <c r="J625" s="31"/>
      <c r="K625" s="125"/>
      <c r="L625" s="16"/>
      <c r="M625" s="8"/>
      <c r="N625" s="31"/>
      <c r="O625" s="431"/>
      <c r="P625" s="31"/>
    </row>
    <row r="626" spans="1:16" s="17" customFormat="1" ht="33" customHeight="1">
      <c r="A626" s="595"/>
      <c r="B626" s="399"/>
      <c r="C626" s="4"/>
      <c r="D626" s="4"/>
      <c r="E626" s="31"/>
      <c r="F626" s="31"/>
      <c r="G626" s="16"/>
      <c r="H626" s="193"/>
      <c r="I626" s="31"/>
      <c r="J626" s="193"/>
      <c r="K626" s="125"/>
      <c r="L626" s="16"/>
      <c r="M626" s="8"/>
      <c r="N626" s="422"/>
      <c r="O626" s="430"/>
      <c r="P626" s="31"/>
    </row>
    <row r="627" spans="1:16" s="17" customFormat="1" ht="33" customHeight="1">
      <c r="A627" s="595"/>
      <c r="B627" s="399"/>
      <c r="C627" s="4"/>
      <c r="D627" s="4"/>
      <c r="E627" s="31"/>
      <c r="F627" s="31"/>
      <c r="G627" s="16"/>
      <c r="H627" s="193"/>
      <c r="I627" s="31"/>
      <c r="J627" s="193"/>
      <c r="K627" s="125"/>
      <c r="L627" s="16"/>
      <c r="M627" s="8"/>
      <c r="N627" s="422"/>
      <c r="O627" s="430"/>
      <c r="P627" s="31"/>
    </row>
    <row r="628" spans="1:16" s="17" customFormat="1" ht="33" customHeight="1">
      <c r="A628" s="595"/>
      <c r="B628" s="399"/>
      <c r="C628" s="4"/>
      <c r="D628" s="4"/>
      <c r="E628" s="31"/>
      <c r="F628" s="31"/>
      <c r="G628" s="16"/>
      <c r="H628" s="193"/>
      <c r="I628" s="31"/>
      <c r="J628" s="193"/>
      <c r="K628" s="125"/>
      <c r="L628" s="16"/>
      <c r="M628" s="8"/>
      <c r="N628" s="422"/>
      <c r="O628" s="430"/>
      <c r="P628" s="31"/>
    </row>
    <row r="629" spans="1:16" s="17" customFormat="1" ht="33" customHeight="1">
      <c r="A629" s="596"/>
      <c r="B629" s="399"/>
      <c r="C629" s="4"/>
      <c r="D629" s="4"/>
      <c r="E629" s="291"/>
      <c r="F629" s="31"/>
      <c r="G629" s="16"/>
      <c r="H629" s="193"/>
      <c r="I629" s="31"/>
      <c r="J629" s="31"/>
      <c r="K629" s="125"/>
      <c r="L629" s="16"/>
      <c r="M629" s="8"/>
      <c r="N629" s="31"/>
      <c r="O629" s="432"/>
      <c r="P629" s="31"/>
    </row>
    <row r="630" spans="1:16" s="17" customFormat="1" ht="33" customHeight="1">
      <c r="A630" s="322" t="s">
        <v>0</v>
      </c>
      <c r="B630" s="323" t="s">
        <v>1</v>
      </c>
      <c r="C630" s="322" t="s">
        <v>2</v>
      </c>
      <c r="D630" s="322" t="s">
        <v>3</v>
      </c>
      <c r="E630" s="322" t="s">
        <v>4</v>
      </c>
      <c r="F630" s="322" t="s">
        <v>5</v>
      </c>
      <c r="G630" s="322" t="s">
        <v>6</v>
      </c>
      <c r="H630" s="324" t="s">
        <v>7</v>
      </c>
      <c r="I630" s="322" t="s">
        <v>8</v>
      </c>
      <c r="J630" s="322" t="s">
        <v>9</v>
      </c>
      <c r="K630" s="325" t="s">
        <v>10</v>
      </c>
      <c r="L630" s="326" t="s">
        <v>11</v>
      </c>
      <c r="M630" s="322" t="s">
        <v>12</v>
      </c>
      <c r="N630" s="327" t="s">
        <v>13</v>
      </c>
      <c r="O630" s="427" t="s">
        <v>63</v>
      </c>
      <c r="P630" s="322" t="s">
        <v>123</v>
      </c>
    </row>
    <row r="631" spans="1:16" s="17" customFormat="1" ht="33" customHeight="1">
      <c r="A631" s="594"/>
      <c r="B631" s="399"/>
      <c r="C631" s="4"/>
      <c r="D631" s="4"/>
      <c r="E631" s="31"/>
      <c r="F631" s="31"/>
      <c r="G631" s="16"/>
      <c r="H631" s="193"/>
      <c r="I631" s="31"/>
      <c r="J631" s="31"/>
      <c r="K631" s="125"/>
      <c r="L631" s="16"/>
      <c r="M631" s="8"/>
      <c r="N631" s="31"/>
      <c r="O631" s="431"/>
      <c r="P631" s="31"/>
    </row>
    <row r="632" spans="1:16" s="17" customFormat="1" ht="33" customHeight="1">
      <c r="A632" s="595"/>
      <c r="B632" s="399"/>
      <c r="C632" s="4"/>
      <c r="D632" s="4"/>
      <c r="E632" s="291"/>
      <c r="F632" s="31"/>
      <c r="G632" s="16"/>
      <c r="H632" s="193"/>
      <c r="I632" s="31"/>
      <c r="J632" s="31"/>
      <c r="K632" s="125"/>
      <c r="L632" s="16"/>
      <c r="M632" s="8"/>
      <c r="N632" s="31"/>
      <c r="O632" s="431"/>
      <c r="P632" s="31"/>
    </row>
    <row r="633" spans="1:16" s="17" customFormat="1" ht="33" customHeight="1">
      <c r="A633" s="595"/>
      <c r="B633" s="399"/>
      <c r="C633" s="4"/>
      <c r="D633" s="4"/>
      <c r="E633" s="31"/>
      <c r="F633" s="31"/>
      <c r="G633" s="16"/>
      <c r="H633" s="193"/>
      <c r="I633" s="31"/>
      <c r="J633" s="193"/>
      <c r="K633" s="125"/>
      <c r="L633" s="16"/>
      <c r="M633" s="8"/>
      <c r="N633" s="422"/>
      <c r="O633" s="430"/>
      <c r="P633" s="31"/>
    </row>
    <row r="634" spans="1:16" s="17" customFormat="1" ht="33" customHeight="1">
      <c r="A634" s="595"/>
      <c r="B634" s="399"/>
      <c r="C634" s="4"/>
      <c r="D634" s="4"/>
      <c r="E634" s="31"/>
      <c r="F634" s="31"/>
      <c r="G634" s="16"/>
      <c r="H634" s="193"/>
      <c r="I634" s="31"/>
      <c r="J634" s="193"/>
      <c r="K634" s="125"/>
      <c r="L634" s="16"/>
      <c r="M634" s="8"/>
      <c r="N634" s="422"/>
      <c r="O634" s="430"/>
      <c r="P634" s="31"/>
    </row>
    <row r="635" spans="1:16" s="17" customFormat="1" ht="33" customHeight="1">
      <c r="A635" s="595"/>
      <c r="B635" s="399"/>
      <c r="C635" s="4"/>
      <c r="D635" s="4"/>
      <c r="E635" s="31"/>
      <c r="F635" s="31"/>
      <c r="G635" s="16"/>
      <c r="H635" s="193"/>
      <c r="I635" s="31"/>
      <c r="J635" s="193"/>
      <c r="K635" s="125"/>
      <c r="L635" s="16"/>
      <c r="M635" s="8"/>
      <c r="N635" s="422"/>
      <c r="O635" s="430"/>
      <c r="P635" s="31"/>
    </row>
    <row r="636" spans="1:16" s="17" customFormat="1" ht="33" customHeight="1">
      <c r="A636" s="596"/>
      <c r="B636" s="399"/>
      <c r="C636" s="4"/>
      <c r="D636" s="4"/>
      <c r="E636" s="291"/>
      <c r="F636" s="31"/>
      <c r="G636" s="16"/>
      <c r="H636" s="193"/>
      <c r="I636" s="31"/>
      <c r="J636" s="31"/>
      <c r="K636" s="125"/>
      <c r="L636" s="16"/>
      <c r="M636" s="8"/>
      <c r="N636" s="31"/>
      <c r="O636" s="432"/>
      <c r="P636" s="31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S1599"/>
  <sheetViews>
    <sheetView zoomScaleNormal="100" zoomScaleSheetLayoutView="115" workbookViewId="0">
      <pane ySplit="2" topLeftCell="A1564" activePane="bottomLeft" state="frozen"/>
      <selection pane="bottomLeft" activeCell="N1583" sqref="N158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94" t="s">
        <v>161</v>
      </c>
      <c r="B1" s="894" t="s">
        <v>162</v>
      </c>
      <c r="C1" s="892" t="s">
        <v>1</v>
      </c>
      <c r="D1" s="892" t="s">
        <v>2</v>
      </c>
      <c r="E1" s="892" t="s">
        <v>3</v>
      </c>
      <c r="F1" s="27" t="s">
        <v>54</v>
      </c>
      <c r="G1" s="892" t="s">
        <v>5</v>
      </c>
      <c r="H1" s="892" t="s">
        <v>6</v>
      </c>
      <c r="I1" s="892" t="s">
        <v>7</v>
      </c>
      <c r="J1" s="892" t="s">
        <v>55</v>
      </c>
      <c r="K1" s="896" t="s">
        <v>483</v>
      </c>
      <c r="L1" s="898" t="s">
        <v>56</v>
      </c>
      <c r="M1" s="890" t="s">
        <v>57</v>
      </c>
      <c r="N1" s="892" t="s">
        <v>58</v>
      </c>
    </row>
    <row r="2" spans="1:14">
      <c r="A2" s="895"/>
      <c r="B2" s="895"/>
      <c r="C2" s="893"/>
      <c r="D2" s="893"/>
      <c r="E2" s="893"/>
      <c r="F2" s="28" t="s">
        <v>59</v>
      </c>
      <c r="G2" s="893"/>
      <c r="H2" s="893"/>
      <c r="I2" s="893"/>
      <c r="J2" s="893"/>
      <c r="K2" s="897"/>
      <c r="L2" s="899"/>
      <c r="M2" s="891"/>
      <c r="N2" s="893"/>
    </row>
    <row r="3" spans="1:14" ht="27">
      <c r="A3" s="55">
        <v>1</v>
      </c>
      <c r="B3" s="85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6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7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7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5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69"/>
      <c r="C9" s="90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69"/>
      <c r="C10" s="90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6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69"/>
      <c r="C12" s="90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69"/>
      <c r="C13" s="90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69"/>
      <c r="C14" s="90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69"/>
      <c r="C15" s="90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69"/>
      <c r="C16" s="90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7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7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5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7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5"/>
    </row>
    <row r="24" spans="1:17" ht="27">
      <c r="A24" s="55">
        <v>4</v>
      </c>
      <c r="B24" s="853" t="s">
        <v>21</v>
      </c>
      <c r="C24" s="85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59" t="s">
        <v>85</v>
      </c>
      <c r="K24" s="876" t="s">
        <v>41</v>
      </c>
      <c r="L24" s="6" t="s">
        <v>15</v>
      </c>
      <c r="M24" s="881">
        <v>180000</v>
      </c>
      <c r="N24" s="45" t="s">
        <v>194</v>
      </c>
    </row>
    <row r="25" spans="1:17" ht="27">
      <c r="A25" s="55">
        <v>4</v>
      </c>
      <c r="B25" s="869"/>
      <c r="C25" s="85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60"/>
      <c r="K25" s="877"/>
      <c r="L25" s="6" t="s">
        <v>15</v>
      </c>
      <c r="M25" s="882"/>
      <c r="N25" s="45" t="s">
        <v>194</v>
      </c>
    </row>
    <row r="26" spans="1:17">
      <c r="A26" s="55">
        <v>4</v>
      </c>
      <c r="B26" s="869"/>
      <c r="C26" s="85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4"/>
      <c r="C27" s="85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5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6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69"/>
      <c r="C32" s="85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69"/>
      <c r="C33" s="85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53" t="s">
        <v>20</v>
      </c>
      <c r="C35" s="85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4"/>
      <c r="C36" s="85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53" t="s">
        <v>20</v>
      </c>
      <c r="C37" s="85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4"/>
      <c r="C38" s="85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8"/>
      <c r="C40" s="85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8"/>
      <c r="C41" s="85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7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79"/>
      <c r="C45" s="87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79"/>
      <c r="C46" s="8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8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5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6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7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7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8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53" t="s">
        <v>64</v>
      </c>
      <c r="C67" s="85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76" t="s">
        <v>435</v>
      </c>
      <c r="L67" s="6" t="s">
        <v>436</v>
      </c>
      <c r="M67" s="881">
        <v>750000</v>
      </c>
      <c r="N67" s="45" t="s">
        <v>446</v>
      </c>
    </row>
    <row r="68" spans="1:15" ht="27">
      <c r="A68" s="55">
        <v>19</v>
      </c>
      <c r="B68" s="869"/>
      <c r="C68" s="8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77"/>
      <c r="L68" s="6" t="s">
        <v>411</v>
      </c>
      <c r="M68" s="882"/>
      <c r="N68" s="45" t="s">
        <v>445</v>
      </c>
    </row>
    <row r="69" spans="1:15">
      <c r="A69" s="55">
        <v>19</v>
      </c>
      <c r="B69" s="869"/>
      <c r="C69" s="85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6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85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6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6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6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85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6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5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5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69"/>
      <c r="C83" s="85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69"/>
      <c r="C84" s="85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69"/>
      <c r="C85" s="85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69"/>
      <c r="C86" s="85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6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6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5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5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69"/>
      <c r="C93" s="85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69"/>
      <c r="C94" s="8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69"/>
      <c r="C95" s="85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6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53" t="s">
        <v>21</v>
      </c>
      <c r="C99" s="85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69"/>
      <c r="C100" s="85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6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6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5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6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6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5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70" t="s">
        <v>658</v>
      </c>
      <c r="C110" s="87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71"/>
      <c r="C111" s="90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71"/>
      <c r="C112" s="90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3"/>
      <c r="C113" s="90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71"/>
      <c r="C115" s="87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72"/>
      <c r="C116" s="90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53" t="s">
        <v>20</v>
      </c>
      <c r="C117" s="91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59" t="s">
        <v>168</v>
      </c>
      <c r="K117" s="876" t="s">
        <v>645</v>
      </c>
      <c r="L117" s="57" t="s">
        <v>209</v>
      </c>
      <c r="M117" s="905">
        <f>250000*5</f>
        <v>1250000</v>
      </c>
      <c r="N117" s="853" t="s">
        <v>121</v>
      </c>
    </row>
    <row r="118" spans="1:14">
      <c r="A118" s="101">
        <v>28</v>
      </c>
      <c r="B118" s="869"/>
      <c r="C118" s="8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15"/>
      <c r="K118" s="914"/>
      <c r="L118" s="57" t="s">
        <v>209</v>
      </c>
      <c r="M118" s="906"/>
      <c r="N118" s="869"/>
    </row>
    <row r="119" spans="1:14">
      <c r="A119" s="101">
        <v>28</v>
      </c>
      <c r="B119" s="869"/>
      <c r="C119" s="8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60"/>
      <c r="K119" s="877"/>
      <c r="L119" s="57" t="s">
        <v>209</v>
      </c>
      <c r="M119" s="907"/>
      <c r="N119" s="854"/>
    </row>
    <row r="120" spans="1:14">
      <c r="A120" s="101">
        <v>28</v>
      </c>
      <c r="B120" s="854"/>
      <c r="C120" s="85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70" t="s">
        <v>307</v>
      </c>
      <c r="C122" s="87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871"/>
      <c r="C123" s="87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70" t="s">
        <v>664</v>
      </c>
      <c r="K123" s="878" t="s">
        <v>707</v>
      </c>
      <c r="L123" s="110" t="s">
        <v>324</v>
      </c>
      <c r="M123" s="908" t="s">
        <v>708</v>
      </c>
      <c r="N123" s="110"/>
    </row>
    <row r="124" spans="1:14">
      <c r="A124" s="55">
        <v>29</v>
      </c>
      <c r="B124" s="871"/>
      <c r="C124" s="87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71"/>
      <c r="K124" s="879"/>
      <c r="L124" s="110" t="s">
        <v>324</v>
      </c>
      <c r="M124" s="909"/>
      <c r="N124" s="110"/>
    </row>
    <row r="125" spans="1:14">
      <c r="A125" s="55">
        <v>29</v>
      </c>
      <c r="B125" s="871"/>
      <c r="C125" s="87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72"/>
      <c r="K125" s="880"/>
      <c r="L125" s="110" t="s">
        <v>324</v>
      </c>
      <c r="M125" s="910"/>
      <c r="N125" s="110"/>
    </row>
    <row r="126" spans="1:14">
      <c r="A126" s="55">
        <v>29</v>
      </c>
      <c r="B126" s="872"/>
      <c r="C126" s="87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7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87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87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871"/>
      <c r="C130" s="87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871"/>
      <c r="C131" s="87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871"/>
      <c r="C132" s="87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871"/>
      <c r="C133" s="87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7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853" t="s">
        <v>618</v>
      </c>
      <c r="C135" s="85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69"/>
      <c r="C136" s="8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869"/>
      <c r="C137" s="8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854"/>
      <c r="C138" s="85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5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69"/>
      <c r="C140" s="85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869"/>
      <c r="C141" s="85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3" t="s">
        <v>735</v>
      </c>
    </row>
    <row r="142" spans="1:14">
      <c r="A142" s="55">
        <v>30</v>
      </c>
      <c r="B142" s="8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5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53" t="s">
        <v>20</v>
      </c>
      <c r="C146" s="851" t="s">
        <v>869</v>
      </c>
      <c r="D146" s="876" t="s">
        <v>19</v>
      </c>
      <c r="E146" s="91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4"/>
      <c r="C147" s="852"/>
      <c r="D147" s="877"/>
      <c r="E147" s="91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53" t="s">
        <v>123</v>
      </c>
      <c r="C148" s="851" t="s">
        <v>782</v>
      </c>
      <c r="D148" s="876" t="s">
        <v>19</v>
      </c>
      <c r="E148" s="91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4"/>
      <c r="C149" s="852"/>
      <c r="D149" s="877"/>
      <c r="E149" s="91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5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6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5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3" t="s">
        <v>247</v>
      </c>
    </row>
    <row r="154" spans="1:14" ht="27">
      <c r="A154" s="55">
        <v>34</v>
      </c>
      <c r="B154" s="869"/>
      <c r="C154" s="85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69"/>
    </row>
    <row r="155" spans="1:14" ht="27">
      <c r="A155" s="55">
        <v>34</v>
      </c>
      <c r="B155" s="869"/>
      <c r="C155" s="85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4"/>
    </row>
    <row r="156" spans="1:14" ht="27">
      <c r="A156" s="55">
        <v>34</v>
      </c>
      <c r="B156" s="869"/>
      <c r="C156" s="85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3" t="s">
        <v>825</v>
      </c>
    </row>
    <row r="157" spans="1:14" ht="27">
      <c r="A157" s="55">
        <v>34</v>
      </c>
      <c r="B157" s="869"/>
      <c r="C157" s="85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69"/>
    </row>
    <row r="158" spans="1:14" ht="27">
      <c r="A158" s="55">
        <v>34</v>
      </c>
      <c r="B158" s="869"/>
      <c r="C158" s="85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69"/>
    </row>
    <row r="159" spans="1:14" ht="27">
      <c r="A159" s="55">
        <v>34</v>
      </c>
      <c r="B159" s="869"/>
      <c r="C159" s="85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69"/>
    </row>
    <row r="160" spans="1:14" ht="27">
      <c r="A160" s="55">
        <v>34</v>
      </c>
      <c r="B160" s="86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69"/>
    </row>
    <row r="161" spans="1:15" ht="27">
      <c r="A161" s="55">
        <v>34</v>
      </c>
      <c r="B161" s="86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4"/>
    </row>
    <row r="162" spans="1:15" ht="27">
      <c r="A162" s="55">
        <v>34</v>
      </c>
      <c r="B162" s="8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5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6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86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8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29" t="s">
        <v>849</v>
      </c>
      <c r="C167" s="81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30"/>
      <c r="C168" s="81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30"/>
      <c r="C169" s="81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31"/>
      <c r="C170" s="82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2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3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3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3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3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2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3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30"/>
      <c r="C178" s="81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31"/>
      <c r="C179" s="82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2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30"/>
      <c r="C181" s="85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59" t="s">
        <v>838</v>
      </c>
      <c r="K181" s="876" t="s">
        <v>985</v>
      </c>
      <c r="L181" s="6" t="s">
        <v>910</v>
      </c>
      <c r="M181" s="905">
        <f>180000+200000+200000</f>
        <v>580000</v>
      </c>
      <c r="N181" s="45" t="s">
        <v>806</v>
      </c>
    </row>
    <row r="182" spans="1:14">
      <c r="A182" s="55">
        <v>36</v>
      </c>
      <c r="B182" s="830"/>
      <c r="C182" s="8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60"/>
      <c r="K182" s="877"/>
      <c r="L182" s="6" t="s">
        <v>911</v>
      </c>
      <c r="M182" s="907"/>
      <c r="N182" s="45" t="s">
        <v>806</v>
      </c>
    </row>
    <row r="183" spans="1:14">
      <c r="A183" s="55">
        <v>36</v>
      </c>
      <c r="B183" s="830"/>
      <c r="C183" s="85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3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2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3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30"/>
      <c r="C187" s="81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31"/>
      <c r="C188" s="82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2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3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3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29" t="s">
        <v>939</v>
      </c>
      <c r="C192" s="81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30"/>
      <c r="C193" s="82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3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2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30"/>
      <c r="C196" s="85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30"/>
      <c r="C197" s="85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30"/>
      <c r="C198" s="85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31"/>
      <c r="C199" s="85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29" t="s">
        <v>20</v>
      </c>
      <c r="C200" s="81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30"/>
      <c r="C201" s="82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30"/>
      <c r="C202" s="81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31"/>
      <c r="C203" s="82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2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3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3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29" t="s">
        <v>20</v>
      </c>
      <c r="C207" s="81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30"/>
      <c r="C208" s="82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3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2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3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2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3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3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2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3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3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29" t="s">
        <v>20</v>
      </c>
      <c r="C218" s="81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30"/>
      <c r="C219" s="82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3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2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3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3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2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3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53" t="s">
        <v>247</v>
      </c>
    </row>
    <row r="226" spans="1:14">
      <c r="A226" s="55">
        <v>44</v>
      </c>
      <c r="B226" s="83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869"/>
    </row>
    <row r="227" spans="1:14">
      <c r="A227" s="55">
        <v>44</v>
      </c>
      <c r="B227" s="83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4"/>
    </row>
    <row r="228" spans="1:14">
      <c r="A228" s="55">
        <v>44</v>
      </c>
      <c r="B228" s="82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3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2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3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3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3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2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3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2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3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3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2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3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3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2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3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2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3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2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30"/>
      <c r="C249" s="81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3" t="s">
        <v>247</v>
      </c>
    </row>
    <row r="250" spans="1:14">
      <c r="A250" s="55">
        <v>48</v>
      </c>
      <c r="B250" s="831"/>
      <c r="C250" s="82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4"/>
    </row>
    <row r="251" spans="1:14">
      <c r="A251" s="55">
        <v>48</v>
      </c>
      <c r="B251" s="82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3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3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3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2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30"/>
      <c r="C256" s="81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3" t="s">
        <v>247</v>
      </c>
    </row>
    <row r="257" spans="1:14">
      <c r="A257" s="55">
        <v>49</v>
      </c>
      <c r="B257" s="831"/>
      <c r="C257" s="82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4"/>
    </row>
    <row r="258" spans="1:14" ht="40.5">
      <c r="A258" s="55">
        <v>49</v>
      </c>
      <c r="B258" s="82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3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42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843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0" t="s">
        <v>1103</v>
      </c>
    </row>
    <row r="262" spans="1:14" ht="25.5">
      <c r="A262" s="132">
        <v>49</v>
      </c>
      <c r="B262" s="844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1"/>
    </row>
    <row r="263" spans="1:14" ht="16.5" customHeight="1">
      <c r="A263" s="55">
        <v>50</v>
      </c>
      <c r="B263" s="829" t="s">
        <v>20</v>
      </c>
      <c r="C263" s="81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30"/>
      <c r="C264" s="81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30"/>
      <c r="C265" s="81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30"/>
      <c r="C266" s="81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31"/>
      <c r="C267" s="82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42" t="s">
        <v>658</v>
      </c>
      <c r="C268" s="84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843"/>
      <c r="C269" s="86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844"/>
      <c r="C270" s="84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29" t="s">
        <v>20</v>
      </c>
      <c r="C271" s="81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30"/>
      <c r="C272" s="81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30"/>
      <c r="C273" s="82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3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30"/>
      <c r="C275" s="81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30"/>
      <c r="C276" s="82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3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863" t="s">
        <v>1196</v>
      </c>
      <c r="B278" s="864"/>
      <c r="C278" s="864"/>
      <c r="D278" s="864"/>
      <c r="E278" s="864"/>
      <c r="F278" s="864"/>
      <c r="G278" s="864"/>
      <c r="H278" s="864"/>
      <c r="I278" s="864"/>
      <c r="J278" s="864"/>
      <c r="K278" s="864"/>
      <c r="L278" s="864"/>
      <c r="M278" s="864"/>
      <c r="N278" s="865"/>
    </row>
    <row r="279" spans="1:15" ht="16.5" customHeight="1">
      <c r="A279" s="55">
        <v>1</v>
      </c>
      <c r="B279" s="829" t="s">
        <v>20</v>
      </c>
      <c r="C279" s="81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31"/>
      <c r="C280" s="82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29" t="s">
        <v>64</v>
      </c>
      <c r="C281" s="81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30"/>
      <c r="C282" s="82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30"/>
      <c r="C283" s="81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59" t="s">
        <v>1174</v>
      </c>
      <c r="K283" s="86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30"/>
      <c r="C284" s="82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60"/>
      <c r="K284" s="86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3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3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66" t="s">
        <v>123</v>
      </c>
      <c r="C287" s="84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867"/>
      <c r="C288" s="84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842" t="s">
        <v>64</v>
      </c>
      <c r="C289" s="84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43"/>
      <c r="C290" s="85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843"/>
      <c r="C291" s="85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0" t="s">
        <v>638</v>
      </c>
      <c r="K291" s="855" t="s">
        <v>671</v>
      </c>
      <c r="L291" s="148" t="s">
        <v>309</v>
      </c>
      <c r="M291" s="849" t="s">
        <v>672</v>
      </c>
      <c r="N291" s="148" t="s">
        <v>723</v>
      </c>
    </row>
    <row r="292" spans="1:15">
      <c r="A292" s="55">
        <v>2</v>
      </c>
      <c r="B292" s="843"/>
      <c r="C292" s="85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1"/>
      <c r="K292" s="856"/>
      <c r="L292" s="148" t="s">
        <v>309</v>
      </c>
      <c r="M292" s="850"/>
      <c r="N292" s="148" t="s">
        <v>723</v>
      </c>
    </row>
    <row r="293" spans="1:15">
      <c r="A293" s="55">
        <v>2</v>
      </c>
      <c r="B293" s="843"/>
      <c r="C293" s="85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843"/>
      <c r="C294" s="84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844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29" t="s">
        <v>20</v>
      </c>
      <c r="C296" s="81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30"/>
      <c r="C297" s="81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31"/>
      <c r="C298" s="82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2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3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3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29" t="s">
        <v>20</v>
      </c>
      <c r="C302" s="81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30"/>
      <c r="C303" s="81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30"/>
      <c r="C304" s="81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30"/>
      <c r="C305" s="81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31"/>
      <c r="C306" s="82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29" t="s">
        <v>20</v>
      </c>
      <c r="C308" s="81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31"/>
      <c r="C309" s="82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2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3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3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42" t="s">
        <v>307</v>
      </c>
      <c r="C313" s="84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844"/>
      <c r="C314" s="84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29" t="s">
        <v>20</v>
      </c>
      <c r="C316" s="81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30"/>
      <c r="C317" s="81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31"/>
      <c r="C318" s="82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2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3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3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29" t="s">
        <v>20</v>
      </c>
      <c r="C322" s="81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31"/>
      <c r="C323" s="82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2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3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3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3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3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29" t="s">
        <v>20</v>
      </c>
      <c r="C329" s="81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30"/>
      <c r="C330" s="81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31"/>
      <c r="C331" s="82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2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3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29" t="s">
        <v>20</v>
      </c>
      <c r="C334" s="81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30"/>
      <c r="C335" s="81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30"/>
      <c r="C336" s="81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31"/>
      <c r="C337" s="82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2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3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3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3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29" t="s">
        <v>20</v>
      </c>
      <c r="C342" s="81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30"/>
      <c r="C343" s="82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3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2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3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3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3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30"/>
      <c r="C349" s="85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31"/>
      <c r="C350" s="85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42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843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843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843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844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842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843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843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844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2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3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3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2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3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3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3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3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3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2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3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3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3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2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3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42" t="s">
        <v>307</v>
      </c>
      <c r="C375" s="128" t="s">
        <v>1531</v>
      </c>
      <c r="D375" s="840" t="s">
        <v>306</v>
      </c>
      <c r="E375" s="840" t="s">
        <v>322</v>
      </c>
      <c r="F375" s="840" t="s">
        <v>307</v>
      </c>
      <c r="G375" s="845">
        <v>4266</v>
      </c>
      <c r="H375" s="840" t="s">
        <v>640</v>
      </c>
      <c r="I375" s="845" t="s">
        <v>1533</v>
      </c>
      <c r="J375" s="840" t="s">
        <v>1534</v>
      </c>
      <c r="K375" s="847" t="s">
        <v>692</v>
      </c>
      <c r="L375" s="840" t="s">
        <v>324</v>
      </c>
      <c r="M375" s="849" t="s">
        <v>1535</v>
      </c>
      <c r="N375" s="840" t="s">
        <v>425</v>
      </c>
    </row>
    <row r="376" spans="1:19">
      <c r="A376" s="199" t="s">
        <v>1539</v>
      </c>
      <c r="B376" s="843"/>
      <c r="C376" s="129" t="s">
        <v>1532</v>
      </c>
      <c r="D376" s="841"/>
      <c r="E376" s="841"/>
      <c r="F376" s="841"/>
      <c r="G376" s="846"/>
      <c r="H376" s="841"/>
      <c r="I376" s="846"/>
      <c r="J376" s="841"/>
      <c r="K376" s="848"/>
      <c r="L376" s="841"/>
      <c r="M376" s="850"/>
      <c r="N376" s="841"/>
    </row>
    <row r="377" spans="1:19">
      <c r="A377" s="199" t="s">
        <v>1539</v>
      </c>
      <c r="B377" s="843"/>
      <c r="C377" s="128" t="s">
        <v>1536</v>
      </c>
      <c r="D377" s="840" t="s">
        <v>306</v>
      </c>
      <c r="E377" s="840" t="s">
        <v>322</v>
      </c>
      <c r="F377" s="840" t="s">
        <v>307</v>
      </c>
      <c r="G377" s="845">
        <v>3306</v>
      </c>
      <c r="H377" s="840" t="s">
        <v>1153</v>
      </c>
      <c r="I377" s="845" t="s">
        <v>1538</v>
      </c>
      <c r="J377" s="840" t="s">
        <v>1534</v>
      </c>
      <c r="K377" s="847" t="s">
        <v>692</v>
      </c>
      <c r="L377" s="840" t="s">
        <v>324</v>
      </c>
      <c r="M377" s="849" t="s">
        <v>1535</v>
      </c>
      <c r="N377" s="840" t="s">
        <v>425</v>
      </c>
    </row>
    <row r="378" spans="1:19">
      <c r="A378" s="199" t="s">
        <v>1539</v>
      </c>
      <c r="B378" s="844"/>
      <c r="C378" s="129" t="s">
        <v>1537</v>
      </c>
      <c r="D378" s="841"/>
      <c r="E378" s="841"/>
      <c r="F378" s="841"/>
      <c r="G378" s="846"/>
      <c r="H378" s="841"/>
      <c r="I378" s="846"/>
      <c r="J378" s="841"/>
      <c r="K378" s="848"/>
      <c r="L378" s="841"/>
      <c r="M378" s="850"/>
      <c r="N378" s="841"/>
    </row>
    <row r="379" spans="1:19" ht="27" customHeight="1">
      <c r="A379" s="123">
        <v>15</v>
      </c>
      <c r="B379" s="82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3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3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3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2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3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2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3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3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3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2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3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3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3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2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3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3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2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3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3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3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3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3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3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15" t="s">
        <v>1782</v>
      </c>
      <c r="C403" s="226" t="s">
        <v>1748</v>
      </c>
      <c r="D403" s="834" t="s">
        <v>306</v>
      </c>
      <c r="E403" s="834" t="s">
        <v>322</v>
      </c>
      <c r="F403" s="834" t="s">
        <v>307</v>
      </c>
      <c r="G403" s="836">
        <v>3306</v>
      </c>
      <c r="H403" s="834" t="s">
        <v>1153</v>
      </c>
      <c r="I403" s="836" t="s">
        <v>1749</v>
      </c>
      <c r="J403" s="834" t="s">
        <v>664</v>
      </c>
      <c r="K403" s="838" t="s">
        <v>1288</v>
      </c>
      <c r="L403" s="834" t="s">
        <v>324</v>
      </c>
      <c r="M403" s="832" t="s">
        <v>1750</v>
      </c>
      <c r="N403" s="834" t="s">
        <v>665</v>
      </c>
    </row>
    <row r="404" spans="1:14">
      <c r="A404" s="123">
        <v>18</v>
      </c>
      <c r="B404" s="816"/>
      <c r="C404" s="226" t="s">
        <v>1751</v>
      </c>
      <c r="D404" s="835"/>
      <c r="E404" s="835"/>
      <c r="F404" s="835"/>
      <c r="G404" s="837"/>
      <c r="H404" s="835"/>
      <c r="I404" s="837"/>
      <c r="J404" s="835"/>
      <c r="K404" s="839"/>
      <c r="L404" s="835"/>
      <c r="M404" s="833"/>
      <c r="N404" s="835"/>
    </row>
    <row r="405" spans="1:14" ht="22.5">
      <c r="A405" s="123">
        <v>18</v>
      </c>
      <c r="B405" s="816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16"/>
      <c r="C406" s="226" t="s">
        <v>1755</v>
      </c>
      <c r="D406" s="834" t="s">
        <v>306</v>
      </c>
      <c r="E406" s="834" t="s">
        <v>322</v>
      </c>
      <c r="F406" s="834" t="s">
        <v>307</v>
      </c>
      <c r="G406" s="836" t="s">
        <v>1756</v>
      </c>
      <c r="H406" s="834" t="s">
        <v>347</v>
      </c>
      <c r="I406" s="836" t="s">
        <v>1154</v>
      </c>
      <c r="J406" s="834" t="s">
        <v>664</v>
      </c>
      <c r="K406" s="834" t="s">
        <v>1757</v>
      </c>
      <c r="L406" s="834" t="s">
        <v>324</v>
      </c>
      <c r="M406" s="832" t="s">
        <v>1758</v>
      </c>
      <c r="N406" s="834" t="s">
        <v>665</v>
      </c>
    </row>
    <row r="407" spans="1:14">
      <c r="A407" s="123">
        <v>18</v>
      </c>
      <c r="B407" s="816"/>
      <c r="C407" s="226" t="s">
        <v>1759</v>
      </c>
      <c r="D407" s="835"/>
      <c r="E407" s="835"/>
      <c r="F407" s="835"/>
      <c r="G407" s="837"/>
      <c r="H407" s="835"/>
      <c r="I407" s="837"/>
      <c r="J407" s="835"/>
      <c r="K407" s="835"/>
      <c r="L407" s="835"/>
      <c r="M407" s="833"/>
      <c r="N407" s="835"/>
    </row>
    <row r="408" spans="1:14" ht="16.5" customHeight="1">
      <c r="A408" s="123">
        <v>18</v>
      </c>
      <c r="B408" s="816"/>
      <c r="C408" s="228" t="s">
        <v>1760</v>
      </c>
      <c r="D408" s="834" t="s">
        <v>306</v>
      </c>
      <c r="E408" s="834" t="s">
        <v>322</v>
      </c>
      <c r="F408" s="834" t="s">
        <v>307</v>
      </c>
      <c r="G408" s="836" t="s">
        <v>1761</v>
      </c>
      <c r="H408" s="834" t="s">
        <v>329</v>
      </c>
      <c r="I408" s="836" t="s">
        <v>1762</v>
      </c>
      <c r="J408" s="834" t="s">
        <v>664</v>
      </c>
      <c r="K408" s="834" t="s">
        <v>1763</v>
      </c>
      <c r="L408" s="834" t="s">
        <v>324</v>
      </c>
      <c r="M408" s="832" t="s">
        <v>1764</v>
      </c>
      <c r="N408" s="834" t="s">
        <v>1765</v>
      </c>
    </row>
    <row r="409" spans="1:14">
      <c r="A409" s="123">
        <v>18</v>
      </c>
      <c r="B409" s="817"/>
      <c r="C409" s="226" t="s">
        <v>1766</v>
      </c>
      <c r="D409" s="835"/>
      <c r="E409" s="835"/>
      <c r="F409" s="835"/>
      <c r="G409" s="837"/>
      <c r="H409" s="835"/>
      <c r="I409" s="837"/>
      <c r="J409" s="835"/>
      <c r="K409" s="835"/>
      <c r="L409" s="835"/>
      <c r="M409" s="833"/>
      <c r="N409" s="835"/>
    </row>
    <row r="410" spans="1:14" ht="16.5" customHeight="1">
      <c r="A410" s="123">
        <v>18</v>
      </c>
      <c r="B410" s="815" t="s">
        <v>253</v>
      </c>
      <c r="C410" s="916" t="s">
        <v>1767</v>
      </c>
      <c r="D410" s="834" t="s">
        <v>311</v>
      </c>
      <c r="E410" s="834" t="s">
        <v>320</v>
      </c>
      <c r="F410" s="834" t="s">
        <v>709</v>
      </c>
      <c r="G410" s="834" t="s">
        <v>1768</v>
      </c>
      <c r="H410" s="916" t="s">
        <v>1769</v>
      </c>
      <c r="I410" s="227" t="s">
        <v>1770</v>
      </c>
      <c r="J410" s="834"/>
      <c r="K410" s="918" t="s">
        <v>1771</v>
      </c>
      <c r="L410" s="834" t="s">
        <v>309</v>
      </c>
      <c r="M410" s="832" t="s">
        <v>1764</v>
      </c>
      <c r="N410" s="834" t="s">
        <v>1772</v>
      </c>
    </row>
    <row r="411" spans="1:14">
      <c r="A411" s="123">
        <v>18</v>
      </c>
      <c r="B411" s="816"/>
      <c r="C411" s="917"/>
      <c r="D411" s="835"/>
      <c r="E411" s="835"/>
      <c r="F411" s="835"/>
      <c r="G411" s="835"/>
      <c r="H411" s="917"/>
      <c r="I411" s="227" t="s">
        <v>1773</v>
      </c>
      <c r="J411" s="835"/>
      <c r="K411" s="919"/>
      <c r="L411" s="835"/>
      <c r="M411" s="833"/>
      <c r="N411" s="835"/>
    </row>
    <row r="412" spans="1:14" ht="22.5">
      <c r="A412" s="123">
        <v>18</v>
      </c>
      <c r="B412" s="816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16"/>
      <c r="C413" s="916" t="s">
        <v>1776</v>
      </c>
      <c r="D413" s="916" t="s">
        <v>700</v>
      </c>
      <c r="E413" s="834" t="s">
        <v>675</v>
      </c>
      <c r="F413" s="916" t="s">
        <v>1777</v>
      </c>
      <c r="G413" s="916" t="s">
        <v>1778</v>
      </c>
      <c r="H413" s="916" t="s">
        <v>662</v>
      </c>
      <c r="I413" s="227" t="s">
        <v>1779</v>
      </c>
      <c r="J413" s="834" t="s">
        <v>638</v>
      </c>
      <c r="K413" s="834" t="s">
        <v>731</v>
      </c>
      <c r="L413" s="834" t="s">
        <v>309</v>
      </c>
      <c r="M413" s="832" t="s">
        <v>1780</v>
      </c>
      <c r="N413" s="834" t="s">
        <v>1781</v>
      </c>
    </row>
    <row r="414" spans="1:14">
      <c r="A414" s="123">
        <v>18</v>
      </c>
      <c r="B414" s="817"/>
      <c r="C414" s="917"/>
      <c r="D414" s="917"/>
      <c r="E414" s="835"/>
      <c r="F414" s="917"/>
      <c r="G414" s="917"/>
      <c r="H414" s="917"/>
      <c r="I414" s="26"/>
      <c r="J414" s="835"/>
      <c r="K414" s="835"/>
      <c r="L414" s="835"/>
      <c r="M414" s="833"/>
      <c r="N414" s="835"/>
    </row>
    <row r="415" spans="1:14" ht="16.5" customHeight="1">
      <c r="A415" s="123">
        <v>19</v>
      </c>
      <c r="B415" s="815" t="s">
        <v>20</v>
      </c>
      <c r="C415" s="148" t="s">
        <v>1794</v>
      </c>
      <c r="D415" s="840" t="s">
        <v>306</v>
      </c>
      <c r="E415" s="840" t="s">
        <v>322</v>
      </c>
      <c r="F415" s="840" t="s">
        <v>307</v>
      </c>
      <c r="G415" s="845" t="s">
        <v>1796</v>
      </c>
      <c r="H415" s="840" t="s">
        <v>1797</v>
      </c>
      <c r="I415" s="845" t="s">
        <v>1792</v>
      </c>
      <c r="J415" s="840" t="s">
        <v>664</v>
      </c>
      <c r="K415" s="148" t="s">
        <v>1520</v>
      </c>
      <c r="L415" s="840" t="s">
        <v>324</v>
      </c>
      <c r="M415" s="849" t="s">
        <v>1799</v>
      </c>
      <c r="N415" s="840" t="s">
        <v>665</v>
      </c>
    </row>
    <row r="416" spans="1:14">
      <c r="A416" s="123">
        <v>19</v>
      </c>
      <c r="B416" s="816"/>
      <c r="C416" s="148" t="s">
        <v>1795</v>
      </c>
      <c r="D416" s="841"/>
      <c r="E416" s="841"/>
      <c r="F416" s="841"/>
      <c r="G416" s="846"/>
      <c r="H416" s="841"/>
      <c r="I416" s="846"/>
      <c r="J416" s="841"/>
      <c r="K416" s="148" t="s">
        <v>1798</v>
      </c>
      <c r="L416" s="841"/>
      <c r="M416" s="850"/>
      <c r="N416" s="841"/>
    </row>
    <row r="417" spans="1:14">
      <c r="A417" s="123">
        <v>19</v>
      </c>
      <c r="B417" s="816"/>
      <c r="C417" s="148" t="s">
        <v>1800</v>
      </c>
      <c r="D417" s="840" t="s">
        <v>306</v>
      </c>
      <c r="E417" s="840" t="s">
        <v>322</v>
      </c>
      <c r="F417" s="840" t="s">
        <v>307</v>
      </c>
      <c r="G417" s="845" t="s">
        <v>1801</v>
      </c>
      <c r="H417" s="840" t="s">
        <v>1802</v>
      </c>
      <c r="I417" s="845" t="s">
        <v>1803</v>
      </c>
      <c r="J417" s="840" t="s">
        <v>664</v>
      </c>
      <c r="K417" s="855" t="s">
        <v>1155</v>
      </c>
      <c r="L417" s="840" t="s">
        <v>324</v>
      </c>
      <c r="M417" s="849" t="s">
        <v>1804</v>
      </c>
      <c r="N417" s="840" t="s">
        <v>665</v>
      </c>
    </row>
    <row r="418" spans="1:14">
      <c r="A418" s="123">
        <v>19</v>
      </c>
      <c r="B418" s="817"/>
      <c r="C418" s="148" t="s">
        <v>1795</v>
      </c>
      <c r="D418" s="841"/>
      <c r="E418" s="841"/>
      <c r="F418" s="841"/>
      <c r="G418" s="846"/>
      <c r="H418" s="841"/>
      <c r="I418" s="846"/>
      <c r="J418" s="841"/>
      <c r="K418" s="856"/>
      <c r="L418" s="841"/>
      <c r="M418" s="850"/>
      <c r="N418" s="841"/>
    </row>
    <row r="419" spans="1:14" ht="16.5" customHeight="1">
      <c r="A419" s="123">
        <v>19</v>
      </c>
      <c r="B419" s="815" t="s">
        <v>21</v>
      </c>
      <c r="C419" s="870" t="s">
        <v>1805</v>
      </c>
      <c r="D419" s="870" t="s">
        <v>700</v>
      </c>
      <c r="E419" s="840" t="s">
        <v>675</v>
      </c>
      <c r="F419" s="870" t="s">
        <v>1806</v>
      </c>
      <c r="G419" s="870" t="s">
        <v>1807</v>
      </c>
      <c r="H419" s="870" t="s">
        <v>662</v>
      </c>
      <c r="I419" s="845" t="s">
        <v>1808</v>
      </c>
      <c r="J419" s="840"/>
      <c r="K419" s="920" t="s">
        <v>1809</v>
      </c>
      <c r="L419" s="840" t="s">
        <v>309</v>
      </c>
      <c r="M419" s="849" t="s">
        <v>1810</v>
      </c>
      <c r="N419" s="149" t="s">
        <v>1811</v>
      </c>
    </row>
    <row r="420" spans="1:14">
      <c r="A420" s="123">
        <v>19</v>
      </c>
      <c r="B420" s="816"/>
      <c r="C420" s="872"/>
      <c r="D420" s="872"/>
      <c r="E420" s="841"/>
      <c r="F420" s="872"/>
      <c r="G420" s="872"/>
      <c r="H420" s="872"/>
      <c r="I420" s="846"/>
      <c r="J420" s="841"/>
      <c r="K420" s="921"/>
      <c r="L420" s="841"/>
      <c r="M420" s="850"/>
      <c r="N420" s="149" t="s">
        <v>1812</v>
      </c>
    </row>
    <row r="421" spans="1:14">
      <c r="A421" s="123">
        <v>19</v>
      </c>
      <c r="B421" s="816"/>
      <c r="C421" s="922" t="s">
        <v>1813</v>
      </c>
      <c r="D421" s="870" t="s">
        <v>700</v>
      </c>
      <c r="E421" s="840" t="s">
        <v>320</v>
      </c>
      <c r="F421" s="840" t="s">
        <v>337</v>
      </c>
      <c r="G421" s="870" t="s">
        <v>353</v>
      </c>
      <c r="H421" s="870" t="s">
        <v>1814</v>
      </c>
      <c r="I421" s="845" t="s">
        <v>1815</v>
      </c>
      <c r="J421" s="840" t="s">
        <v>638</v>
      </c>
      <c r="K421" s="924" t="s">
        <v>692</v>
      </c>
      <c r="L421" s="840" t="s">
        <v>309</v>
      </c>
      <c r="M421" s="849" t="s">
        <v>1816</v>
      </c>
      <c r="N421" s="148" t="s">
        <v>1817</v>
      </c>
    </row>
    <row r="422" spans="1:14">
      <c r="A422" s="123">
        <v>19</v>
      </c>
      <c r="B422" s="816"/>
      <c r="C422" s="923"/>
      <c r="D422" s="872"/>
      <c r="E422" s="841"/>
      <c r="F422" s="841"/>
      <c r="G422" s="872"/>
      <c r="H422" s="872"/>
      <c r="I422" s="846"/>
      <c r="J422" s="841"/>
      <c r="K422" s="925"/>
      <c r="L422" s="841"/>
      <c r="M422" s="850"/>
      <c r="N422" s="148" t="s">
        <v>1818</v>
      </c>
    </row>
    <row r="423" spans="1:14">
      <c r="A423" s="123">
        <v>19</v>
      </c>
      <c r="B423" s="816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16"/>
      <c r="C424" s="870" t="s">
        <v>1820</v>
      </c>
      <c r="D424" s="870" t="s">
        <v>700</v>
      </c>
      <c r="E424" s="840" t="s">
        <v>320</v>
      </c>
      <c r="F424" s="840" t="s">
        <v>709</v>
      </c>
      <c r="G424" s="840" t="s">
        <v>1768</v>
      </c>
      <c r="H424" s="870" t="s">
        <v>1821</v>
      </c>
      <c r="I424" s="149" t="s">
        <v>1822</v>
      </c>
      <c r="J424" s="840" t="s">
        <v>638</v>
      </c>
      <c r="K424" s="840" t="s">
        <v>692</v>
      </c>
      <c r="L424" s="840" t="s">
        <v>309</v>
      </c>
      <c r="M424" s="849" t="s">
        <v>1535</v>
      </c>
      <c r="N424" s="845" t="s">
        <v>1824</v>
      </c>
    </row>
    <row r="425" spans="1:14">
      <c r="A425" s="123">
        <v>19</v>
      </c>
      <c r="B425" s="816"/>
      <c r="C425" s="872"/>
      <c r="D425" s="872"/>
      <c r="E425" s="841"/>
      <c r="F425" s="841"/>
      <c r="G425" s="841"/>
      <c r="H425" s="872"/>
      <c r="I425" s="149" t="s">
        <v>1823</v>
      </c>
      <c r="J425" s="841"/>
      <c r="K425" s="841"/>
      <c r="L425" s="841"/>
      <c r="M425" s="850"/>
      <c r="N425" s="846"/>
    </row>
    <row r="426" spans="1:14">
      <c r="A426" s="123">
        <v>19</v>
      </c>
      <c r="B426" s="817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15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16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16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16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17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15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17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15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16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1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16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17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1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16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1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1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1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1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16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16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16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17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1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16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17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15" t="s">
        <v>2078</v>
      </c>
      <c r="C452" s="243" t="s">
        <v>1906</v>
      </c>
      <c r="D452" s="821" t="s">
        <v>306</v>
      </c>
      <c r="E452" s="821" t="s">
        <v>322</v>
      </c>
      <c r="F452" s="821" t="s">
        <v>307</v>
      </c>
      <c r="G452" s="821">
        <v>3306</v>
      </c>
      <c r="H452" s="821" t="s">
        <v>1153</v>
      </c>
      <c r="I452" s="821" t="s">
        <v>1907</v>
      </c>
      <c r="J452" s="821" t="s">
        <v>1111</v>
      </c>
      <c r="K452" s="821" t="s">
        <v>692</v>
      </c>
      <c r="L452" s="821" t="s">
        <v>324</v>
      </c>
      <c r="M452" s="827" t="s">
        <v>1908</v>
      </c>
      <c r="N452" s="821" t="s">
        <v>665</v>
      </c>
    </row>
    <row r="453" spans="1:14">
      <c r="A453" s="123">
        <v>23</v>
      </c>
      <c r="B453" s="816"/>
      <c r="C453" s="243" t="s">
        <v>1909</v>
      </c>
      <c r="D453" s="822"/>
      <c r="E453" s="822"/>
      <c r="F453" s="822"/>
      <c r="G453" s="822"/>
      <c r="H453" s="822"/>
      <c r="I453" s="822"/>
      <c r="J453" s="822"/>
      <c r="K453" s="822"/>
      <c r="L453" s="822"/>
      <c r="M453" s="828"/>
      <c r="N453" s="822"/>
    </row>
    <row r="454" spans="1:14">
      <c r="A454" s="123">
        <v>23</v>
      </c>
      <c r="B454" s="816"/>
      <c r="C454" s="243" t="s">
        <v>1910</v>
      </c>
      <c r="D454" s="821" t="s">
        <v>306</v>
      </c>
      <c r="E454" s="821" t="s">
        <v>322</v>
      </c>
      <c r="F454" s="821" t="s">
        <v>307</v>
      </c>
      <c r="G454" s="825" t="s">
        <v>1418</v>
      </c>
      <c r="H454" s="821" t="s">
        <v>1911</v>
      </c>
      <c r="I454" s="825" t="s">
        <v>1154</v>
      </c>
      <c r="J454" s="821" t="s">
        <v>664</v>
      </c>
      <c r="K454" s="926" t="s">
        <v>1763</v>
      </c>
      <c r="L454" s="821" t="s">
        <v>324</v>
      </c>
      <c r="M454" s="827" t="s">
        <v>1535</v>
      </c>
      <c r="N454" s="821" t="s">
        <v>665</v>
      </c>
    </row>
    <row r="455" spans="1:14">
      <c r="A455" s="123">
        <v>23</v>
      </c>
      <c r="B455" s="816"/>
      <c r="C455" s="243" t="s">
        <v>1909</v>
      </c>
      <c r="D455" s="822"/>
      <c r="E455" s="822"/>
      <c r="F455" s="822"/>
      <c r="G455" s="826"/>
      <c r="H455" s="822"/>
      <c r="I455" s="826"/>
      <c r="J455" s="822"/>
      <c r="K455" s="927"/>
      <c r="L455" s="822"/>
      <c r="M455" s="828"/>
      <c r="N455" s="822"/>
    </row>
    <row r="456" spans="1:14">
      <c r="A456" s="123">
        <v>23</v>
      </c>
      <c r="B456" s="816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16"/>
      <c r="C457" s="243" t="s">
        <v>1917</v>
      </c>
      <c r="D457" s="821" t="s">
        <v>306</v>
      </c>
      <c r="E457" s="821" t="s">
        <v>322</v>
      </c>
      <c r="F457" s="821" t="s">
        <v>307</v>
      </c>
      <c r="G457" s="825">
        <v>4267</v>
      </c>
      <c r="H457" s="821" t="s">
        <v>640</v>
      </c>
      <c r="I457" s="825" t="s">
        <v>1154</v>
      </c>
      <c r="J457" s="821" t="s">
        <v>664</v>
      </c>
      <c r="K457" s="926" t="s">
        <v>1763</v>
      </c>
      <c r="L457" s="821" t="s">
        <v>324</v>
      </c>
      <c r="M457" s="827" t="s">
        <v>1535</v>
      </c>
      <c r="N457" s="821" t="s">
        <v>665</v>
      </c>
    </row>
    <row r="458" spans="1:14">
      <c r="A458" s="123">
        <v>23</v>
      </c>
      <c r="B458" s="816"/>
      <c r="C458" s="243" t="s">
        <v>1918</v>
      </c>
      <c r="D458" s="822"/>
      <c r="E458" s="822"/>
      <c r="F458" s="822"/>
      <c r="G458" s="826"/>
      <c r="H458" s="822"/>
      <c r="I458" s="826"/>
      <c r="J458" s="822"/>
      <c r="K458" s="927"/>
      <c r="L458" s="822"/>
      <c r="M458" s="828"/>
      <c r="N458" s="822"/>
    </row>
    <row r="459" spans="1:14">
      <c r="A459" s="123">
        <v>23</v>
      </c>
      <c r="B459" s="816"/>
      <c r="C459" s="243" t="s">
        <v>1917</v>
      </c>
      <c r="D459" s="821" t="s">
        <v>306</v>
      </c>
      <c r="E459" s="821" t="s">
        <v>322</v>
      </c>
      <c r="F459" s="821" t="s">
        <v>307</v>
      </c>
      <c r="G459" s="825" t="s">
        <v>1919</v>
      </c>
      <c r="H459" s="821" t="s">
        <v>662</v>
      </c>
      <c r="I459" s="825" t="s">
        <v>1920</v>
      </c>
      <c r="J459" s="821" t="s">
        <v>349</v>
      </c>
      <c r="K459" s="928" t="s">
        <v>1916</v>
      </c>
      <c r="L459" s="821" t="s">
        <v>324</v>
      </c>
      <c r="M459" s="827" t="s">
        <v>1535</v>
      </c>
      <c r="N459" s="821" t="s">
        <v>425</v>
      </c>
    </row>
    <row r="460" spans="1:14">
      <c r="A460" s="123">
        <v>23</v>
      </c>
      <c r="B460" s="817"/>
      <c r="C460" s="244" t="s">
        <v>1918</v>
      </c>
      <c r="D460" s="822"/>
      <c r="E460" s="822"/>
      <c r="F460" s="822"/>
      <c r="G460" s="826"/>
      <c r="H460" s="822"/>
      <c r="I460" s="826"/>
      <c r="J460" s="822"/>
      <c r="K460" s="929"/>
      <c r="L460" s="822"/>
      <c r="M460" s="828"/>
      <c r="N460" s="822"/>
    </row>
    <row r="461" spans="1:14">
      <c r="A461" s="123">
        <v>23</v>
      </c>
      <c r="B461" s="815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16"/>
      <c r="C462" s="821" t="s">
        <v>1921</v>
      </c>
      <c r="D462" s="821" t="s">
        <v>311</v>
      </c>
      <c r="E462" s="821" t="s">
        <v>675</v>
      </c>
      <c r="F462" s="821" t="s">
        <v>1926</v>
      </c>
      <c r="G462" s="821" t="s">
        <v>1927</v>
      </c>
      <c r="H462" s="823" t="s">
        <v>347</v>
      </c>
      <c r="I462" s="242" t="s">
        <v>1928</v>
      </c>
      <c r="J462" s="821"/>
      <c r="K462" s="825" t="s">
        <v>1924</v>
      </c>
      <c r="L462" s="821" t="s">
        <v>309</v>
      </c>
      <c r="M462" s="827" t="s">
        <v>1828</v>
      </c>
      <c r="N462" s="825" t="s">
        <v>1925</v>
      </c>
    </row>
    <row r="463" spans="1:14">
      <c r="A463" s="123">
        <v>23</v>
      </c>
      <c r="B463" s="816"/>
      <c r="C463" s="822"/>
      <c r="D463" s="822"/>
      <c r="E463" s="822"/>
      <c r="F463" s="822"/>
      <c r="G463" s="822"/>
      <c r="H463" s="824"/>
      <c r="I463" s="242" t="s">
        <v>1929</v>
      </c>
      <c r="J463" s="822"/>
      <c r="K463" s="826"/>
      <c r="L463" s="822"/>
      <c r="M463" s="828"/>
      <c r="N463" s="826"/>
    </row>
    <row r="464" spans="1:14" ht="24">
      <c r="A464" s="123">
        <v>23</v>
      </c>
      <c r="B464" s="816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17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15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16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16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17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15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16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16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16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1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15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16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16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17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15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1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17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15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1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16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16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1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15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1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1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1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1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15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1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16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16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16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1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1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1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1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15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16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1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17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1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1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15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16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16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16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1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1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1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1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17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15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16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17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15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1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1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1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1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15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17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15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1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1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16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17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15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16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1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1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1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1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1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1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1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16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17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1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1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1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1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15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16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1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17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15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16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17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15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1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16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17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15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16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17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15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1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1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1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15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16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16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16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1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1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1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2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1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1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1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2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15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17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1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1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1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2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15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1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16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1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1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1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16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1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1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1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15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1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1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15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1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17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1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1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1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1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15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17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1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1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2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1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1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1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17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15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17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15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16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1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17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3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3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3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3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3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15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16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17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15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1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17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15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16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17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15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17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15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1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17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15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16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1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16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1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16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16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16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16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16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16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16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16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1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16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16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16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16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16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16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1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16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15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16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16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17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30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16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17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15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1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15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16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16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16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1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1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17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15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16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16"/>
      <c r="C687" s="148" t="s">
        <v>2726</v>
      </c>
      <c r="D687" s="840" t="s">
        <v>306</v>
      </c>
      <c r="E687" s="840" t="s">
        <v>322</v>
      </c>
      <c r="F687" s="840" t="s">
        <v>307</v>
      </c>
      <c r="G687" s="845" t="s">
        <v>2719</v>
      </c>
      <c r="H687" s="840" t="s">
        <v>1047</v>
      </c>
      <c r="I687" s="845" t="s">
        <v>704</v>
      </c>
      <c r="J687" s="840" t="s">
        <v>664</v>
      </c>
      <c r="K687" s="934" t="s">
        <v>1763</v>
      </c>
      <c r="L687" s="840"/>
      <c r="M687" s="849" t="s">
        <v>458</v>
      </c>
      <c r="N687" s="840" t="s">
        <v>665</v>
      </c>
    </row>
    <row r="688" spans="1:14">
      <c r="A688" s="123">
        <v>8</v>
      </c>
      <c r="B688" s="816"/>
      <c r="C688" s="148" t="s">
        <v>2727</v>
      </c>
      <c r="D688" s="841"/>
      <c r="E688" s="841"/>
      <c r="F688" s="841"/>
      <c r="G688" s="846"/>
      <c r="H688" s="841"/>
      <c r="I688" s="846"/>
      <c r="J688" s="841"/>
      <c r="K688" s="935"/>
      <c r="L688" s="841"/>
      <c r="M688" s="850"/>
      <c r="N688" s="841"/>
    </row>
    <row r="689" spans="1:14">
      <c r="A689" s="123">
        <v>8</v>
      </c>
      <c r="B689" s="816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16"/>
      <c r="C690" s="148" t="s">
        <v>2730</v>
      </c>
      <c r="D690" s="840" t="s">
        <v>306</v>
      </c>
      <c r="E690" s="840" t="s">
        <v>322</v>
      </c>
      <c r="F690" s="840" t="s">
        <v>307</v>
      </c>
      <c r="G690" s="845" t="s">
        <v>2731</v>
      </c>
      <c r="H690" s="840" t="s">
        <v>640</v>
      </c>
      <c r="I690" s="845" t="s">
        <v>668</v>
      </c>
      <c r="J690" s="840" t="s">
        <v>349</v>
      </c>
      <c r="K690" s="936" t="s">
        <v>2732</v>
      </c>
      <c r="L690" s="840"/>
      <c r="M690" s="849" t="s">
        <v>2769</v>
      </c>
      <c r="N690" s="840" t="s">
        <v>425</v>
      </c>
    </row>
    <row r="691" spans="1:14">
      <c r="A691" s="123">
        <v>8</v>
      </c>
      <c r="B691" s="817"/>
      <c r="C691" s="148" t="s">
        <v>2723</v>
      </c>
      <c r="D691" s="841"/>
      <c r="E691" s="841"/>
      <c r="F691" s="841"/>
      <c r="G691" s="846"/>
      <c r="H691" s="841"/>
      <c r="I691" s="846"/>
      <c r="J691" s="841"/>
      <c r="K691" s="937"/>
      <c r="L691" s="841"/>
      <c r="M691" s="850"/>
      <c r="N691" s="841"/>
    </row>
    <row r="692" spans="1:14">
      <c r="A692" s="123">
        <v>8</v>
      </c>
      <c r="B692" s="815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16"/>
      <c r="C693" s="840" t="s">
        <v>2768</v>
      </c>
      <c r="D693" s="840" t="s">
        <v>311</v>
      </c>
      <c r="E693" s="840" t="s">
        <v>675</v>
      </c>
      <c r="F693" s="149" t="s">
        <v>1806</v>
      </c>
      <c r="G693" s="845" t="s">
        <v>689</v>
      </c>
      <c r="H693" s="845" t="s">
        <v>662</v>
      </c>
      <c r="I693" s="845" t="s">
        <v>2739</v>
      </c>
      <c r="J693" s="845"/>
      <c r="K693" s="845" t="s">
        <v>698</v>
      </c>
      <c r="L693" s="840" t="s">
        <v>309</v>
      </c>
      <c r="M693" s="849" t="s">
        <v>672</v>
      </c>
      <c r="N693" s="840" t="s">
        <v>2740</v>
      </c>
    </row>
    <row r="694" spans="1:14">
      <c r="A694" s="123">
        <v>8</v>
      </c>
      <c r="B694" s="817"/>
      <c r="C694" s="841"/>
      <c r="D694" s="841"/>
      <c r="E694" s="841"/>
      <c r="F694" s="149" t="s">
        <v>2738</v>
      </c>
      <c r="G694" s="846"/>
      <c r="H694" s="846"/>
      <c r="I694" s="846"/>
      <c r="J694" s="846"/>
      <c r="K694" s="846"/>
      <c r="L694" s="841"/>
      <c r="M694" s="850"/>
      <c r="N694" s="868"/>
    </row>
    <row r="695" spans="1:14">
      <c r="A695" s="123">
        <v>9</v>
      </c>
      <c r="B695" s="815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16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16"/>
      <c r="C697" s="243" t="s">
        <v>2745</v>
      </c>
      <c r="D697" s="821" t="s">
        <v>306</v>
      </c>
      <c r="E697" s="821" t="s">
        <v>322</v>
      </c>
      <c r="F697" s="821" t="s">
        <v>307</v>
      </c>
      <c r="G697" s="825" t="s">
        <v>2746</v>
      </c>
      <c r="H697" s="821" t="s">
        <v>405</v>
      </c>
      <c r="I697" s="825" t="s">
        <v>2747</v>
      </c>
      <c r="J697" s="821" t="s">
        <v>664</v>
      </c>
      <c r="K697" s="938" t="s">
        <v>1757</v>
      </c>
      <c r="L697" s="821"/>
      <c r="M697" s="827">
        <v>750000</v>
      </c>
      <c r="N697" s="821" t="s">
        <v>665</v>
      </c>
    </row>
    <row r="698" spans="1:14">
      <c r="A698" s="123">
        <v>9</v>
      </c>
      <c r="B698" s="816"/>
      <c r="C698" s="243" t="s">
        <v>2748</v>
      </c>
      <c r="D698" s="822"/>
      <c r="E698" s="822"/>
      <c r="F698" s="822"/>
      <c r="G698" s="826"/>
      <c r="H698" s="822"/>
      <c r="I698" s="826"/>
      <c r="J698" s="822"/>
      <c r="K698" s="939"/>
      <c r="L698" s="822"/>
      <c r="M698" s="828"/>
      <c r="N698" s="822"/>
    </row>
    <row r="699" spans="1:14">
      <c r="A699" s="123">
        <v>9</v>
      </c>
      <c r="B699" s="816"/>
      <c r="C699" s="243" t="s">
        <v>2745</v>
      </c>
      <c r="D699" s="821" t="s">
        <v>306</v>
      </c>
      <c r="E699" s="821" t="s">
        <v>322</v>
      </c>
      <c r="F699" s="821" t="s">
        <v>307</v>
      </c>
      <c r="G699" s="825" t="s">
        <v>2749</v>
      </c>
      <c r="H699" s="821" t="s">
        <v>662</v>
      </c>
      <c r="I699" s="825" t="s">
        <v>668</v>
      </c>
      <c r="J699" s="821" t="s">
        <v>349</v>
      </c>
      <c r="K699" s="940" t="s">
        <v>2732</v>
      </c>
      <c r="L699" s="821"/>
      <c r="M699" s="827">
        <v>1000000</v>
      </c>
      <c r="N699" s="821" t="s">
        <v>425</v>
      </c>
    </row>
    <row r="700" spans="1:14">
      <c r="A700" s="123">
        <v>9</v>
      </c>
      <c r="B700" s="816"/>
      <c r="C700" s="243" t="s">
        <v>2750</v>
      </c>
      <c r="D700" s="822"/>
      <c r="E700" s="822"/>
      <c r="F700" s="822"/>
      <c r="G700" s="826"/>
      <c r="H700" s="822"/>
      <c r="I700" s="826"/>
      <c r="J700" s="822"/>
      <c r="K700" s="941"/>
      <c r="L700" s="822"/>
      <c r="M700" s="828"/>
      <c r="N700" s="822"/>
    </row>
    <row r="701" spans="1:14">
      <c r="A701" s="123">
        <v>9</v>
      </c>
      <c r="B701" s="817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15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16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17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15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16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17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15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16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16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17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15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17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15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17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15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16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16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16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17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1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1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16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1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15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16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16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16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1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16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16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42" t="s">
        <v>2821</v>
      </c>
    </row>
    <row r="734" spans="1:14" ht="27">
      <c r="A734" s="123">
        <v>15</v>
      </c>
      <c r="B734" s="816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43"/>
    </row>
    <row r="735" spans="1:14">
      <c r="A735" s="123">
        <v>15</v>
      </c>
      <c r="B735" s="81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1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1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1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1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16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16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16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16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16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17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15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16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16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16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17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15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1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16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1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1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15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16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16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17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15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1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16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16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16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16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16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16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1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17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15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16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17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15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16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1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15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16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16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17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15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16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16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1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15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17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1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16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16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17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15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1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1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1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2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15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16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16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16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17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15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16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16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17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15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1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17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15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1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1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17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15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16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16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16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16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17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15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1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1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1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16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16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16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16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1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15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16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16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16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1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1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15" t="s">
        <v>3097</v>
      </c>
      <c r="C835" s="148" t="s">
        <v>3079</v>
      </c>
      <c r="D835" s="840" t="s">
        <v>306</v>
      </c>
      <c r="E835" s="840" t="s">
        <v>322</v>
      </c>
      <c r="F835" s="840" t="s">
        <v>307</v>
      </c>
      <c r="G835" s="845" t="s">
        <v>3051</v>
      </c>
      <c r="H835" s="840" t="s">
        <v>1993</v>
      </c>
      <c r="I835" s="845" t="s">
        <v>3052</v>
      </c>
      <c r="J835" s="840" t="s">
        <v>664</v>
      </c>
      <c r="K835" s="148" t="s">
        <v>3081</v>
      </c>
      <c r="L835" s="840"/>
      <c r="M835" s="945" t="s">
        <v>3082</v>
      </c>
      <c r="N835" s="148" t="s">
        <v>3083</v>
      </c>
    </row>
    <row r="836" spans="1:14">
      <c r="A836" s="123">
        <v>29</v>
      </c>
      <c r="B836" s="816"/>
      <c r="C836" s="148" t="s">
        <v>3080</v>
      </c>
      <c r="D836" s="868"/>
      <c r="E836" s="868"/>
      <c r="F836" s="868"/>
      <c r="G836" s="944"/>
      <c r="H836" s="868"/>
      <c r="I836" s="944"/>
      <c r="J836" s="868"/>
      <c r="K836" s="148" t="s">
        <v>707</v>
      </c>
      <c r="L836" s="868"/>
      <c r="M836" s="946"/>
      <c r="N836" s="148"/>
    </row>
    <row r="837" spans="1:14">
      <c r="A837" s="123">
        <v>29</v>
      </c>
      <c r="B837" s="816"/>
      <c r="C837" s="148"/>
      <c r="D837" s="841"/>
      <c r="E837" s="841"/>
      <c r="F837" s="841"/>
      <c r="G837" s="846"/>
      <c r="H837" s="841"/>
      <c r="I837" s="846"/>
      <c r="J837" s="841"/>
      <c r="K837" s="148"/>
      <c r="L837" s="841"/>
      <c r="M837" s="947"/>
      <c r="N837" s="148" t="s">
        <v>3084</v>
      </c>
    </row>
    <row r="838" spans="1:14">
      <c r="A838" s="123">
        <v>29</v>
      </c>
      <c r="B838" s="816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17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15" t="s">
        <v>21</v>
      </c>
      <c r="C840" s="111" t="s">
        <v>3087</v>
      </c>
      <c r="D840" s="840" t="s">
        <v>311</v>
      </c>
      <c r="E840" s="840" t="s">
        <v>320</v>
      </c>
      <c r="F840" s="845" t="s">
        <v>2601</v>
      </c>
      <c r="G840" s="845" t="s">
        <v>3059</v>
      </c>
      <c r="H840" s="845" t="s">
        <v>3060</v>
      </c>
      <c r="I840" s="845" t="s">
        <v>3061</v>
      </c>
      <c r="J840" s="845" t="s">
        <v>702</v>
      </c>
      <c r="K840" s="845" t="s">
        <v>3062</v>
      </c>
      <c r="L840" s="840" t="s">
        <v>309</v>
      </c>
      <c r="M840" s="945" t="s">
        <v>1816</v>
      </c>
      <c r="N840" s="840" t="s">
        <v>3088</v>
      </c>
    </row>
    <row r="841" spans="1:14">
      <c r="A841" s="123">
        <v>29</v>
      </c>
      <c r="B841" s="816"/>
      <c r="C841" s="111" t="s">
        <v>3065</v>
      </c>
      <c r="D841" s="841"/>
      <c r="E841" s="841"/>
      <c r="F841" s="846"/>
      <c r="G841" s="846"/>
      <c r="H841" s="846"/>
      <c r="I841" s="846"/>
      <c r="J841" s="846"/>
      <c r="K841" s="846"/>
      <c r="L841" s="841"/>
      <c r="M841" s="947"/>
      <c r="N841" s="841"/>
    </row>
    <row r="842" spans="1:14">
      <c r="A842" s="123">
        <v>29</v>
      </c>
      <c r="B842" s="816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16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16"/>
      <c r="C844" s="111" t="s">
        <v>3079</v>
      </c>
      <c r="D844" s="840" t="s">
        <v>311</v>
      </c>
      <c r="E844" s="840" t="s">
        <v>320</v>
      </c>
      <c r="F844" s="845" t="s">
        <v>3068</v>
      </c>
      <c r="G844" s="845" t="s">
        <v>1919</v>
      </c>
      <c r="H844" s="845" t="s">
        <v>3069</v>
      </c>
      <c r="I844" s="149" t="s">
        <v>3090</v>
      </c>
      <c r="J844" s="845"/>
      <c r="K844" s="845" t="s">
        <v>3070</v>
      </c>
      <c r="L844" s="840" t="s">
        <v>309</v>
      </c>
      <c r="M844" s="948" t="s">
        <v>3092</v>
      </c>
      <c r="N844" s="840" t="s">
        <v>1206</v>
      </c>
    </row>
    <row r="845" spans="1:14">
      <c r="A845" s="123">
        <v>29</v>
      </c>
      <c r="B845" s="816"/>
      <c r="C845" s="111" t="s">
        <v>3089</v>
      </c>
      <c r="D845" s="841"/>
      <c r="E845" s="841"/>
      <c r="F845" s="846"/>
      <c r="G845" s="846"/>
      <c r="H845" s="846"/>
      <c r="I845" s="149" t="s">
        <v>3091</v>
      </c>
      <c r="J845" s="846"/>
      <c r="K845" s="846"/>
      <c r="L845" s="841"/>
      <c r="M845" s="949"/>
      <c r="N845" s="841"/>
    </row>
    <row r="846" spans="1:14">
      <c r="A846" s="123">
        <v>29</v>
      </c>
      <c r="B846" s="816"/>
      <c r="C846" s="111" t="s">
        <v>3079</v>
      </c>
      <c r="D846" s="840" t="s">
        <v>311</v>
      </c>
      <c r="E846" s="840" t="s">
        <v>320</v>
      </c>
      <c r="F846" s="845" t="s">
        <v>2601</v>
      </c>
      <c r="G846" s="845" t="s">
        <v>3059</v>
      </c>
      <c r="H846" s="845" t="s">
        <v>3060</v>
      </c>
      <c r="I846" s="845" t="s">
        <v>3071</v>
      </c>
      <c r="J846" s="845" t="s">
        <v>702</v>
      </c>
      <c r="K846" s="845" t="s">
        <v>1054</v>
      </c>
      <c r="L846" s="840" t="s">
        <v>309</v>
      </c>
      <c r="M846" s="945" t="s">
        <v>3094</v>
      </c>
      <c r="N846" s="840" t="s">
        <v>3095</v>
      </c>
    </row>
    <row r="847" spans="1:14">
      <c r="A847" s="123">
        <v>29</v>
      </c>
      <c r="B847" s="816"/>
      <c r="C847" s="111"/>
      <c r="D847" s="868"/>
      <c r="E847" s="868"/>
      <c r="F847" s="944"/>
      <c r="G847" s="944"/>
      <c r="H847" s="944"/>
      <c r="I847" s="944"/>
      <c r="J847" s="944"/>
      <c r="K847" s="944"/>
      <c r="L847" s="868"/>
      <c r="M847" s="946"/>
      <c r="N847" s="868"/>
    </row>
    <row r="848" spans="1:14">
      <c r="A848" s="123">
        <v>29</v>
      </c>
      <c r="B848" s="816"/>
      <c r="C848" s="111" t="s">
        <v>3093</v>
      </c>
      <c r="D848" s="841"/>
      <c r="E848" s="841"/>
      <c r="F848" s="846"/>
      <c r="G848" s="846"/>
      <c r="H848" s="846"/>
      <c r="I848" s="846"/>
      <c r="J848" s="846"/>
      <c r="K848" s="846"/>
      <c r="L848" s="841"/>
      <c r="M848" s="947"/>
      <c r="N848" s="841"/>
    </row>
    <row r="849" spans="1:14">
      <c r="A849" s="123">
        <v>29</v>
      </c>
      <c r="B849" s="816"/>
      <c r="C849" s="111" t="s">
        <v>3096</v>
      </c>
      <c r="D849" s="840" t="s">
        <v>311</v>
      </c>
      <c r="E849" s="840" t="s">
        <v>320</v>
      </c>
      <c r="F849" s="845" t="s">
        <v>337</v>
      </c>
      <c r="G849" s="845" t="s">
        <v>3072</v>
      </c>
      <c r="H849" s="845" t="s">
        <v>354</v>
      </c>
      <c r="I849" s="845" t="s">
        <v>310</v>
      </c>
      <c r="J849" s="845" t="s">
        <v>638</v>
      </c>
      <c r="K849" s="845" t="s">
        <v>3073</v>
      </c>
      <c r="L849" s="840" t="s">
        <v>309</v>
      </c>
      <c r="M849" s="945" t="s">
        <v>1816</v>
      </c>
      <c r="N849" s="840" t="s">
        <v>3095</v>
      </c>
    </row>
    <row r="850" spans="1:14">
      <c r="A850" s="123">
        <v>29</v>
      </c>
      <c r="B850" s="817"/>
      <c r="C850" s="111" t="s">
        <v>3089</v>
      </c>
      <c r="D850" s="841"/>
      <c r="E850" s="841"/>
      <c r="F850" s="846"/>
      <c r="G850" s="846"/>
      <c r="H850" s="846"/>
      <c r="I850" s="846"/>
      <c r="J850" s="846"/>
      <c r="K850" s="846"/>
      <c r="L850" s="841"/>
      <c r="M850" s="947"/>
      <c r="N850" s="841"/>
    </row>
    <row r="851" spans="1:14">
      <c r="A851" s="123">
        <v>30</v>
      </c>
      <c r="B851" s="95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5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53"/>
      <c r="C853" s="148" t="s">
        <v>3106</v>
      </c>
      <c r="D853" s="840" t="s">
        <v>306</v>
      </c>
      <c r="E853" s="840" t="s">
        <v>322</v>
      </c>
      <c r="F853" s="840" t="s">
        <v>307</v>
      </c>
      <c r="G853" s="845" t="s">
        <v>3051</v>
      </c>
      <c r="H853" s="840" t="s">
        <v>1993</v>
      </c>
      <c r="I853" s="845" t="s">
        <v>3108</v>
      </c>
      <c r="J853" s="840" t="s">
        <v>664</v>
      </c>
      <c r="K853" s="148" t="s">
        <v>3109</v>
      </c>
      <c r="L853" s="840"/>
      <c r="M853" s="849" t="s">
        <v>3110</v>
      </c>
      <c r="N853" s="840" t="s">
        <v>665</v>
      </c>
    </row>
    <row r="854" spans="1:14">
      <c r="A854" s="123">
        <v>30</v>
      </c>
      <c r="B854" s="953"/>
      <c r="C854" s="148" t="s">
        <v>3107</v>
      </c>
      <c r="D854" s="841"/>
      <c r="E854" s="841"/>
      <c r="F854" s="841"/>
      <c r="G854" s="846"/>
      <c r="H854" s="841"/>
      <c r="I854" s="846"/>
      <c r="J854" s="841"/>
      <c r="K854" s="148" t="s">
        <v>655</v>
      </c>
      <c r="L854" s="841"/>
      <c r="M854" s="850"/>
      <c r="N854" s="841"/>
    </row>
    <row r="855" spans="1:14">
      <c r="A855" s="123">
        <v>30</v>
      </c>
      <c r="B855" s="95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15" t="s">
        <v>3116</v>
      </c>
      <c r="C856" s="950" t="s">
        <v>3117</v>
      </c>
      <c r="D856" s="840" t="s">
        <v>311</v>
      </c>
      <c r="E856" s="840" t="s">
        <v>320</v>
      </c>
      <c r="F856" s="845" t="s">
        <v>2601</v>
      </c>
      <c r="G856" s="845" t="s">
        <v>2749</v>
      </c>
      <c r="H856" s="845" t="s">
        <v>347</v>
      </c>
      <c r="I856" s="845" t="s">
        <v>3118</v>
      </c>
      <c r="J856" s="845" t="s">
        <v>638</v>
      </c>
      <c r="K856" s="845" t="s">
        <v>698</v>
      </c>
      <c r="L856" s="840" t="s">
        <v>309</v>
      </c>
      <c r="M856" s="849" t="s">
        <v>1810</v>
      </c>
      <c r="N856" s="148" t="s">
        <v>3119</v>
      </c>
    </row>
    <row r="857" spans="1:14">
      <c r="A857" s="123">
        <v>30</v>
      </c>
      <c r="B857" s="816"/>
      <c r="C857" s="951"/>
      <c r="D857" s="841"/>
      <c r="E857" s="841"/>
      <c r="F857" s="846"/>
      <c r="G857" s="846"/>
      <c r="H857" s="846"/>
      <c r="I857" s="846"/>
      <c r="J857" s="846"/>
      <c r="K857" s="846"/>
      <c r="L857" s="841"/>
      <c r="M857" s="850"/>
      <c r="N857" s="148" t="s">
        <v>3120</v>
      </c>
    </row>
    <row r="858" spans="1:14" ht="16.5" customHeight="1">
      <c r="A858" s="123">
        <v>30</v>
      </c>
      <c r="B858" s="816"/>
      <c r="C858" s="950" t="s">
        <v>3117</v>
      </c>
      <c r="D858" s="840" t="s">
        <v>311</v>
      </c>
      <c r="E858" s="840" t="s">
        <v>320</v>
      </c>
      <c r="F858" s="845" t="s">
        <v>709</v>
      </c>
      <c r="G858" s="149" t="s">
        <v>3121</v>
      </c>
      <c r="H858" s="845" t="s">
        <v>640</v>
      </c>
      <c r="I858" s="845" t="s">
        <v>3122</v>
      </c>
      <c r="J858" s="845"/>
      <c r="K858" s="845" t="s">
        <v>692</v>
      </c>
      <c r="L858" s="840" t="s">
        <v>309</v>
      </c>
      <c r="M858" s="849" t="s">
        <v>1535</v>
      </c>
      <c r="N858" s="840" t="s">
        <v>1772</v>
      </c>
    </row>
    <row r="859" spans="1:14">
      <c r="A859" s="123">
        <v>30</v>
      </c>
      <c r="B859" s="816"/>
      <c r="C859" s="951"/>
      <c r="D859" s="841"/>
      <c r="E859" s="841"/>
      <c r="F859" s="846"/>
      <c r="G859" s="149">
        <v>2651</v>
      </c>
      <c r="H859" s="846"/>
      <c r="I859" s="846"/>
      <c r="J859" s="846"/>
      <c r="K859" s="846"/>
      <c r="L859" s="841"/>
      <c r="M859" s="850"/>
      <c r="N859" s="841"/>
    </row>
    <row r="860" spans="1:14">
      <c r="A860" s="123">
        <v>30</v>
      </c>
      <c r="B860" s="816"/>
      <c r="C860" s="950" t="s">
        <v>3123</v>
      </c>
      <c r="D860" s="840" t="s">
        <v>311</v>
      </c>
      <c r="E860" s="840" t="s">
        <v>320</v>
      </c>
      <c r="F860" s="845" t="s">
        <v>720</v>
      </c>
      <c r="G860" s="845" t="s">
        <v>1756</v>
      </c>
      <c r="H860" s="845" t="s">
        <v>347</v>
      </c>
      <c r="I860" s="149" t="s">
        <v>3124</v>
      </c>
      <c r="J860" s="845"/>
      <c r="K860" s="845" t="s">
        <v>3126</v>
      </c>
      <c r="L860" s="840" t="s">
        <v>309</v>
      </c>
      <c r="M860" s="849" t="s">
        <v>1933</v>
      </c>
      <c r="N860" s="840" t="s">
        <v>1206</v>
      </c>
    </row>
    <row r="861" spans="1:14">
      <c r="A861" s="123">
        <v>30</v>
      </c>
      <c r="B861" s="816"/>
      <c r="C861" s="951"/>
      <c r="D861" s="841"/>
      <c r="E861" s="841"/>
      <c r="F861" s="846"/>
      <c r="G861" s="846"/>
      <c r="H861" s="846"/>
      <c r="I861" s="149" t="s">
        <v>3125</v>
      </c>
      <c r="J861" s="846"/>
      <c r="K861" s="846"/>
      <c r="L861" s="841"/>
      <c r="M861" s="850"/>
      <c r="N861" s="841"/>
    </row>
    <row r="862" spans="1:14">
      <c r="A862" s="123">
        <v>30</v>
      </c>
      <c r="B862" s="816"/>
      <c r="C862" s="111" t="s">
        <v>3127</v>
      </c>
      <c r="D862" s="840" t="s">
        <v>311</v>
      </c>
      <c r="E862" s="840" t="s">
        <v>320</v>
      </c>
      <c r="F862" s="845" t="s">
        <v>690</v>
      </c>
      <c r="G862" s="845" t="s">
        <v>3066</v>
      </c>
      <c r="H862" s="845" t="s">
        <v>354</v>
      </c>
      <c r="I862" s="845" t="s">
        <v>3129</v>
      </c>
      <c r="J862" s="845" t="s">
        <v>638</v>
      </c>
      <c r="K862" s="845" t="s">
        <v>655</v>
      </c>
      <c r="L862" s="840" t="s">
        <v>309</v>
      </c>
      <c r="M862" s="849" t="s">
        <v>1535</v>
      </c>
      <c r="N862" s="840" t="s">
        <v>1206</v>
      </c>
    </row>
    <row r="863" spans="1:14">
      <c r="A863" s="123">
        <v>30</v>
      </c>
      <c r="B863" s="816"/>
      <c r="C863" s="111" t="s">
        <v>3128</v>
      </c>
      <c r="D863" s="841"/>
      <c r="E863" s="841"/>
      <c r="F863" s="846"/>
      <c r="G863" s="846"/>
      <c r="H863" s="846"/>
      <c r="I863" s="846"/>
      <c r="J863" s="846"/>
      <c r="K863" s="846"/>
      <c r="L863" s="841"/>
      <c r="M863" s="850"/>
      <c r="N863" s="841"/>
    </row>
    <row r="864" spans="1:14">
      <c r="A864" s="123">
        <v>30</v>
      </c>
      <c r="B864" s="816"/>
      <c r="C864" s="111" t="s">
        <v>3130</v>
      </c>
      <c r="D864" s="840" t="s">
        <v>311</v>
      </c>
      <c r="E864" s="840" t="s">
        <v>320</v>
      </c>
      <c r="F864" s="845" t="s">
        <v>337</v>
      </c>
      <c r="G864" s="845" t="s">
        <v>3072</v>
      </c>
      <c r="H864" s="845" t="s">
        <v>354</v>
      </c>
      <c r="I864" s="845" t="s">
        <v>3131</v>
      </c>
      <c r="J864" s="845" t="s">
        <v>638</v>
      </c>
      <c r="K864" s="845" t="s">
        <v>713</v>
      </c>
      <c r="L864" s="840" t="s">
        <v>309</v>
      </c>
      <c r="M864" s="849" t="s">
        <v>1810</v>
      </c>
      <c r="N864" s="840" t="s">
        <v>1206</v>
      </c>
    </row>
    <row r="865" spans="1:14">
      <c r="A865" s="123">
        <v>30</v>
      </c>
      <c r="B865" s="816"/>
      <c r="C865" s="111" t="s">
        <v>3107</v>
      </c>
      <c r="D865" s="841"/>
      <c r="E865" s="841"/>
      <c r="F865" s="846"/>
      <c r="G865" s="846"/>
      <c r="H865" s="846"/>
      <c r="I865" s="846"/>
      <c r="J865" s="846"/>
      <c r="K865" s="846"/>
      <c r="L865" s="841"/>
      <c r="M865" s="850"/>
      <c r="N865" s="841"/>
    </row>
    <row r="866" spans="1:14" ht="25.5">
      <c r="A866" s="123">
        <v>30</v>
      </c>
      <c r="B866" s="816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16"/>
      <c r="C867" s="950" t="s">
        <v>3111</v>
      </c>
      <c r="D867" s="840" t="s">
        <v>311</v>
      </c>
      <c r="E867" s="840" t="s">
        <v>675</v>
      </c>
      <c r="F867" s="845" t="s">
        <v>660</v>
      </c>
      <c r="G867" s="845" t="s">
        <v>661</v>
      </c>
      <c r="H867" s="845" t="s">
        <v>662</v>
      </c>
      <c r="I867" s="149" t="s">
        <v>3134</v>
      </c>
      <c r="J867" s="845" t="s">
        <v>638</v>
      </c>
      <c r="K867" s="845" t="s">
        <v>731</v>
      </c>
      <c r="L867" s="840" t="s">
        <v>309</v>
      </c>
      <c r="M867" s="849" t="s">
        <v>1828</v>
      </c>
      <c r="N867" s="840" t="s">
        <v>3136</v>
      </c>
    </row>
    <row r="868" spans="1:14">
      <c r="A868" s="123">
        <v>30</v>
      </c>
      <c r="B868" s="817"/>
      <c r="C868" s="951"/>
      <c r="D868" s="841"/>
      <c r="E868" s="841"/>
      <c r="F868" s="846"/>
      <c r="G868" s="846"/>
      <c r="H868" s="846"/>
      <c r="I868" s="149" t="s">
        <v>3135</v>
      </c>
      <c r="J868" s="846"/>
      <c r="K868" s="846"/>
      <c r="L868" s="841"/>
      <c r="M868" s="850"/>
      <c r="N868" s="841"/>
    </row>
    <row r="869" spans="1:14">
      <c r="A869" s="123">
        <v>31</v>
      </c>
      <c r="B869" s="815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16"/>
      <c r="C870" s="148" t="s">
        <v>3140</v>
      </c>
      <c r="D870" s="840" t="s">
        <v>306</v>
      </c>
      <c r="E870" s="840" t="s">
        <v>322</v>
      </c>
      <c r="F870" s="840" t="s">
        <v>307</v>
      </c>
      <c r="G870" s="845">
        <v>1566</v>
      </c>
      <c r="H870" s="840" t="s">
        <v>1911</v>
      </c>
      <c r="I870" s="845" t="s">
        <v>3142</v>
      </c>
      <c r="J870" s="840" t="s">
        <v>664</v>
      </c>
      <c r="K870" s="840" t="s">
        <v>3143</v>
      </c>
      <c r="L870" s="840"/>
      <c r="M870" s="849" t="s">
        <v>3144</v>
      </c>
      <c r="N870" s="840" t="s">
        <v>665</v>
      </c>
    </row>
    <row r="871" spans="1:14">
      <c r="A871" s="123">
        <v>31</v>
      </c>
      <c r="B871" s="816"/>
      <c r="C871" s="148" t="s">
        <v>3141</v>
      </c>
      <c r="D871" s="841"/>
      <c r="E871" s="841"/>
      <c r="F871" s="841"/>
      <c r="G871" s="846"/>
      <c r="H871" s="841"/>
      <c r="I871" s="846"/>
      <c r="J871" s="841"/>
      <c r="K871" s="841"/>
      <c r="L871" s="841"/>
      <c r="M871" s="850"/>
      <c r="N871" s="841"/>
    </row>
    <row r="872" spans="1:14">
      <c r="A872" s="123">
        <v>31</v>
      </c>
      <c r="B872" s="816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16"/>
      <c r="C873" s="388" t="s">
        <v>3140</v>
      </c>
      <c r="D873" s="840" t="s">
        <v>306</v>
      </c>
      <c r="E873" s="840" t="s">
        <v>322</v>
      </c>
      <c r="F873" s="840" t="s">
        <v>307</v>
      </c>
      <c r="G873" s="845" t="s">
        <v>3147</v>
      </c>
      <c r="H873" s="840" t="s">
        <v>3148</v>
      </c>
      <c r="I873" s="845" t="s">
        <v>332</v>
      </c>
      <c r="J873" s="840" t="s">
        <v>1534</v>
      </c>
      <c r="K873" s="840" t="s">
        <v>1157</v>
      </c>
      <c r="L873" s="840"/>
      <c r="M873" s="849" t="s">
        <v>3149</v>
      </c>
      <c r="N873" s="840" t="s">
        <v>425</v>
      </c>
    </row>
    <row r="874" spans="1:14">
      <c r="A874" s="123">
        <v>31</v>
      </c>
      <c r="B874" s="817"/>
      <c r="C874" s="388" t="s">
        <v>3146</v>
      </c>
      <c r="D874" s="841"/>
      <c r="E874" s="841"/>
      <c r="F874" s="841"/>
      <c r="G874" s="846"/>
      <c r="H874" s="841"/>
      <c r="I874" s="846"/>
      <c r="J874" s="841"/>
      <c r="K874" s="841"/>
      <c r="L874" s="841"/>
      <c r="M874" s="850"/>
      <c r="N874" s="841"/>
    </row>
    <row r="875" spans="1:14">
      <c r="A875" s="123">
        <v>31</v>
      </c>
      <c r="B875" s="815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16"/>
      <c r="C876" s="840" t="s">
        <v>3128</v>
      </c>
      <c r="D876" s="840" t="s">
        <v>311</v>
      </c>
      <c r="E876" s="840" t="s">
        <v>675</v>
      </c>
      <c r="F876" s="845" t="s">
        <v>660</v>
      </c>
      <c r="G876" s="845" t="s">
        <v>661</v>
      </c>
      <c r="H876" s="845" t="s">
        <v>662</v>
      </c>
      <c r="I876" s="149" t="s">
        <v>3134</v>
      </c>
      <c r="J876" s="845"/>
      <c r="K876" s="845" t="s">
        <v>698</v>
      </c>
      <c r="L876" s="840" t="s">
        <v>309</v>
      </c>
      <c r="M876" s="849" t="s">
        <v>3139</v>
      </c>
      <c r="N876" s="840" t="s">
        <v>3152</v>
      </c>
    </row>
    <row r="877" spans="1:14">
      <c r="A877" s="123">
        <v>31</v>
      </c>
      <c r="B877" s="816"/>
      <c r="C877" s="841"/>
      <c r="D877" s="841"/>
      <c r="E877" s="841"/>
      <c r="F877" s="846"/>
      <c r="G877" s="846"/>
      <c r="H877" s="846"/>
      <c r="I877" s="149" t="s">
        <v>3135</v>
      </c>
      <c r="J877" s="846"/>
      <c r="K877" s="846"/>
      <c r="L877" s="841"/>
      <c r="M877" s="850"/>
      <c r="N877" s="841"/>
    </row>
    <row r="878" spans="1:14" ht="16.5" customHeight="1">
      <c r="A878" s="123">
        <v>31</v>
      </c>
      <c r="B878" s="816"/>
      <c r="C878" s="148" t="s">
        <v>3153</v>
      </c>
      <c r="D878" s="840" t="s">
        <v>311</v>
      </c>
      <c r="E878" s="840" t="s">
        <v>320</v>
      </c>
      <c r="F878" s="845" t="s">
        <v>3068</v>
      </c>
      <c r="G878" s="845" t="s">
        <v>1919</v>
      </c>
      <c r="H878" s="845" t="s">
        <v>3069</v>
      </c>
      <c r="I878" s="845" t="s">
        <v>3154</v>
      </c>
      <c r="J878" s="845"/>
      <c r="K878" s="845" t="s">
        <v>3155</v>
      </c>
      <c r="L878" s="840" t="s">
        <v>309</v>
      </c>
      <c r="M878" s="849" t="s">
        <v>3156</v>
      </c>
      <c r="N878" s="840" t="s">
        <v>3151</v>
      </c>
    </row>
    <row r="879" spans="1:14">
      <c r="A879" s="123">
        <v>31</v>
      </c>
      <c r="B879" s="816"/>
      <c r="C879" s="148" t="s">
        <v>3111</v>
      </c>
      <c r="D879" s="841"/>
      <c r="E879" s="841"/>
      <c r="F879" s="846"/>
      <c r="G879" s="846"/>
      <c r="H879" s="846"/>
      <c r="I879" s="846"/>
      <c r="J879" s="846"/>
      <c r="K879" s="846"/>
      <c r="L879" s="841"/>
      <c r="M879" s="850"/>
      <c r="N879" s="841"/>
    </row>
    <row r="880" spans="1:14">
      <c r="A880" s="123">
        <v>31</v>
      </c>
      <c r="B880" s="816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16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16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16"/>
      <c r="C883" s="111" t="s">
        <v>3166</v>
      </c>
      <c r="D883" s="840" t="s">
        <v>311</v>
      </c>
      <c r="E883" s="840" t="s">
        <v>320</v>
      </c>
      <c r="F883" s="845" t="s">
        <v>337</v>
      </c>
      <c r="G883" s="845" t="s">
        <v>3168</v>
      </c>
      <c r="H883" s="845" t="s">
        <v>3169</v>
      </c>
      <c r="I883" s="845" t="s">
        <v>3170</v>
      </c>
      <c r="J883" s="845" t="s">
        <v>3171</v>
      </c>
      <c r="K883" s="845" t="s">
        <v>3172</v>
      </c>
      <c r="L883" s="840" t="s">
        <v>309</v>
      </c>
      <c r="M883" s="849" t="s">
        <v>3173</v>
      </c>
      <c r="N883" s="840" t="s">
        <v>3136</v>
      </c>
    </row>
    <row r="884" spans="1:14">
      <c r="A884" s="123">
        <v>31</v>
      </c>
      <c r="B884" s="817"/>
      <c r="C884" s="111" t="s">
        <v>3167</v>
      </c>
      <c r="D884" s="841"/>
      <c r="E884" s="841"/>
      <c r="F884" s="846"/>
      <c r="G884" s="846"/>
      <c r="H884" s="846"/>
      <c r="I884" s="846"/>
      <c r="J884" s="846"/>
      <c r="K884" s="846"/>
      <c r="L884" s="841"/>
      <c r="M884" s="850"/>
      <c r="N884" s="841"/>
    </row>
    <row r="885" spans="1:14" ht="27">
      <c r="A885" s="123">
        <v>32</v>
      </c>
      <c r="B885" s="95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5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5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5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5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5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5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5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5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5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5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5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5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5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2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30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3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3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2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3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3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3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3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3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3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3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2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3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3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3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3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3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29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3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30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30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3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3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3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30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3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31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1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1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1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1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1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1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1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1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1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1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1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1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1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1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1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1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1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1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1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1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1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1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1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1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1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1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1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1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1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1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1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1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1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1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1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1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1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1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1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1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1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1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1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1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1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1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1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1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1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1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1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1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1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1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1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1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1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1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1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1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1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1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1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1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1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1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1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1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1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1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1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1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1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1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1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1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1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1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1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1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1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1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1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1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1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1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1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1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1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1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1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1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1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1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1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1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1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1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1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1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1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1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1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1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1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1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1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1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1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1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1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1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1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1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1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1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1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1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1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1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1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1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1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1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1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1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1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1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1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1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1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1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1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1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1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1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1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1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1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1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1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1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1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1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1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1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1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1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1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1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1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1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1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1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1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1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1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1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1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1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1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1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1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1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1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1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1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1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1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1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1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1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1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1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1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1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1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1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1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1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1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1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1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1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1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1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1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1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1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1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1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1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1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1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1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1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1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1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1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1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1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1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1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1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1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1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1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1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1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1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1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1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1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1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1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1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1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1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1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1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1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1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1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1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1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1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1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1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1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1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1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1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1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1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1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1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1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1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1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1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1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1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1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1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1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1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1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1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1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1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1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1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1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1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1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1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1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1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1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1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1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1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79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79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79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79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79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79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79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79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79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79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79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79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79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79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79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79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79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79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79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798"/>
      <c r="C1208" s="806" t="s">
        <v>5007</v>
      </c>
      <c r="D1208" s="799" t="s">
        <v>311</v>
      </c>
      <c r="E1208" s="799" t="s">
        <v>675</v>
      </c>
      <c r="F1208" s="806" t="s">
        <v>337</v>
      </c>
      <c r="G1208" s="806" t="s">
        <v>353</v>
      </c>
      <c r="H1208" s="806" t="s">
        <v>5008</v>
      </c>
      <c r="I1208" s="476" t="s">
        <v>5009</v>
      </c>
      <c r="J1208" s="806" t="s">
        <v>638</v>
      </c>
      <c r="K1208" s="806" t="s">
        <v>713</v>
      </c>
      <c r="L1208" s="799" t="s">
        <v>309</v>
      </c>
      <c r="M1208" s="809">
        <v>250000</v>
      </c>
      <c r="N1208" s="799" t="s">
        <v>4990</v>
      </c>
    </row>
    <row r="1209" spans="1:14">
      <c r="A1209" s="123">
        <v>2</v>
      </c>
      <c r="B1209" s="798"/>
      <c r="C1209" s="806"/>
      <c r="D1209" s="799"/>
      <c r="E1209" s="799"/>
      <c r="F1209" s="806"/>
      <c r="G1209" s="806"/>
      <c r="H1209" s="806"/>
      <c r="I1209" s="476" t="s">
        <v>5010</v>
      </c>
      <c r="J1209" s="806"/>
      <c r="K1209" s="806"/>
      <c r="L1209" s="799"/>
      <c r="M1209" s="809"/>
      <c r="N1209" s="799"/>
    </row>
    <row r="1210" spans="1:14">
      <c r="A1210" s="123">
        <v>2</v>
      </c>
      <c r="B1210" s="79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79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79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79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79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79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79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79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79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79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79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79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798"/>
      <c r="C1222" s="806" t="s">
        <v>5033</v>
      </c>
      <c r="D1222" s="799" t="s">
        <v>311</v>
      </c>
      <c r="E1222" s="799" t="s">
        <v>675</v>
      </c>
      <c r="F1222" s="149" t="s">
        <v>5034</v>
      </c>
      <c r="G1222" s="149" t="s">
        <v>5036</v>
      </c>
      <c r="H1222" s="806" t="s">
        <v>347</v>
      </c>
      <c r="I1222" s="149" t="s">
        <v>5038</v>
      </c>
      <c r="J1222" s="806"/>
      <c r="K1222" s="806" t="s">
        <v>705</v>
      </c>
      <c r="L1222" s="799" t="s">
        <v>309</v>
      </c>
      <c r="M1222" s="809">
        <v>500000</v>
      </c>
      <c r="N1222" s="799" t="s">
        <v>5032</v>
      </c>
    </row>
    <row r="1223" spans="1:14">
      <c r="A1223" s="123">
        <v>3</v>
      </c>
      <c r="B1223" s="798"/>
      <c r="C1223" s="806"/>
      <c r="D1223" s="799"/>
      <c r="E1223" s="799"/>
      <c r="F1223" s="149" t="s">
        <v>5035</v>
      </c>
      <c r="G1223" s="149" t="s">
        <v>5037</v>
      </c>
      <c r="H1223" s="806"/>
      <c r="I1223" s="149" t="s">
        <v>5039</v>
      </c>
      <c r="J1223" s="806"/>
      <c r="K1223" s="806"/>
      <c r="L1223" s="799"/>
      <c r="M1223" s="809"/>
      <c r="N1223" s="799"/>
    </row>
    <row r="1224" spans="1:14">
      <c r="A1224" s="123">
        <v>3</v>
      </c>
      <c r="B1224" s="79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79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79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79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79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79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79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79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79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79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79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79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79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79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79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79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79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79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79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79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79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79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79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79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79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79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798"/>
      <c r="C1250" s="806" t="s">
        <v>5098</v>
      </c>
      <c r="D1250" s="799" t="s">
        <v>311</v>
      </c>
      <c r="E1250" s="799" t="s">
        <v>675</v>
      </c>
      <c r="F1250" s="799" t="s">
        <v>4986</v>
      </c>
      <c r="G1250" s="799">
        <v>1017</v>
      </c>
      <c r="H1250" s="799" t="s">
        <v>347</v>
      </c>
      <c r="I1250" s="149" t="s">
        <v>5099</v>
      </c>
      <c r="J1250" s="806"/>
      <c r="K1250" s="806" t="s">
        <v>692</v>
      </c>
      <c r="L1250" s="799" t="s">
        <v>309</v>
      </c>
      <c r="M1250" s="809">
        <v>500000</v>
      </c>
      <c r="N1250" s="799" t="s">
        <v>5032</v>
      </c>
    </row>
    <row r="1251" spans="1:14">
      <c r="A1251" s="123">
        <v>5</v>
      </c>
      <c r="B1251" s="798"/>
      <c r="C1251" s="806"/>
      <c r="D1251" s="799"/>
      <c r="E1251" s="799"/>
      <c r="F1251" s="799"/>
      <c r="G1251" s="799"/>
      <c r="H1251" s="799"/>
      <c r="I1251" s="149" t="s">
        <v>5100</v>
      </c>
      <c r="J1251" s="806"/>
      <c r="K1251" s="806"/>
      <c r="L1251" s="799"/>
      <c r="M1251" s="809"/>
      <c r="N1251" s="799"/>
    </row>
    <row r="1252" spans="1:14">
      <c r="A1252" s="123">
        <v>5</v>
      </c>
      <c r="B1252" s="79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79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798"/>
      <c r="C1254" s="806" t="s">
        <v>5103</v>
      </c>
      <c r="D1254" s="799" t="s">
        <v>311</v>
      </c>
      <c r="E1254" s="799" t="s">
        <v>675</v>
      </c>
      <c r="F1254" s="806" t="s">
        <v>5070</v>
      </c>
      <c r="G1254" s="806">
        <v>3006</v>
      </c>
      <c r="H1254" s="806" t="s">
        <v>347</v>
      </c>
      <c r="I1254" s="476" t="s">
        <v>5104</v>
      </c>
      <c r="J1254" s="806"/>
      <c r="K1254" s="806" t="s">
        <v>705</v>
      </c>
      <c r="L1254" s="799" t="s">
        <v>309</v>
      </c>
      <c r="M1254" s="809">
        <v>500000</v>
      </c>
      <c r="N1254" s="799" t="s">
        <v>5032</v>
      </c>
    </row>
    <row r="1255" spans="1:14">
      <c r="A1255" s="123">
        <v>5</v>
      </c>
      <c r="B1255" s="798"/>
      <c r="C1255" s="806"/>
      <c r="D1255" s="799"/>
      <c r="E1255" s="799"/>
      <c r="F1255" s="806"/>
      <c r="G1255" s="806"/>
      <c r="H1255" s="806"/>
      <c r="I1255" s="476" t="s">
        <v>5105</v>
      </c>
      <c r="J1255" s="806"/>
      <c r="K1255" s="806"/>
      <c r="L1255" s="799"/>
      <c r="M1255" s="809"/>
      <c r="N1255" s="799"/>
    </row>
    <row r="1256" spans="1:14">
      <c r="A1256" s="123">
        <v>5</v>
      </c>
      <c r="B1256" s="798"/>
      <c r="C1256" s="806" t="s">
        <v>5103</v>
      </c>
      <c r="D1256" s="799" t="s">
        <v>311</v>
      </c>
      <c r="E1256" s="799" t="s">
        <v>675</v>
      </c>
      <c r="F1256" s="806" t="s">
        <v>5070</v>
      </c>
      <c r="G1256" s="806">
        <v>3006</v>
      </c>
      <c r="H1256" s="806" t="s">
        <v>347</v>
      </c>
      <c r="I1256" s="476" t="s">
        <v>5104</v>
      </c>
      <c r="J1256" s="806"/>
      <c r="K1256" s="806" t="s">
        <v>4936</v>
      </c>
      <c r="L1256" s="799" t="s">
        <v>309</v>
      </c>
      <c r="M1256" s="809">
        <v>600000</v>
      </c>
      <c r="N1256" s="799" t="s">
        <v>5032</v>
      </c>
    </row>
    <row r="1257" spans="1:14">
      <c r="A1257" s="123">
        <v>5</v>
      </c>
      <c r="B1257" s="798"/>
      <c r="C1257" s="806"/>
      <c r="D1257" s="799"/>
      <c r="E1257" s="799"/>
      <c r="F1257" s="806"/>
      <c r="G1257" s="806"/>
      <c r="H1257" s="806"/>
      <c r="I1257" s="476" t="s">
        <v>5105</v>
      </c>
      <c r="J1257" s="806"/>
      <c r="K1257" s="806"/>
      <c r="L1257" s="799"/>
      <c r="M1257" s="809"/>
      <c r="N1257" s="799"/>
    </row>
    <row r="1258" spans="1:14">
      <c r="A1258" s="123">
        <v>5</v>
      </c>
      <c r="B1258" s="79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79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79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79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79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79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79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79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79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79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798"/>
      <c r="C1268" s="806" t="s">
        <v>5122</v>
      </c>
      <c r="D1268" s="799" t="s">
        <v>311</v>
      </c>
      <c r="E1268" s="799" t="s">
        <v>675</v>
      </c>
      <c r="F1268" s="149" t="s">
        <v>5123</v>
      </c>
      <c r="G1268" s="475" t="s">
        <v>5125</v>
      </c>
      <c r="H1268" s="389" t="s">
        <v>347</v>
      </c>
      <c r="I1268" s="806" t="s">
        <v>5128</v>
      </c>
      <c r="J1268" s="806" t="s">
        <v>638</v>
      </c>
      <c r="K1268" s="806" t="s">
        <v>692</v>
      </c>
      <c r="L1268" s="799" t="s">
        <v>309</v>
      </c>
      <c r="M1268" s="809">
        <v>500000</v>
      </c>
      <c r="N1268" s="799" t="s">
        <v>1772</v>
      </c>
    </row>
    <row r="1269" spans="1:14">
      <c r="A1269" s="123">
        <v>6</v>
      </c>
      <c r="B1269" s="798"/>
      <c r="C1269" s="806"/>
      <c r="D1269" s="799"/>
      <c r="E1269" s="799"/>
      <c r="F1269" s="149" t="s">
        <v>5124</v>
      </c>
      <c r="G1269" s="475" t="s">
        <v>5126</v>
      </c>
      <c r="H1269" s="389" t="s">
        <v>5127</v>
      </c>
      <c r="I1269" s="806"/>
      <c r="J1269" s="806"/>
      <c r="K1269" s="806"/>
      <c r="L1269" s="799"/>
      <c r="M1269" s="809"/>
      <c r="N1269" s="799"/>
    </row>
    <row r="1270" spans="1:14" ht="24">
      <c r="A1270" s="123">
        <v>6</v>
      </c>
      <c r="B1270" s="79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79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79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79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79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79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79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79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79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79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79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79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79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79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79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79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79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79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79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798"/>
      <c r="C1289" s="805" t="s">
        <v>5158</v>
      </c>
      <c r="D1289" s="807" t="s">
        <v>311</v>
      </c>
      <c r="E1289" s="807" t="s">
        <v>675</v>
      </c>
      <c r="F1289" s="506" t="s">
        <v>5123</v>
      </c>
      <c r="G1289" s="507" t="s">
        <v>5125</v>
      </c>
      <c r="H1289" s="507" t="s">
        <v>347</v>
      </c>
      <c r="I1289" s="805" t="s">
        <v>5128</v>
      </c>
      <c r="J1289" s="805"/>
      <c r="K1289" s="805" t="s">
        <v>692</v>
      </c>
      <c r="L1289" s="807" t="s">
        <v>309</v>
      </c>
      <c r="M1289" s="808">
        <v>500000</v>
      </c>
      <c r="N1289" s="799" t="s">
        <v>5032</v>
      </c>
    </row>
    <row r="1290" spans="1:14" ht="19.5">
      <c r="A1290" s="123">
        <v>8</v>
      </c>
      <c r="B1290" s="798"/>
      <c r="C1290" s="806"/>
      <c r="D1290" s="799"/>
      <c r="E1290" s="799"/>
      <c r="F1290" s="149" t="s">
        <v>5124</v>
      </c>
      <c r="G1290" s="475" t="s">
        <v>5126</v>
      </c>
      <c r="H1290" s="477" t="s">
        <v>5127</v>
      </c>
      <c r="I1290" s="806"/>
      <c r="J1290" s="806"/>
      <c r="K1290" s="806"/>
      <c r="L1290" s="799"/>
      <c r="M1290" s="809"/>
      <c r="N1290" s="799"/>
    </row>
    <row r="1291" spans="1:14">
      <c r="A1291" s="123">
        <v>8</v>
      </c>
      <c r="B1291" s="798"/>
      <c r="C1291" s="805" t="s">
        <v>5159</v>
      </c>
      <c r="D1291" s="807" t="s">
        <v>311</v>
      </c>
      <c r="E1291" s="807" t="s">
        <v>320</v>
      </c>
      <c r="F1291" s="812" t="s">
        <v>709</v>
      </c>
      <c r="G1291" s="805" t="s">
        <v>3098</v>
      </c>
      <c r="H1291" s="805" t="s">
        <v>3099</v>
      </c>
      <c r="I1291" s="506" t="s">
        <v>5312</v>
      </c>
      <c r="J1291" s="805" t="s">
        <v>638</v>
      </c>
      <c r="K1291" s="805" t="s">
        <v>713</v>
      </c>
      <c r="L1291" s="807" t="s">
        <v>309</v>
      </c>
      <c r="M1291" s="808">
        <v>250000</v>
      </c>
      <c r="N1291" s="799" t="s">
        <v>5032</v>
      </c>
    </row>
    <row r="1292" spans="1:14">
      <c r="A1292" s="123">
        <v>8</v>
      </c>
      <c r="B1292" s="798"/>
      <c r="C1292" s="806"/>
      <c r="D1292" s="799"/>
      <c r="E1292" s="799"/>
      <c r="F1292" s="813"/>
      <c r="G1292" s="806"/>
      <c r="H1292" s="806"/>
      <c r="I1292" s="149" t="s">
        <v>5160</v>
      </c>
      <c r="J1292" s="806"/>
      <c r="K1292" s="806"/>
      <c r="L1292" s="799"/>
      <c r="M1292" s="809"/>
      <c r="N1292" s="799"/>
    </row>
    <row r="1293" spans="1:14">
      <c r="A1293" s="123">
        <v>8</v>
      </c>
      <c r="B1293" s="798"/>
      <c r="C1293" s="805" t="s">
        <v>5161</v>
      </c>
      <c r="D1293" s="807" t="s">
        <v>311</v>
      </c>
      <c r="E1293" s="807" t="s">
        <v>320</v>
      </c>
      <c r="F1293" s="805" t="s">
        <v>337</v>
      </c>
      <c r="G1293" s="805" t="s">
        <v>3168</v>
      </c>
      <c r="H1293" s="805" t="s">
        <v>3057</v>
      </c>
      <c r="I1293" s="506" t="s">
        <v>5313</v>
      </c>
      <c r="J1293" s="805" t="s">
        <v>638</v>
      </c>
      <c r="K1293" s="805" t="s">
        <v>692</v>
      </c>
      <c r="L1293" s="807" t="s">
        <v>309</v>
      </c>
      <c r="M1293" s="808">
        <v>500000</v>
      </c>
      <c r="N1293" s="799" t="s">
        <v>1206</v>
      </c>
    </row>
    <row r="1294" spans="1:14">
      <c r="A1294" s="123">
        <v>8</v>
      </c>
      <c r="B1294" s="798"/>
      <c r="C1294" s="806"/>
      <c r="D1294" s="799"/>
      <c r="E1294" s="799"/>
      <c r="F1294" s="806"/>
      <c r="G1294" s="806"/>
      <c r="H1294" s="806"/>
      <c r="I1294" s="149" t="s">
        <v>5162</v>
      </c>
      <c r="J1294" s="806"/>
      <c r="K1294" s="806"/>
      <c r="L1294" s="799"/>
      <c r="M1294" s="809"/>
      <c r="N1294" s="799"/>
    </row>
    <row r="1295" spans="1:14">
      <c r="A1295" s="123">
        <v>9</v>
      </c>
      <c r="B1295" s="79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79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79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79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79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79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79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79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79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798"/>
      <c r="C1304" s="805" t="s">
        <v>5175</v>
      </c>
      <c r="D1304" s="807" t="s">
        <v>311</v>
      </c>
      <c r="E1304" s="807" t="s">
        <v>320</v>
      </c>
      <c r="F1304" s="805" t="s">
        <v>337</v>
      </c>
      <c r="G1304" s="805" t="s">
        <v>3168</v>
      </c>
      <c r="H1304" s="805" t="s">
        <v>3057</v>
      </c>
      <c r="I1304" s="510" t="s">
        <v>5176</v>
      </c>
      <c r="J1304" s="805" t="s">
        <v>638</v>
      </c>
      <c r="K1304" s="805" t="s">
        <v>713</v>
      </c>
      <c r="L1304" s="807" t="s">
        <v>309</v>
      </c>
      <c r="M1304" s="808">
        <v>250000</v>
      </c>
      <c r="N1304" s="799" t="s">
        <v>5032</v>
      </c>
    </row>
    <row r="1305" spans="1:14">
      <c r="A1305" s="123">
        <v>9</v>
      </c>
      <c r="B1305" s="798"/>
      <c r="C1305" s="806"/>
      <c r="D1305" s="799"/>
      <c r="E1305" s="799"/>
      <c r="F1305" s="806"/>
      <c r="G1305" s="806"/>
      <c r="H1305" s="806"/>
      <c r="I1305" s="476" t="s">
        <v>5177</v>
      </c>
      <c r="J1305" s="806"/>
      <c r="K1305" s="806"/>
      <c r="L1305" s="799"/>
      <c r="M1305" s="809"/>
      <c r="N1305" s="799"/>
    </row>
    <row r="1306" spans="1:14">
      <c r="A1306" s="123">
        <v>9</v>
      </c>
      <c r="B1306" s="798"/>
      <c r="C1306" s="805" t="s">
        <v>5175</v>
      </c>
      <c r="D1306" s="807" t="s">
        <v>311</v>
      </c>
      <c r="E1306" s="807" t="s">
        <v>320</v>
      </c>
      <c r="F1306" s="805" t="s">
        <v>5178</v>
      </c>
      <c r="G1306" s="506" t="s">
        <v>689</v>
      </c>
      <c r="H1306" s="805" t="s">
        <v>5180</v>
      </c>
      <c r="I1306" s="506" t="s">
        <v>5315</v>
      </c>
      <c r="J1306" s="805"/>
      <c r="K1306" s="805" t="s">
        <v>713</v>
      </c>
      <c r="L1306" s="807" t="s">
        <v>309</v>
      </c>
      <c r="M1306" s="808">
        <v>250000</v>
      </c>
      <c r="N1306" s="799" t="s">
        <v>5032</v>
      </c>
    </row>
    <row r="1307" spans="1:14">
      <c r="A1307" s="123">
        <v>9</v>
      </c>
      <c r="B1307" s="798"/>
      <c r="C1307" s="806"/>
      <c r="D1307" s="799"/>
      <c r="E1307" s="799"/>
      <c r="F1307" s="806"/>
      <c r="G1307" s="149" t="s">
        <v>5179</v>
      </c>
      <c r="H1307" s="806"/>
      <c r="I1307" s="149" t="s">
        <v>5181</v>
      </c>
      <c r="J1307" s="806"/>
      <c r="K1307" s="806"/>
      <c r="L1307" s="799"/>
      <c r="M1307" s="809"/>
      <c r="N1307" s="799"/>
    </row>
    <row r="1308" spans="1:14">
      <c r="A1308" s="123">
        <v>9</v>
      </c>
      <c r="B1308" s="79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798"/>
      <c r="C1309" s="805" t="s">
        <v>5183</v>
      </c>
      <c r="D1309" s="807" t="s">
        <v>311</v>
      </c>
      <c r="E1309" s="807" t="s">
        <v>320</v>
      </c>
      <c r="F1309" s="805" t="s">
        <v>337</v>
      </c>
      <c r="G1309" s="506" t="s">
        <v>3401</v>
      </c>
      <c r="H1309" s="805" t="s">
        <v>5029</v>
      </c>
      <c r="I1309" s="805" t="s">
        <v>5316</v>
      </c>
      <c r="J1309" s="805"/>
      <c r="K1309" s="805" t="s">
        <v>692</v>
      </c>
      <c r="L1309" s="807" t="s">
        <v>309</v>
      </c>
      <c r="M1309" s="808">
        <v>500000</v>
      </c>
      <c r="N1309" s="799" t="s">
        <v>5032</v>
      </c>
    </row>
    <row r="1310" spans="1:14">
      <c r="A1310" s="123">
        <v>9</v>
      </c>
      <c r="B1310" s="798"/>
      <c r="C1310" s="806"/>
      <c r="D1310" s="799"/>
      <c r="E1310" s="799"/>
      <c r="F1310" s="806"/>
      <c r="G1310" s="149" t="s">
        <v>5184</v>
      </c>
      <c r="H1310" s="806"/>
      <c r="I1310" s="806"/>
      <c r="J1310" s="806"/>
      <c r="K1310" s="806"/>
      <c r="L1310" s="799"/>
      <c r="M1310" s="809"/>
      <c r="N1310" s="799"/>
    </row>
    <row r="1311" spans="1:14" ht="24">
      <c r="A1311" s="123">
        <v>9</v>
      </c>
      <c r="B1311" s="79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798"/>
      <c r="C1312" s="805" t="s">
        <v>5187</v>
      </c>
      <c r="D1312" s="807" t="s">
        <v>311</v>
      </c>
      <c r="E1312" s="807" t="s">
        <v>675</v>
      </c>
      <c r="F1312" s="805" t="s">
        <v>5188</v>
      </c>
      <c r="G1312" s="507" t="s">
        <v>1919</v>
      </c>
      <c r="H1312" s="805" t="s">
        <v>347</v>
      </c>
      <c r="I1312" s="805" t="s">
        <v>5319</v>
      </c>
      <c r="J1312" s="805"/>
      <c r="K1312" s="805" t="s">
        <v>692</v>
      </c>
      <c r="L1312" s="807" t="s">
        <v>309</v>
      </c>
      <c r="M1312" s="810">
        <v>500000</v>
      </c>
      <c r="N1312" s="799" t="s">
        <v>1925</v>
      </c>
    </row>
    <row r="1313" spans="1:14">
      <c r="A1313" s="123">
        <v>9</v>
      </c>
      <c r="B1313" s="798"/>
      <c r="C1313" s="806"/>
      <c r="D1313" s="799"/>
      <c r="E1313" s="799"/>
      <c r="F1313" s="806"/>
      <c r="G1313" s="475" t="s">
        <v>5189</v>
      </c>
      <c r="H1313" s="806"/>
      <c r="I1313" s="806"/>
      <c r="J1313" s="806"/>
      <c r="K1313" s="806"/>
      <c r="L1313" s="799"/>
      <c r="M1313" s="811"/>
      <c r="N1313" s="799"/>
    </row>
    <row r="1314" spans="1:14">
      <c r="A1314" s="123">
        <v>10</v>
      </c>
      <c r="B1314" s="79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79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79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79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79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79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79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798"/>
      <c r="C1321" s="806" t="s">
        <v>5201</v>
      </c>
      <c r="D1321" s="799" t="s">
        <v>311</v>
      </c>
      <c r="E1321" s="799" t="s">
        <v>320</v>
      </c>
      <c r="F1321" s="806" t="s">
        <v>337</v>
      </c>
      <c r="G1321" s="806" t="s">
        <v>3168</v>
      </c>
      <c r="H1321" s="806" t="s">
        <v>3057</v>
      </c>
      <c r="I1321" s="476" t="s">
        <v>5176</v>
      </c>
      <c r="J1321" s="806" t="s">
        <v>638</v>
      </c>
      <c r="K1321" s="806" t="s">
        <v>705</v>
      </c>
      <c r="L1321" s="799" t="s">
        <v>309</v>
      </c>
      <c r="M1321" s="809">
        <v>500000</v>
      </c>
      <c r="N1321" s="799" t="s">
        <v>1206</v>
      </c>
    </row>
    <row r="1322" spans="1:14">
      <c r="A1322" s="123">
        <v>10</v>
      </c>
      <c r="B1322" s="798"/>
      <c r="C1322" s="806"/>
      <c r="D1322" s="799"/>
      <c r="E1322" s="799"/>
      <c r="F1322" s="806"/>
      <c r="G1322" s="806"/>
      <c r="H1322" s="806"/>
      <c r="I1322" s="476" t="s">
        <v>5177</v>
      </c>
      <c r="J1322" s="806"/>
      <c r="K1322" s="806"/>
      <c r="L1322" s="799"/>
      <c r="M1322" s="809"/>
      <c r="N1322" s="799"/>
    </row>
    <row r="1323" spans="1:14">
      <c r="A1323" s="123">
        <v>10</v>
      </c>
      <c r="B1323" s="79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79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79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798"/>
      <c r="C1326" s="806" t="s">
        <v>5202</v>
      </c>
      <c r="D1326" s="799" t="s">
        <v>311</v>
      </c>
      <c r="E1326" s="799" t="s">
        <v>320</v>
      </c>
      <c r="F1326" s="806" t="s">
        <v>337</v>
      </c>
      <c r="G1326" s="806" t="s">
        <v>3168</v>
      </c>
      <c r="H1326" s="806" t="s">
        <v>3057</v>
      </c>
      <c r="I1326" s="476" t="s">
        <v>5176</v>
      </c>
      <c r="J1326" s="806"/>
      <c r="K1326" s="806" t="s">
        <v>705</v>
      </c>
      <c r="L1326" s="799" t="s">
        <v>309</v>
      </c>
      <c r="M1326" s="809">
        <v>500000</v>
      </c>
      <c r="N1326" s="799" t="s">
        <v>1206</v>
      </c>
    </row>
    <row r="1327" spans="1:14">
      <c r="A1327" s="123">
        <v>10</v>
      </c>
      <c r="B1327" s="798"/>
      <c r="C1327" s="806"/>
      <c r="D1327" s="799"/>
      <c r="E1327" s="799"/>
      <c r="F1327" s="806"/>
      <c r="G1327" s="806"/>
      <c r="H1327" s="806"/>
      <c r="I1327" s="476" t="s">
        <v>5177</v>
      </c>
      <c r="J1327" s="806"/>
      <c r="K1327" s="806"/>
      <c r="L1327" s="799"/>
      <c r="M1327" s="809"/>
      <c r="N1327" s="799"/>
    </row>
    <row r="1328" spans="1:14" ht="25.5">
      <c r="A1328" s="123">
        <v>10</v>
      </c>
      <c r="B1328" s="79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798"/>
      <c r="C1329" s="805" t="s">
        <v>5209</v>
      </c>
      <c r="D1329" s="807" t="s">
        <v>311</v>
      </c>
      <c r="E1329" s="807" t="s">
        <v>675</v>
      </c>
      <c r="F1329" s="506" t="s">
        <v>5210</v>
      </c>
      <c r="G1329" s="805" t="s">
        <v>5212</v>
      </c>
      <c r="H1329" s="805" t="s">
        <v>662</v>
      </c>
      <c r="I1329" s="805" t="s">
        <v>5321</v>
      </c>
      <c r="J1329" s="805" t="s">
        <v>638</v>
      </c>
      <c r="K1329" s="805" t="s">
        <v>713</v>
      </c>
      <c r="L1329" s="807" t="s">
        <v>309</v>
      </c>
      <c r="M1329" s="808">
        <v>250000</v>
      </c>
      <c r="N1329" s="799" t="s">
        <v>5032</v>
      </c>
    </row>
    <row r="1330" spans="1:14">
      <c r="A1330" s="123">
        <v>10</v>
      </c>
      <c r="B1330" s="798"/>
      <c r="C1330" s="806"/>
      <c r="D1330" s="799"/>
      <c r="E1330" s="799"/>
      <c r="F1330" s="149" t="s">
        <v>5211</v>
      </c>
      <c r="G1330" s="806"/>
      <c r="H1330" s="806"/>
      <c r="I1330" s="806"/>
      <c r="J1330" s="806"/>
      <c r="K1330" s="806"/>
      <c r="L1330" s="799"/>
      <c r="M1330" s="809"/>
      <c r="N1330" s="799"/>
    </row>
    <row r="1331" spans="1:14">
      <c r="A1331" s="123">
        <v>10</v>
      </c>
      <c r="B1331" s="798"/>
      <c r="C1331" s="805" t="s">
        <v>5213</v>
      </c>
      <c r="D1331" s="807" t="s">
        <v>311</v>
      </c>
      <c r="E1331" s="807" t="s">
        <v>675</v>
      </c>
      <c r="F1331" s="805" t="s">
        <v>5214</v>
      </c>
      <c r="G1331" s="507" t="s">
        <v>5126</v>
      </c>
      <c r="H1331" s="800" t="s">
        <v>347</v>
      </c>
      <c r="I1331" s="506" t="s">
        <v>5322</v>
      </c>
      <c r="J1331" s="805"/>
      <c r="K1331" s="805" t="s">
        <v>692</v>
      </c>
      <c r="L1331" s="807" t="s">
        <v>309</v>
      </c>
      <c r="M1331" s="808">
        <v>500000</v>
      </c>
      <c r="N1331" s="799" t="s">
        <v>5032</v>
      </c>
    </row>
    <row r="1332" spans="1:14">
      <c r="A1332" s="123">
        <v>10</v>
      </c>
      <c r="B1332" s="798"/>
      <c r="C1332" s="806"/>
      <c r="D1332" s="799"/>
      <c r="E1332" s="799"/>
      <c r="F1332" s="806"/>
      <c r="G1332" s="475" t="s">
        <v>5215</v>
      </c>
      <c r="H1332" s="801"/>
      <c r="I1332" s="149" t="s">
        <v>5217</v>
      </c>
      <c r="J1332" s="806"/>
      <c r="K1332" s="806"/>
      <c r="L1332" s="799"/>
      <c r="M1332" s="809"/>
      <c r="N1332" s="799"/>
    </row>
    <row r="1333" spans="1:14">
      <c r="A1333" s="123">
        <v>11</v>
      </c>
      <c r="B1333" s="79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79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79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79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79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79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798" t="s">
        <v>5163</v>
      </c>
      <c r="C1339" s="800" t="s">
        <v>5218</v>
      </c>
      <c r="D1339" s="802" t="s">
        <v>311</v>
      </c>
      <c r="E1339" s="802" t="s">
        <v>675</v>
      </c>
      <c r="F1339" s="800" t="s">
        <v>5214</v>
      </c>
      <c r="G1339" s="510" t="s">
        <v>5126</v>
      </c>
      <c r="H1339" s="800" t="s">
        <v>347</v>
      </c>
      <c r="I1339" s="510" t="s">
        <v>5216</v>
      </c>
      <c r="J1339" s="800"/>
      <c r="K1339" s="800" t="s">
        <v>692</v>
      </c>
      <c r="L1339" s="802" t="s">
        <v>309</v>
      </c>
      <c r="M1339" s="803">
        <v>500000</v>
      </c>
      <c r="N1339" s="801" t="s">
        <v>5225</v>
      </c>
    </row>
    <row r="1340" spans="1:14">
      <c r="A1340" s="123">
        <v>11</v>
      </c>
      <c r="B1340" s="798"/>
      <c r="C1340" s="801"/>
      <c r="D1340" s="796"/>
      <c r="E1340" s="796"/>
      <c r="F1340" s="801"/>
      <c r="G1340" s="476" t="s">
        <v>5215</v>
      </c>
      <c r="H1340" s="801"/>
      <c r="I1340" s="476" t="s">
        <v>5217</v>
      </c>
      <c r="J1340" s="801"/>
      <c r="K1340" s="801"/>
      <c r="L1340" s="796"/>
      <c r="M1340" s="804"/>
      <c r="N1340" s="801"/>
    </row>
    <row r="1341" spans="1:14">
      <c r="A1341" s="123">
        <v>11</v>
      </c>
      <c r="B1341" s="79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79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79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79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79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79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79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79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79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79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79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79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79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79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79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79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79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79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79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79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79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79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79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79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79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79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79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79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794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796" t="s">
        <v>5443</v>
      </c>
    </row>
    <row r="1370" spans="1:14">
      <c r="A1370" s="123">
        <v>14</v>
      </c>
      <c r="B1370" s="795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796"/>
    </row>
    <row r="1371" spans="1:14">
      <c r="A1371" s="123">
        <v>14</v>
      </c>
      <c r="B1371" s="795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795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795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795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795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795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797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797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797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797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797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797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1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1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1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1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1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1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1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1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1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1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1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1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1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1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1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1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1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1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1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1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1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1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79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79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79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79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79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15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16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16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16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17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79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79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79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79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79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79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79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79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79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79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70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970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970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970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970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970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970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970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15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16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16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16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17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15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16"/>
      <c r="C1439" s="971" t="s">
        <v>5860</v>
      </c>
      <c r="D1439" s="972" t="s">
        <v>311</v>
      </c>
      <c r="E1439" s="972" t="s">
        <v>320</v>
      </c>
      <c r="F1439" s="973" t="s">
        <v>5188</v>
      </c>
      <c r="G1439" s="658" t="s">
        <v>1919</v>
      </c>
      <c r="H1439" s="973" t="s">
        <v>347</v>
      </c>
      <c r="I1439" s="973" t="s">
        <v>5870</v>
      </c>
      <c r="J1439" s="973"/>
      <c r="K1439" s="973" t="s">
        <v>692</v>
      </c>
      <c r="L1439" s="972" t="s">
        <v>309</v>
      </c>
      <c r="M1439" s="974">
        <v>500000</v>
      </c>
      <c r="N1439" s="958"/>
    </row>
    <row r="1440" spans="1:14">
      <c r="A1440" s="694">
        <v>20</v>
      </c>
      <c r="B1440" s="816"/>
      <c r="C1440" s="971"/>
      <c r="D1440" s="972"/>
      <c r="E1440" s="972"/>
      <c r="F1440" s="973"/>
      <c r="G1440" s="658" t="s">
        <v>5189</v>
      </c>
      <c r="H1440" s="973"/>
      <c r="I1440" s="973"/>
      <c r="J1440" s="973"/>
      <c r="K1440" s="973"/>
      <c r="L1440" s="972"/>
      <c r="M1440" s="974"/>
      <c r="N1440" s="958"/>
    </row>
    <row r="1441" spans="1:14" ht="24">
      <c r="A1441" s="694">
        <v>20</v>
      </c>
      <c r="B1441" s="817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790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790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790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790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790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790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790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790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790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790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790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95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961" t="s">
        <v>5942</v>
      </c>
    </row>
    <row r="1454" spans="1:14">
      <c r="A1454" s="696">
        <v>22</v>
      </c>
      <c r="B1454" s="96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962"/>
    </row>
    <row r="1455" spans="1:14">
      <c r="A1455" s="696">
        <v>22</v>
      </c>
      <c r="B1455" s="96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96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96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96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95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64" t="s">
        <v>3274</v>
      </c>
      <c r="K1459" s="964" t="s">
        <v>3454</v>
      </c>
      <c r="L1459" s="646" t="s">
        <v>3265</v>
      </c>
      <c r="M1459" s="966">
        <v>250000</v>
      </c>
      <c r="N1459" s="693" t="s">
        <v>5964</v>
      </c>
    </row>
    <row r="1460" spans="1:14">
      <c r="A1460" s="696">
        <v>22</v>
      </c>
      <c r="B1460" s="96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65"/>
      <c r="K1460" s="965"/>
      <c r="L1460" s="646" t="s">
        <v>3265</v>
      </c>
      <c r="M1460" s="967"/>
      <c r="N1460" s="693" t="s">
        <v>5965</v>
      </c>
    </row>
    <row r="1461" spans="1:14">
      <c r="A1461" s="696">
        <v>22</v>
      </c>
      <c r="B1461" s="96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96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96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96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68" t="s">
        <v>5920</v>
      </c>
      <c r="L1464" s="646" t="s">
        <v>15</v>
      </c>
      <c r="M1464" s="966">
        <v>500000</v>
      </c>
      <c r="N1464" s="693" t="s">
        <v>5969</v>
      </c>
    </row>
    <row r="1465" spans="1:14">
      <c r="A1465" s="696">
        <v>22</v>
      </c>
      <c r="B1465" s="963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69"/>
      <c r="L1465" s="646" t="s">
        <v>15</v>
      </c>
      <c r="M1465" s="967"/>
      <c r="N1465" s="693" t="s">
        <v>5970</v>
      </c>
    </row>
    <row r="1466" spans="1:14">
      <c r="A1466" s="694">
        <v>23</v>
      </c>
      <c r="B1466" s="790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790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790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790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790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79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79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790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790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81" t="s">
        <v>90</v>
      </c>
      <c r="K1474" s="981" t="s">
        <v>6007</v>
      </c>
      <c r="L1474" s="136" t="s">
        <v>15</v>
      </c>
      <c r="M1474" s="982">
        <v>250000</v>
      </c>
      <c r="N1474" s="646"/>
    </row>
    <row r="1475" spans="1:14" ht="27">
      <c r="A1475" s="694">
        <v>23</v>
      </c>
      <c r="B1475" s="790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81"/>
      <c r="K1475" s="981"/>
      <c r="L1475" s="136" t="s">
        <v>15</v>
      </c>
      <c r="M1475" s="982"/>
      <c r="N1475" s="646"/>
    </row>
    <row r="1476" spans="1:14">
      <c r="A1476" s="694">
        <v>23</v>
      </c>
      <c r="B1476" s="79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79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79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790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79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79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79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79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790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79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790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790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790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790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790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790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790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79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79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79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79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790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79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6372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79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79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790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790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79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790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790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79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79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79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975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976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976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976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976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976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975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976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976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976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976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976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976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976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976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976"/>
      <c r="C1524" s="731">
        <v>46198</v>
      </c>
      <c r="D1524" s="632">
        <v>25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976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80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976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975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976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976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976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976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976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790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9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790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790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790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790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790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790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9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790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9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790" t="s">
        <v>20</v>
      </c>
      <c r="C1541" s="640">
        <v>46207</v>
      </c>
      <c r="D1541" s="726" t="s">
        <v>6429</v>
      </c>
      <c r="E1541" s="632" t="s">
        <v>6430</v>
      </c>
      <c r="F1541" s="633" t="s">
        <v>6431</v>
      </c>
      <c r="G1541" s="633" t="s">
        <v>6432</v>
      </c>
      <c r="H1541" s="636" t="s">
        <v>6433</v>
      </c>
      <c r="I1541" s="634" t="s">
        <v>6462</v>
      </c>
      <c r="J1541" s="633" t="s">
        <v>6434</v>
      </c>
      <c r="K1541" s="634" t="s">
        <v>6435</v>
      </c>
      <c r="L1541" s="703" t="s">
        <v>6436</v>
      </c>
      <c r="M1541" s="682">
        <v>250000</v>
      </c>
      <c r="N1541" s="693" t="s">
        <v>6428</v>
      </c>
    </row>
    <row r="1542" spans="1:14">
      <c r="A1542" s="696">
        <v>27</v>
      </c>
      <c r="B1542" s="790"/>
      <c r="C1542" s="640" t="s">
        <v>6448</v>
      </c>
      <c r="D1542" s="726" t="s">
        <v>6429</v>
      </c>
      <c r="E1542" s="632" t="s">
        <v>6430</v>
      </c>
      <c r="F1542" s="633" t="s">
        <v>6431</v>
      </c>
      <c r="G1542" s="633" t="s">
        <v>6445</v>
      </c>
      <c r="H1542" s="636" t="s">
        <v>6446</v>
      </c>
      <c r="I1542" s="634" t="s">
        <v>6461</v>
      </c>
      <c r="J1542" s="633" t="s">
        <v>6447</v>
      </c>
      <c r="K1542" s="634" t="s">
        <v>6449</v>
      </c>
      <c r="L1542" s="703" t="s">
        <v>6436</v>
      </c>
      <c r="M1542" s="682">
        <f>250000*2</f>
        <v>500000</v>
      </c>
      <c r="N1542" s="693"/>
    </row>
    <row r="1543" spans="1:14">
      <c r="A1543" s="696">
        <v>27</v>
      </c>
      <c r="B1543" s="790"/>
      <c r="C1543" s="640" t="s">
        <v>6457</v>
      </c>
      <c r="D1543" s="726" t="s">
        <v>6429</v>
      </c>
      <c r="E1543" s="632" t="s">
        <v>6430</v>
      </c>
      <c r="F1543" s="633" t="s">
        <v>6431</v>
      </c>
      <c r="G1543" s="633">
        <v>7065</v>
      </c>
      <c r="H1543" s="636" t="s">
        <v>6450</v>
      </c>
      <c r="I1543" s="634" t="s">
        <v>6451</v>
      </c>
      <c r="J1543" s="633"/>
      <c r="K1543" s="634" t="s">
        <v>6452</v>
      </c>
      <c r="L1543" s="703" t="s">
        <v>6436</v>
      </c>
      <c r="M1543" s="682">
        <f>250000*3</f>
        <v>750000</v>
      </c>
      <c r="N1543" s="693"/>
    </row>
    <row r="1544" spans="1:14">
      <c r="A1544" s="696">
        <v>27</v>
      </c>
      <c r="B1544" s="790"/>
      <c r="C1544" s="640" t="s">
        <v>6457</v>
      </c>
      <c r="D1544" s="726" t="s">
        <v>6429</v>
      </c>
      <c r="E1544" s="632" t="s">
        <v>6430</v>
      </c>
      <c r="F1544" s="633" t="s">
        <v>6431</v>
      </c>
      <c r="G1544" s="633" t="s">
        <v>6453</v>
      </c>
      <c r="H1544" s="636" t="s">
        <v>6454</v>
      </c>
      <c r="I1544" s="634" t="s">
        <v>6455</v>
      </c>
      <c r="J1544" s="633"/>
      <c r="K1544" s="740" t="s">
        <v>6456</v>
      </c>
      <c r="L1544" s="703" t="s">
        <v>6436</v>
      </c>
      <c r="M1544" s="682">
        <f>250000*3</f>
        <v>750000</v>
      </c>
      <c r="N1544" s="693"/>
    </row>
    <row r="1545" spans="1:14">
      <c r="A1545" s="696">
        <v>27</v>
      </c>
      <c r="B1545" s="790"/>
      <c r="C1545" s="640" t="s">
        <v>6448</v>
      </c>
      <c r="D1545" s="726" t="s">
        <v>6429</v>
      </c>
      <c r="E1545" s="632" t="s">
        <v>6430</v>
      </c>
      <c r="F1545" s="633" t="s">
        <v>6431</v>
      </c>
      <c r="G1545" s="633" t="s">
        <v>6432</v>
      </c>
      <c r="H1545" s="636" t="s">
        <v>6458</v>
      </c>
      <c r="I1545" s="634" t="s">
        <v>6459</v>
      </c>
      <c r="J1545" s="633" t="s">
        <v>6434</v>
      </c>
      <c r="K1545" s="740" t="s">
        <v>6460</v>
      </c>
      <c r="L1545" s="703" t="s">
        <v>6436</v>
      </c>
      <c r="M1545" s="682">
        <f>250000*2</f>
        <v>500000</v>
      </c>
      <c r="N1545" s="693"/>
    </row>
    <row r="1546" spans="1:14">
      <c r="A1546" s="696">
        <v>27</v>
      </c>
      <c r="B1546" s="790"/>
      <c r="C1546" s="656" t="s">
        <v>6457</v>
      </c>
      <c r="D1546" s="726" t="s">
        <v>6429</v>
      </c>
      <c r="E1546" s="632" t="s">
        <v>6430</v>
      </c>
      <c r="F1546" s="633" t="s">
        <v>6431</v>
      </c>
      <c r="G1546" s="679" t="s">
        <v>6445</v>
      </c>
      <c r="H1546" s="679" t="s">
        <v>6446</v>
      </c>
      <c r="I1546" s="680" t="s">
        <v>6462</v>
      </c>
      <c r="J1546" s="633" t="s">
        <v>6434</v>
      </c>
      <c r="K1546" s="740" t="s">
        <v>6456</v>
      </c>
      <c r="L1546" s="703" t="s">
        <v>6436</v>
      </c>
      <c r="M1546" s="682">
        <f>250000*3</f>
        <v>750000</v>
      </c>
      <c r="N1546" s="691"/>
    </row>
    <row r="1547" spans="1:14">
      <c r="A1547" s="696">
        <v>27</v>
      </c>
      <c r="B1547" s="790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6439</v>
      </c>
      <c r="J1547" s="649"/>
      <c r="K1547" s="648" t="s">
        <v>6438</v>
      </c>
      <c r="L1547" s="646" t="s">
        <v>6354</v>
      </c>
      <c r="M1547" s="734">
        <v>300000</v>
      </c>
      <c r="N1547" s="693" t="s">
        <v>6440</v>
      </c>
    </row>
    <row r="1548" spans="1:14">
      <c r="A1548" s="696">
        <v>27</v>
      </c>
      <c r="B1548" s="790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6397</v>
      </c>
      <c r="J1548" s="649" t="s">
        <v>6403</v>
      </c>
      <c r="K1548" s="781" t="s">
        <v>6353</v>
      </c>
      <c r="L1548" s="646" t="s">
        <v>6354</v>
      </c>
      <c r="M1548" s="734">
        <v>250000</v>
      </c>
      <c r="N1548" s="693" t="s">
        <v>6428</v>
      </c>
    </row>
    <row r="1549" spans="1:14">
      <c r="A1549" s="696">
        <v>27</v>
      </c>
      <c r="B1549" s="790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6402</v>
      </c>
      <c r="J1549" s="648" t="s">
        <v>6403</v>
      </c>
      <c r="K1549" s="648" t="s">
        <v>6404</v>
      </c>
      <c r="L1549" s="646" t="s">
        <v>6354</v>
      </c>
      <c r="M1549" s="734">
        <v>250000</v>
      </c>
      <c r="N1549" s="693" t="s">
        <v>6442</v>
      </c>
    </row>
    <row r="1550" spans="1:14">
      <c r="A1550" s="696">
        <v>27</v>
      </c>
      <c r="B1550" s="790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6352</v>
      </c>
      <c r="K1550" s="632" t="s">
        <v>6415</v>
      </c>
      <c r="L1550" s="632" t="s">
        <v>6354</v>
      </c>
      <c r="M1550" s="757">
        <v>250000</v>
      </c>
      <c r="N1550" s="693" t="s">
        <v>6442</v>
      </c>
    </row>
    <row r="1551" spans="1:14">
      <c r="A1551" s="696">
        <v>27</v>
      </c>
      <c r="B1551" s="790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6427</v>
      </c>
      <c r="J1551" s="755"/>
      <c r="K1551" s="632" t="s">
        <v>6418</v>
      </c>
      <c r="L1551" s="632" t="s">
        <v>6354</v>
      </c>
      <c r="M1551" s="757">
        <v>500000</v>
      </c>
      <c r="N1551" s="693" t="s">
        <v>6442</v>
      </c>
    </row>
    <row r="1552" spans="1:14">
      <c r="A1552" s="696">
        <v>27</v>
      </c>
      <c r="B1552" s="790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6443</v>
      </c>
    </row>
    <row r="1553" spans="1:14">
      <c r="A1553" s="696">
        <v>27</v>
      </c>
      <c r="B1553" s="790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6352</v>
      </c>
      <c r="K1553" s="985" t="s">
        <v>6415</v>
      </c>
      <c r="L1553" s="632" t="s">
        <v>6354</v>
      </c>
      <c r="M1553" s="966">
        <v>250000</v>
      </c>
      <c r="N1553" s="693" t="s">
        <v>6442</v>
      </c>
    </row>
    <row r="1554" spans="1:14">
      <c r="A1554" s="696">
        <v>27</v>
      </c>
      <c r="B1554" s="790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6352</v>
      </c>
      <c r="K1554" s="986"/>
      <c r="L1554" s="632" t="s">
        <v>15</v>
      </c>
      <c r="M1554" s="967"/>
      <c r="N1554" s="693" t="s">
        <v>6443</v>
      </c>
    </row>
    <row r="1555" spans="1:14">
      <c r="A1555" s="696">
        <v>27</v>
      </c>
      <c r="B1555" s="790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6444</v>
      </c>
      <c r="J1555" s="633" t="s">
        <v>6360</v>
      </c>
      <c r="K1555" s="778" t="s">
        <v>6353</v>
      </c>
      <c r="L1555" s="632" t="s">
        <v>6354</v>
      </c>
      <c r="M1555" s="683">
        <v>250000</v>
      </c>
      <c r="N1555" s="693" t="s">
        <v>6443</v>
      </c>
    </row>
    <row r="1556" spans="1:14">
      <c r="A1556" s="696">
        <v>27</v>
      </c>
      <c r="B1556" s="790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6425</v>
      </c>
      <c r="J1556" s="648" t="s">
        <v>6312</v>
      </c>
      <c r="K1556" s="648" t="s">
        <v>6404</v>
      </c>
      <c r="L1556" s="646" t="s">
        <v>911</v>
      </c>
      <c r="M1556" s="683">
        <v>300000</v>
      </c>
      <c r="N1556" s="693" t="s">
        <v>6441</v>
      </c>
    </row>
    <row r="1557" spans="1:14">
      <c r="A1557" s="694">
        <v>28</v>
      </c>
      <c r="B1557" s="975" t="s">
        <v>20</v>
      </c>
      <c r="C1557" s="640">
        <v>46214</v>
      </c>
      <c r="D1557" s="726" t="s">
        <v>6527</v>
      </c>
      <c r="E1557" s="632" t="s">
        <v>1638</v>
      </c>
      <c r="F1557" s="633" t="s">
        <v>6528</v>
      </c>
      <c r="G1557" s="633" t="s">
        <v>4947</v>
      </c>
      <c r="H1557" s="636" t="s">
        <v>115</v>
      </c>
      <c r="I1557" s="634" t="s">
        <v>6529</v>
      </c>
      <c r="J1557" s="633" t="s">
        <v>2172</v>
      </c>
      <c r="K1557" s="740" t="s">
        <v>6530</v>
      </c>
      <c r="L1557" s="703" t="s">
        <v>6531</v>
      </c>
      <c r="M1557" s="682">
        <v>250000</v>
      </c>
      <c r="N1557" s="693" t="s">
        <v>6526</v>
      </c>
    </row>
    <row r="1558" spans="1:14">
      <c r="A1558" s="694">
        <v>28</v>
      </c>
      <c r="B1558" s="976"/>
      <c r="C1558" s="640">
        <v>46216</v>
      </c>
      <c r="D1558" s="726" t="s">
        <v>6527</v>
      </c>
      <c r="E1558" s="632" t="s">
        <v>1638</v>
      </c>
      <c r="F1558" s="633" t="s">
        <v>6528</v>
      </c>
      <c r="G1558" s="633" t="s">
        <v>6532</v>
      </c>
      <c r="H1558" s="636" t="s">
        <v>6533</v>
      </c>
      <c r="I1558" s="634" t="s">
        <v>6529</v>
      </c>
      <c r="J1558" s="633" t="s">
        <v>2172</v>
      </c>
      <c r="K1558" s="740" t="s">
        <v>2828</v>
      </c>
      <c r="L1558" s="703" t="s">
        <v>6531</v>
      </c>
      <c r="M1558" s="682">
        <f>250000*2</f>
        <v>500000</v>
      </c>
      <c r="N1558" s="693"/>
    </row>
    <row r="1559" spans="1:14" ht="24">
      <c r="A1559" s="694">
        <v>28</v>
      </c>
      <c r="B1559" s="976"/>
      <c r="C1559" s="640" t="s">
        <v>6559</v>
      </c>
      <c r="D1559" s="726" t="s">
        <v>6527</v>
      </c>
      <c r="E1559" s="632" t="s">
        <v>1638</v>
      </c>
      <c r="F1559" s="633" t="s">
        <v>6528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6531</v>
      </c>
      <c r="M1559" s="682">
        <f>250000*3</f>
        <v>750000</v>
      </c>
      <c r="N1559" s="693"/>
    </row>
    <row r="1560" spans="1:14" ht="24">
      <c r="A1560" s="694">
        <v>28</v>
      </c>
      <c r="B1560" s="976"/>
      <c r="C1560" s="640" t="s">
        <v>6560</v>
      </c>
      <c r="D1560" s="726" t="s">
        <v>6527</v>
      </c>
      <c r="E1560" s="632" t="s">
        <v>1638</v>
      </c>
      <c r="F1560" s="633" t="s">
        <v>6528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6531</v>
      </c>
      <c r="M1560" s="682">
        <f>250000*2</f>
        <v>500000</v>
      </c>
      <c r="N1560" s="691"/>
    </row>
    <row r="1561" spans="1:14">
      <c r="A1561" s="694">
        <v>28</v>
      </c>
      <c r="B1561" s="97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6526</v>
      </c>
    </row>
    <row r="1562" spans="1:14">
      <c r="A1562" s="694">
        <v>28</v>
      </c>
      <c r="B1562" s="976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6516</v>
      </c>
      <c r="J1562" s="454" t="s">
        <v>6525</v>
      </c>
      <c r="K1562" s="779" t="s">
        <v>2828</v>
      </c>
      <c r="L1562" s="136" t="s">
        <v>15</v>
      </c>
      <c r="M1562" s="734">
        <v>250000</v>
      </c>
      <c r="N1562" s="693" t="s">
        <v>6526</v>
      </c>
    </row>
    <row r="1563" spans="1:14" ht="27">
      <c r="A1563" s="694">
        <v>28</v>
      </c>
      <c r="B1563" s="97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6491</v>
      </c>
      <c r="J1563" s="31" t="s">
        <v>90</v>
      </c>
      <c r="K1563" s="977" t="s">
        <v>686</v>
      </c>
      <c r="L1563" s="125" t="s">
        <v>15</v>
      </c>
      <c r="M1563" s="966">
        <v>250000</v>
      </c>
      <c r="N1563" s="693" t="s">
        <v>393</v>
      </c>
    </row>
    <row r="1564" spans="1:14">
      <c r="A1564" s="694">
        <v>28</v>
      </c>
      <c r="B1564" s="97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83"/>
      <c r="L1564" s="125" t="s">
        <v>15</v>
      </c>
      <c r="M1564" s="984"/>
      <c r="N1564" s="693" t="s">
        <v>128</v>
      </c>
    </row>
    <row r="1565" spans="1:14" ht="27">
      <c r="A1565" s="694">
        <v>28</v>
      </c>
      <c r="B1565" s="97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6492</v>
      </c>
      <c r="J1565" s="31" t="s">
        <v>90</v>
      </c>
      <c r="K1565" s="978"/>
      <c r="L1565" s="125" t="s">
        <v>15</v>
      </c>
      <c r="M1565" s="967"/>
      <c r="N1565" s="693" t="s">
        <v>393</v>
      </c>
    </row>
    <row r="1566" spans="1:14">
      <c r="A1566" s="694">
        <v>28</v>
      </c>
      <c r="B1566" s="97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6548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97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97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976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6534</v>
      </c>
      <c r="J1569" s="31" t="s">
        <v>6312</v>
      </c>
      <c r="K1569" s="782" t="s">
        <v>2828</v>
      </c>
      <c r="L1569" s="125" t="s">
        <v>15</v>
      </c>
      <c r="M1569" s="683">
        <v>250000</v>
      </c>
      <c r="N1569" s="693" t="s">
        <v>6535</v>
      </c>
    </row>
    <row r="1570" spans="1:14">
      <c r="A1570" s="694">
        <v>29</v>
      </c>
      <c r="B1570" s="758" t="s">
        <v>20</v>
      </c>
      <c r="C1570" s="640" t="s">
        <v>6613</v>
      </c>
      <c r="D1570" s="726" t="s">
        <v>19</v>
      </c>
      <c r="E1570" s="632" t="s">
        <v>25</v>
      </c>
      <c r="F1570" s="633" t="s">
        <v>5254</v>
      </c>
      <c r="G1570" s="772" t="s">
        <v>6250</v>
      </c>
      <c r="H1570" s="772" t="s">
        <v>6323</v>
      </c>
      <c r="I1570" s="634" t="s">
        <v>6615</v>
      </c>
      <c r="J1570" s="633" t="s">
        <v>168</v>
      </c>
      <c r="K1570" s="740" t="s">
        <v>6616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95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77" t="s">
        <v>1113</v>
      </c>
      <c r="L1571" s="125" t="s">
        <v>15</v>
      </c>
      <c r="M1571" s="966">
        <v>750000</v>
      </c>
      <c r="N1571" s="791" t="s">
        <v>6614</v>
      </c>
    </row>
    <row r="1572" spans="1:14">
      <c r="A1572" s="694">
        <v>29</v>
      </c>
      <c r="B1572" s="96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6547</v>
      </c>
      <c r="J1572" s="31" t="s">
        <v>202</v>
      </c>
      <c r="K1572" s="978"/>
      <c r="L1572" s="125" t="s">
        <v>15</v>
      </c>
      <c r="M1572" s="967"/>
      <c r="N1572" s="793"/>
    </row>
    <row r="1573" spans="1:14" ht="27">
      <c r="A1573" s="694">
        <v>29</v>
      </c>
      <c r="B1573" s="960"/>
      <c r="C1573" s="399">
        <v>46224</v>
      </c>
      <c r="D1573" s="4" t="s">
        <v>21</v>
      </c>
      <c r="E1573" s="4" t="s">
        <v>14</v>
      </c>
      <c r="F1573" s="193" t="s">
        <v>6480</v>
      </c>
      <c r="G1573" s="31" t="s">
        <v>5796</v>
      </c>
      <c r="H1573" s="16" t="s">
        <v>4091</v>
      </c>
      <c r="I1573" s="193" t="s">
        <v>6611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6618</v>
      </c>
    </row>
    <row r="1574" spans="1:14" ht="27">
      <c r="A1574" s="694">
        <v>29</v>
      </c>
      <c r="B1574" s="96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6478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6619</v>
      </c>
    </row>
    <row r="1575" spans="1:14">
      <c r="A1575" s="694">
        <v>29</v>
      </c>
      <c r="B1575" s="96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6620</v>
      </c>
    </row>
    <row r="1576" spans="1:14" ht="27">
      <c r="A1576" s="694">
        <v>29</v>
      </c>
      <c r="B1576" s="96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6596</v>
      </c>
      <c r="J1576" s="454" t="s">
        <v>168</v>
      </c>
      <c r="K1576" s="979" t="s">
        <v>41</v>
      </c>
      <c r="L1576" s="136" t="s">
        <v>15</v>
      </c>
      <c r="M1576" s="966">
        <v>250000</v>
      </c>
      <c r="N1576" s="646" t="s">
        <v>6621</v>
      </c>
    </row>
    <row r="1577" spans="1:14">
      <c r="A1577" s="694">
        <v>29</v>
      </c>
      <c r="B1577" s="96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6574</v>
      </c>
      <c r="J1577" s="454" t="s">
        <v>168</v>
      </c>
      <c r="K1577" s="980"/>
      <c r="L1577" s="136" t="s">
        <v>15</v>
      </c>
      <c r="M1577" s="967"/>
      <c r="N1577" s="646" t="s">
        <v>6622</v>
      </c>
    </row>
    <row r="1578" spans="1:14">
      <c r="A1578" s="694">
        <v>29</v>
      </c>
      <c r="B1578" s="96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6624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6623</v>
      </c>
    </row>
    <row r="1579" spans="1:14">
      <c r="A1579" s="694">
        <v>29</v>
      </c>
      <c r="B1579" s="96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6532</v>
      </c>
      <c r="H1579" s="16" t="s">
        <v>6533</v>
      </c>
      <c r="I1579" s="193" t="s">
        <v>6592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6617</v>
      </c>
    </row>
    <row r="1580" spans="1:14">
      <c r="A1580" s="694">
        <v>29</v>
      </c>
      <c r="B1580" s="96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6612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6625</v>
      </c>
    </row>
    <row r="1581" spans="1:14">
      <c r="A1581" s="694">
        <v>29</v>
      </c>
      <c r="B1581" s="96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77" t="s">
        <v>686</v>
      </c>
      <c r="L1581" s="125" t="s">
        <v>15</v>
      </c>
      <c r="M1581" s="966">
        <v>250000</v>
      </c>
      <c r="N1581" s="646" t="s">
        <v>6784</v>
      </c>
    </row>
    <row r="1582" spans="1:14">
      <c r="A1582" s="694">
        <v>29</v>
      </c>
      <c r="B1582" s="96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78"/>
      <c r="L1582" s="125" t="s">
        <v>15</v>
      </c>
      <c r="M1582" s="967"/>
      <c r="N1582" s="646" t="s">
        <v>6626</v>
      </c>
    </row>
    <row r="1583" spans="1:14">
      <c r="A1583" s="694">
        <v>29</v>
      </c>
      <c r="B1583" s="96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6576</v>
      </c>
      <c r="J1583" s="31" t="s">
        <v>90</v>
      </c>
      <c r="K1583" s="977" t="s">
        <v>686</v>
      </c>
      <c r="L1583" s="125" t="s">
        <v>15</v>
      </c>
      <c r="M1583" s="966">
        <v>250000</v>
      </c>
      <c r="N1583" s="646" t="s">
        <v>6784</v>
      </c>
    </row>
    <row r="1584" spans="1:14">
      <c r="A1584" s="694">
        <v>29</v>
      </c>
      <c r="B1584" s="96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6576</v>
      </c>
      <c r="J1584" s="31" t="s">
        <v>90</v>
      </c>
      <c r="K1584" s="978"/>
      <c r="L1584" s="125" t="s">
        <v>15</v>
      </c>
      <c r="M1584" s="967"/>
      <c r="N1584" s="646" t="s">
        <v>6627</v>
      </c>
    </row>
    <row r="1585" spans="1:14">
      <c r="A1585" s="694">
        <v>30</v>
      </c>
      <c r="B1585" s="790" t="s">
        <v>20</v>
      </c>
      <c r="C1585" s="399">
        <v>46230</v>
      </c>
      <c r="D1585" s="726" t="s">
        <v>6668</v>
      </c>
      <c r="E1585" s="632" t="s">
        <v>6670</v>
      </c>
      <c r="F1585" s="633" t="s">
        <v>6671</v>
      </c>
      <c r="G1585" s="645">
        <v>7062</v>
      </c>
      <c r="H1585" s="645" t="s">
        <v>4220</v>
      </c>
      <c r="I1585" s="634" t="s">
        <v>6673</v>
      </c>
      <c r="J1585" s="633" t="s">
        <v>4616</v>
      </c>
      <c r="K1585" s="634" t="s">
        <v>6676</v>
      </c>
      <c r="L1585" s="703"/>
      <c r="M1585" s="682">
        <v>250000</v>
      </c>
      <c r="N1585" s="646"/>
    </row>
    <row r="1586" spans="1:14" ht="24">
      <c r="A1586" s="694">
        <v>30</v>
      </c>
      <c r="B1586" s="790"/>
      <c r="C1586" s="640" t="s">
        <v>6667</v>
      </c>
      <c r="D1586" s="726" t="s">
        <v>6669</v>
      </c>
      <c r="E1586" s="632" t="s">
        <v>6670</v>
      </c>
      <c r="F1586" s="633" t="s">
        <v>6672</v>
      </c>
      <c r="G1586" s="31" t="s">
        <v>5525</v>
      </c>
      <c r="H1586" s="645"/>
      <c r="I1586" s="634" t="s">
        <v>6674</v>
      </c>
      <c r="J1586" s="633" t="s">
        <v>6675</v>
      </c>
      <c r="K1586" s="634" t="s">
        <v>6677</v>
      </c>
      <c r="L1586" s="703"/>
      <c r="M1586" s="682">
        <v>500000</v>
      </c>
      <c r="N1586" s="646"/>
    </row>
    <row r="1587" spans="1:14">
      <c r="A1587" s="694">
        <v>30</v>
      </c>
      <c r="B1587" s="790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6666</v>
      </c>
      <c r="L1587" s="125" t="s">
        <v>15</v>
      </c>
      <c r="M1587" s="757">
        <v>300000</v>
      </c>
      <c r="N1587" s="646" t="s">
        <v>6665</v>
      </c>
    </row>
    <row r="1588" spans="1:14">
      <c r="A1588" s="694">
        <v>30</v>
      </c>
      <c r="B1588" s="790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6593</v>
      </c>
      <c r="K1588" s="31" t="s">
        <v>5528</v>
      </c>
      <c r="L1588" s="125" t="s">
        <v>6378</v>
      </c>
      <c r="M1588" s="757">
        <v>250000</v>
      </c>
      <c r="N1588" s="775"/>
    </row>
    <row r="1589" spans="1:14">
      <c r="A1589" s="694">
        <v>30</v>
      </c>
      <c r="B1589" s="790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6547</v>
      </c>
      <c r="J1589" s="31"/>
      <c r="K1589" s="31" t="s">
        <v>6652</v>
      </c>
      <c r="L1589" s="125" t="s">
        <v>6378</v>
      </c>
      <c r="M1589" s="757">
        <v>550000</v>
      </c>
      <c r="N1589" s="646"/>
    </row>
    <row r="1590" spans="1:14">
      <c r="A1590" s="694">
        <v>30</v>
      </c>
      <c r="B1590" s="790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6584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790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6660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790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6661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6" t="s">
        <v>20</v>
      </c>
      <c r="C1593" s="399" t="s">
        <v>6743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6738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790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6747</v>
      </c>
      <c r="J1594" s="454"/>
      <c r="K1594" s="454" t="s">
        <v>41</v>
      </c>
      <c r="L1594" s="136" t="s">
        <v>15</v>
      </c>
      <c r="M1594" s="757">
        <v>250000</v>
      </c>
      <c r="N1594" s="791" t="s">
        <v>6748</v>
      </c>
    </row>
    <row r="1595" spans="1:14">
      <c r="A1595" s="694">
        <v>31</v>
      </c>
      <c r="B1595" s="790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6682</v>
      </c>
      <c r="J1595" s="454"/>
      <c r="K1595" s="454" t="s">
        <v>686</v>
      </c>
      <c r="L1595" s="136" t="s">
        <v>15</v>
      </c>
      <c r="M1595" s="757">
        <v>250000</v>
      </c>
      <c r="N1595" s="792"/>
    </row>
    <row r="1596" spans="1:14">
      <c r="A1596" s="694">
        <v>31</v>
      </c>
      <c r="B1596" s="790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6720</v>
      </c>
      <c r="J1596" s="454"/>
      <c r="K1596" s="454" t="s">
        <v>6652</v>
      </c>
      <c r="L1596" s="136" t="s">
        <v>181</v>
      </c>
      <c r="M1596" s="757">
        <v>550000</v>
      </c>
      <c r="N1596" s="792"/>
    </row>
    <row r="1597" spans="1:14">
      <c r="A1597" s="694">
        <v>31</v>
      </c>
      <c r="B1597" s="790"/>
      <c r="C1597" s="198">
        <v>46233</v>
      </c>
      <c r="D1597" s="3" t="s">
        <v>21</v>
      </c>
      <c r="E1597" s="3" t="s">
        <v>14</v>
      </c>
      <c r="F1597" s="454" t="s">
        <v>6712</v>
      </c>
      <c r="G1597" s="454" t="s">
        <v>5488</v>
      </c>
      <c r="H1597" s="459" t="s">
        <v>5428</v>
      </c>
      <c r="I1597" s="453" t="s">
        <v>6714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792"/>
    </row>
    <row r="1598" spans="1:14">
      <c r="A1598" s="694">
        <v>31</v>
      </c>
      <c r="B1598" s="790"/>
      <c r="C1598" s="399">
        <v>46234</v>
      </c>
      <c r="D1598" s="3" t="s">
        <v>21</v>
      </c>
      <c r="E1598" s="3" t="s">
        <v>14</v>
      </c>
      <c r="F1598" s="454" t="s">
        <v>6712</v>
      </c>
      <c r="G1598" s="454" t="s">
        <v>5488</v>
      </c>
      <c r="H1598" s="459" t="s">
        <v>5428</v>
      </c>
      <c r="I1598" s="453" t="s">
        <v>6714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793"/>
    </row>
    <row r="1599" spans="1:14">
      <c r="A1599" s="694">
        <v>31</v>
      </c>
      <c r="B1599" s="790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6523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</sheetData>
  <autoFilter ref="A1:N1599" xr:uid="{00000000-0009-0000-0000-000001000000}"/>
  <mergeCells count="1077"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3:E37"/>
  <sheetViews>
    <sheetView workbookViewId="0">
      <selection activeCell="F15" sqref="F15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2600000</v>
      </c>
    </row>
    <row r="10" spans="1:4">
      <c r="A10" s="589" t="s">
        <v>4855</v>
      </c>
      <c r="B10" s="589" t="s">
        <v>4856</v>
      </c>
      <c r="C10" s="989" t="s">
        <v>4857</v>
      </c>
      <c r="D10" s="989"/>
    </row>
    <row r="11" spans="1:4">
      <c r="A11" s="589" t="s">
        <v>4858</v>
      </c>
      <c r="B11" s="589">
        <v>1</v>
      </c>
      <c r="C11" s="990">
        <f>'사전품의양식 (12)'!L5</f>
        <v>750000</v>
      </c>
      <c r="D11" s="990"/>
    </row>
    <row r="12" spans="1:4">
      <c r="A12" s="589" t="s">
        <v>4859</v>
      </c>
      <c r="B12" s="589">
        <v>4</v>
      </c>
      <c r="C12" s="990">
        <f>'사전품의양식 (12)'!L12</f>
        <v>1850000</v>
      </c>
      <c r="D12" s="990"/>
    </row>
    <row r="13" spans="1:4">
      <c r="A13" s="591" t="s">
        <v>53</v>
      </c>
      <c r="B13" s="591">
        <f>SUM(B11:B12)</f>
        <v>5</v>
      </c>
      <c r="C13" s="991">
        <f>SUM(C11:C12)</f>
        <v>2600000</v>
      </c>
      <c r="D13" s="991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1550000</v>
      </c>
      <c r="D17" s="593">
        <f>SUM(B17:C17)</f>
        <v>1550000</v>
      </c>
    </row>
    <row r="18" spans="1:5">
      <c r="A18" s="589" t="s">
        <v>5511</v>
      </c>
      <c r="B18" s="590">
        <f>C11-B17</f>
        <v>750000</v>
      </c>
      <c r="C18" s="590">
        <f>C12-C17</f>
        <v>300000</v>
      </c>
      <c r="D18" s="590">
        <f>SUM(B18:C18)</f>
        <v>1050000</v>
      </c>
    </row>
    <row r="19" spans="1:5">
      <c r="A19" s="591" t="s">
        <v>4861</v>
      </c>
      <c r="B19" s="592">
        <f>SUM(B17:B18)</f>
        <v>750000</v>
      </c>
      <c r="C19" s="592">
        <f>SUM(C17:C18)</f>
        <v>1850000</v>
      </c>
      <c r="D19" s="592">
        <f>SUM(D17:D18)</f>
        <v>2600000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992" t="s">
        <v>4872</v>
      </c>
      <c r="D24" s="993"/>
      <c r="E24" s="667"/>
    </row>
    <row r="25" spans="1:5">
      <c r="A25" s="589" t="s">
        <v>4873</v>
      </c>
      <c r="B25" s="589" t="s">
        <v>4874</v>
      </c>
      <c r="C25" s="987" t="s">
        <v>4875</v>
      </c>
      <c r="D25" s="988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A4" sqref="A4:M12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994" t="s">
        <v>6751</v>
      </c>
      <c r="B2" s="994" t="s">
        <v>1</v>
      </c>
      <c r="C2" s="994" t="s">
        <v>2</v>
      </c>
      <c r="D2" s="994" t="s">
        <v>3</v>
      </c>
      <c r="E2" s="759" t="s">
        <v>2623</v>
      </c>
      <c r="F2" s="994" t="s">
        <v>5</v>
      </c>
      <c r="G2" s="994" t="s">
        <v>6</v>
      </c>
      <c r="H2" s="994" t="s">
        <v>2624</v>
      </c>
      <c r="I2" s="994" t="s">
        <v>55</v>
      </c>
      <c r="J2" s="994" t="s">
        <v>9</v>
      </c>
      <c r="K2" s="995" t="s">
        <v>56</v>
      </c>
      <c r="L2" s="994" t="s">
        <v>57</v>
      </c>
      <c r="M2" s="994" t="s">
        <v>58</v>
      </c>
    </row>
    <row r="3" spans="1:13">
      <c r="A3" s="994"/>
      <c r="B3" s="994"/>
      <c r="C3" s="994"/>
      <c r="D3" s="994"/>
      <c r="E3" s="759" t="s">
        <v>1724</v>
      </c>
      <c r="F3" s="994"/>
      <c r="G3" s="994"/>
      <c r="H3" s="994"/>
      <c r="I3" s="994"/>
      <c r="J3" s="994"/>
      <c r="K3" s="995"/>
      <c r="L3" s="994"/>
      <c r="M3" s="994"/>
    </row>
    <row r="4" spans="1:13" s="685" customFormat="1" ht="17.100000000000001" customHeight="1">
      <c r="A4" s="790" t="s">
        <v>20</v>
      </c>
      <c r="B4" s="399" t="s">
        <v>6743</v>
      </c>
      <c r="C4" s="726" t="s">
        <v>6668</v>
      </c>
      <c r="D4" s="632" t="s">
        <v>6670</v>
      </c>
      <c r="E4" s="633" t="s">
        <v>6671</v>
      </c>
      <c r="F4" s="645">
        <v>7065</v>
      </c>
      <c r="G4" s="645" t="s">
        <v>6744</v>
      </c>
      <c r="H4" s="634" t="s">
        <v>6745</v>
      </c>
      <c r="I4" s="633" t="s">
        <v>6746</v>
      </c>
      <c r="J4" s="634" t="s">
        <v>6676</v>
      </c>
      <c r="K4" s="703"/>
      <c r="L4" s="682">
        <f>250000*3</f>
        <v>750000</v>
      </c>
      <c r="M4" s="646"/>
    </row>
    <row r="5" spans="1:13" ht="17.100000000000001" customHeight="1">
      <c r="A5" s="790"/>
      <c r="B5" s="790" t="s">
        <v>1136</v>
      </c>
      <c r="C5" s="790"/>
      <c r="D5" s="790"/>
      <c r="E5" s="790"/>
      <c r="F5" s="790"/>
      <c r="G5" s="790"/>
      <c r="H5" s="790"/>
      <c r="I5" s="790"/>
      <c r="J5" s="790"/>
      <c r="K5" s="790"/>
      <c r="L5" s="729">
        <f>SUM(L4:L4)</f>
        <v>750000</v>
      </c>
      <c r="M5" s="646"/>
    </row>
    <row r="6" spans="1:13" ht="18" customHeight="1">
      <c r="A6" s="790" t="s">
        <v>21</v>
      </c>
      <c r="B6" s="198">
        <v>46231</v>
      </c>
      <c r="C6" s="3" t="s">
        <v>21</v>
      </c>
      <c r="D6" s="3" t="s">
        <v>14</v>
      </c>
      <c r="E6" s="454" t="s">
        <v>107</v>
      </c>
      <c r="F6" s="454" t="s">
        <v>3401</v>
      </c>
      <c r="G6" s="459" t="s">
        <v>5723</v>
      </c>
      <c r="H6" s="453" t="s">
        <v>6747</v>
      </c>
      <c r="I6" s="454"/>
      <c r="J6" s="454" t="s">
        <v>41</v>
      </c>
      <c r="K6" s="136" t="s">
        <v>15</v>
      </c>
      <c r="L6" s="757">
        <v>250000</v>
      </c>
      <c r="M6" s="791" t="s">
        <v>6748</v>
      </c>
    </row>
    <row r="7" spans="1:13" ht="18" customHeight="1">
      <c r="A7" s="790"/>
      <c r="B7" s="198">
        <v>46231</v>
      </c>
      <c r="C7" s="3" t="s">
        <v>21</v>
      </c>
      <c r="D7" s="3" t="s">
        <v>14</v>
      </c>
      <c r="E7" s="454" t="s">
        <v>1893</v>
      </c>
      <c r="F7" s="454" t="s">
        <v>4939</v>
      </c>
      <c r="G7" s="459" t="s">
        <v>482</v>
      </c>
      <c r="H7" s="453" t="s">
        <v>6682</v>
      </c>
      <c r="I7" s="454"/>
      <c r="J7" s="454" t="s">
        <v>6683</v>
      </c>
      <c r="K7" s="136" t="s">
        <v>15</v>
      </c>
      <c r="L7" s="757">
        <v>250000</v>
      </c>
      <c r="M7" s="792"/>
    </row>
    <row r="8" spans="1:13" ht="17.100000000000001" customHeight="1">
      <c r="A8" s="790"/>
      <c r="B8" s="198">
        <v>46233</v>
      </c>
      <c r="C8" s="3" t="s">
        <v>21</v>
      </c>
      <c r="D8" s="3" t="s">
        <v>14</v>
      </c>
      <c r="E8" s="454" t="s">
        <v>1893</v>
      </c>
      <c r="F8" s="454" t="s">
        <v>4939</v>
      </c>
      <c r="G8" s="459" t="s">
        <v>482</v>
      </c>
      <c r="H8" s="453" t="s">
        <v>6720</v>
      </c>
      <c r="I8" s="454"/>
      <c r="J8" s="454" t="s">
        <v>6723</v>
      </c>
      <c r="K8" s="136" t="s">
        <v>6378</v>
      </c>
      <c r="L8" s="757">
        <v>550000</v>
      </c>
      <c r="M8" s="792"/>
    </row>
    <row r="9" spans="1:13" ht="13.5">
      <c r="A9" s="790"/>
      <c r="B9" s="198">
        <v>46233</v>
      </c>
      <c r="C9" s="3" t="s">
        <v>21</v>
      </c>
      <c r="D9" s="3" t="s">
        <v>14</v>
      </c>
      <c r="E9" s="454" t="s">
        <v>6712</v>
      </c>
      <c r="F9" s="454" t="s">
        <v>5488</v>
      </c>
      <c r="G9" s="459" t="s">
        <v>5428</v>
      </c>
      <c r="H9" s="453" t="s">
        <v>6714</v>
      </c>
      <c r="I9" s="31" t="s">
        <v>6715</v>
      </c>
      <c r="J9" s="31" t="s">
        <v>6716</v>
      </c>
      <c r="K9" s="125" t="s">
        <v>6717</v>
      </c>
      <c r="L9" s="757">
        <v>250000</v>
      </c>
      <c r="M9" s="792"/>
    </row>
    <row r="10" spans="1:13" ht="17.100000000000001" customHeight="1">
      <c r="A10" s="790"/>
      <c r="B10" s="399">
        <v>46234</v>
      </c>
      <c r="C10" s="3" t="s">
        <v>21</v>
      </c>
      <c r="D10" s="3" t="s">
        <v>14</v>
      </c>
      <c r="E10" s="454" t="s">
        <v>6712</v>
      </c>
      <c r="F10" s="454" t="s">
        <v>5488</v>
      </c>
      <c r="G10" s="459" t="s">
        <v>5428</v>
      </c>
      <c r="H10" s="453" t="s">
        <v>6714</v>
      </c>
      <c r="I10" s="31" t="s">
        <v>6715</v>
      </c>
      <c r="J10" s="31" t="s">
        <v>6716</v>
      </c>
      <c r="K10" s="125" t="s">
        <v>6717</v>
      </c>
      <c r="L10" s="757">
        <v>250000</v>
      </c>
      <c r="M10" s="793"/>
    </row>
    <row r="11" spans="1:13" ht="13.5">
      <c r="A11" s="790"/>
      <c r="B11" s="399">
        <v>46240</v>
      </c>
      <c r="C11" s="3" t="s">
        <v>21</v>
      </c>
      <c r="D11" s="3" t="s">
        <v>17</v>
      </c>
      <c r="E11" s="454" t="s">
        <v>78</v>
      </c>
      <c r="F11" s="454" t="s">
        <v>1645</v>
      </c>
      <c r="G11" s="459" t="s">
        <v>23</v>
      </c>
      <c r="H11" s="453" t="s">
        <v>6523</v>
      </c>
      <c r="I11" s="31" t="s">
        <v>6740</v>
      </c>
      <c r="J11" s="31" t="s">
        <v>6726</v>
      </c>
      <c r="K11" s="125" t="s">
        <v>6727</v>
      </c>
      <c r="L11" s="757">
        <v>300000</v>
      </c>
      <c r="M11" s="646" t="s">
        <v>6749</v>
      </c>
    </row>
    <row r="12" spans="1:13" ht="17.100000000000001" customHeight="1">
      <c r="A12" s="790"/>
      <c r="B12" s="790" t="s">
        <v>4879</v>
      </c>
      <c r="C12" s="790"/>
      <c r="D12" s="790"/>
      <c r="E12" s="790"/>
      <c r="F12" s="790"/>
      <c r="G12" s="790"/>
      <c r="H12" s="790"/>
      <c r="I12" s="790"/>
      <c r="J12" s="790"/>
      <c r="K12" s="790"/>
      <c r="L12" s="729">
        <f>SUM(L6:L11)</f>
        <v>1850000</v>
      </c>
      <c r="M12" s="646"/>
    </row>
    <row r="13" spans="1:13" ht="25.5" customHeight="1">
      <c r="A13" s="996" t="s">
        <v>62</v>
      </c>
      <c r="B13" s="996"/>
      <c r="C13" s="996"/>
      <c r="D13" s="996"/>
      <c r="E13" s="996"/>
      <c r="F13" s="996"/>
      <c r="G13" s="996"/>
      <c r="H13" s="996"/>
      <c r="I13" s="996"/>
      <c r="J13" s="996"/>
      <c r="K13" s="996"/>
      <c r="L13" s="729">
        <f>L5+L12</f>
        <v>2600000</v>
      </c>
      <c r="M13" s="649"/>
    </row>
    <row r="14" spans="1:13" ht="26.25" customHeight="1"/>
    <row r="15" spans="1:13" ht="26.25" hidden="1" customHeight="1"/>
    <row r="16" spans="1:13" ht="25.5" hidden="1" customHeight="1">
      <c r="B16" s="686" t="s">
        <v>1144</v>
      </c>
      <c r="C16" s="687"/>
      <c r="D16" s="687"/>
      <c r="E16" s="687"/>
      <c r="F16" s="687"/>
      <c r="G16" s="687"/>
      <c r="H16" s="687"/>
      <c r="I16" s="687"/>
    </row>
    <row r="17" spans="1:16" ht="25.5" hidden="1" customHeight="1">
      <c r="B17" s="688" t="s">
        <v>1140</v>
      </c>
      <c r="C17" s="686">
        <v>45282</v>
      </c>
      <c r="D17" s="687" t="s">
        <v>1151</v>
      </c>
      <c r="E17" s="687"/>
      <c r="F17" s="687"/>
      <c r="G17" s="687"/>
      <c r="I17" s="687"/>
    </row>
    <row r="18" spans="1:16" ht="25.5" hidden="1" customHeight="1">
      <c r="B18" s="688" t="s">
        <v>1141</v>
      </c>
      <c r="C18" s="686">
        <v>45282</v>
      </c>
      <c r="D18" s="687" t="s">
        <v>1143</v>
      </c>
      <c r="E18" s="687"/>
      <c r="F18" s="687"/>
      <c r="G18" s="687"/>
      <c r="H18" s="687"/>
      <c r="I18" s="687"/>
    </row>
    <row r="19" spans="1:16" ht="25.5" hidden="1" customHeight="1">
      <c r="B19" s="688" t="s">
        <v>1145</v>
      </c>
      <c r="C19" s="689" t="s">
        <v>1142</v>
      </c>
      <c r="D19" s="687" t="s">
        <v>1152</v>
      </c>
      <c r="E19" s="687"/>
      <c r="F19" s="687"/>
      <c r="G19" s="687"/>
      <c r="H19" s="687"/>
      <c r="I19" s="687"/>
    </row>
    <row r="20" spans="1:16" ht="20.100000000000001" hidden="1" customHeight="1">
      <c r="B20" s="687"/>
      <c r="C20" s="687" t="s">
        <v>1146</v>
      </c>
      <c r="D20" s="687"/>
      <c r="E20" s="687"/>
      <c r="F20" s="687"/>
      <c r="G20" s="687"/>
      <c r="H20" s="687"/>
      <c r="I20" s="687"/>
    </row>
    <row r="21" spans="1:16" ht="16.5" hidden="1" customHeight="1"/>
    <row r="22" spans="1:16" ht="20.100000000000001" hidden="1" customHeight="1">
      <c r="J22" s="687"/>
    </row>
    <row r="25" spans="1:16" ht="28.5" customHeight="1">
      <c r="A25" s="671" t="s">
        <v>0</v>
      </c>
      <c r="B25" s="672" t="s">
        <v>1</v>
      </c>
      <c r="C25" s="671" t="s">
        <v>2</v>
      </c>
      <c r="D25" s="671" t="s">
        <v>3</v>
      </c>
      <c r="E25" s="671" t="s">
        <v>4</v>
      </c>
      <c r="F25" s="671" t="s">
        <v>5</v>
      </c>
      <c r="G25" s="671" t="s">
        <v>6</v>
      </c>
      <c r="H25" s="673" t="s">
        <v>7</v>
      </c>
      <c r="I25" s="671" t="s">
        <v>8</v>
      </c>
      <c r="J25" s="671" t="s">
        <v>9</v>
      </c>
      <c r="K25" s="674" t="s">
        <v>10</v>
      </c>
      <c r="L25" s="671" t="s">
        <v>12</v>
      </c>
      <c r="M25" s="671" t="s">
        <v>63</v>
      </c>
    </row>
    <row r="26" spans="1:16" s="17" customFormat="1" ht="33" customHeight="1">
      <c r="A26" s="594" t="s">
        <v>6329</v>
      </c>
      <c r="B26" s="399">
        <v>46237</v>
      </c>
      <c r="C26" s="4"/>
      <c r="D26" s="4"/>
      <c r="E26" s="31"/>
      <c r="F26" s="31"/>
      <c r="G26" s="16"/>
      <c r="H26" s="404" t="s">
        <v>6536</v>
      </c>
      <c r="I26" s="31"/>
      <c r="J26" s="31"/>
      <c r="K26" s="125"/>
      <c r="L26" s="16"/>
      <c r="M26" s="8"/>
      <c r="N26" s="31"/>
      <c r="O26" s="431"/>
      <c r="P26" s="31"/>
    </row>
    <row r="27" spans="1:16" s="17" customFormat="1" ht="33" customHeight="1">
      <c r="A27" s="595"/>
      <c r="B27" s="399">
        <v>46237</v>
      </c>
      <c r="C27" s="4" t="s">
        <v>6752</v>
      </c>
      <c r="D27" s="4" t="s">
        <v>6753</v>
      </c>
      <c r="E27" s="31" t="s">
        <v>6754</v>
      </c>
      <c r="F27" s="31" t="s">
        <v>6755</v>
      </c>
      <c r="G27" s="16" t="s">
        <v>6704</v>
      </c>
      <c r="H27" s="125" t="s">
        <v>6756</v>
      </c>
      <c r="I27" s="31" t="s">
        <v>6757</v>
      </c>
      <c r="J27" s="31"/>
      <c r="K27" s="125" t="s">
        <v>6727</v>
      </c>
      <c r="L27" s="16">
        <v>1</v>
      </c>
      <c r="M27" s="8"/>
      <c r="N27" s="31"/>
      <c r="O27" s="431"/>
      <c r="P27" s="31"/>
    </row>
    <row r="28" spans="1:16" s="17" customFormat="1" ht="33" customHeight="1">
      <c r="A28" s="595"/>
      <c r="B28" s="399">
        <v>46237</v>
      </c>
      <c r="C28" s="4" t="s">
        <v>6730</v>
      </c>
      <c r="D28" s="4" t="s">
        <v>6731</v>
      </c>
      <c r="E28" s="31" t="s">
        <v>6732</v>
      </c>
      <c r="F28" s="31">
        <v>7065</v>
      </c>
      <c r="G28" s="16" t="s">
        <v>6733</v>
      </c>
      <c r="H28" s="193" t="s">
        <v>6729</v>
      </c>
      <c r="I28" s="31" t="s">
        <v>6734</v>
      </c>
      <c r="J28" s="31"/>
      <c r="K28" s="18" t="s">
        <v>6750</v>
      </c>
      <c r="L28" s="8">
        <v>1</v>
      </c>
      <c r="M28" s="8"/>
      <c r="N28" s="31"/>
      <c r="O28" s="431"/>
      <c r="P28" s="31"/>
    </row>
    <row r="29" spans="1:16" s="17" customFormat="1" ht="33" customHeight="1">
      <c r="A29" s="595"/>
      <c r="B29" s="399">
        <v>46237</v>
      </c>
      <c r="C29" s="4" t="s">
        <v>6730</v>
      </c>
      <c r="D29" s="4" t="s">
        <v>6731</v>
      </c>
      <c r="E29" s="31" t="s">
        <v>6736</v>
      </c>
      <c r="F29" s="31">
        <v>7065</v>
      </c>
      <c r="G29" s="16" t="s">
        <v>6737</v>
      </c>
      <c r="H29" s="193" t="s">
        <v>6738</v>
      </c>
      <c r="I29" s="31" t="s">
        <v>6758</v>
      </c>
      <c r="J29" s="31" t="s">
        <v>6692</v>
      </c>
      <c r="K29" s="18" t="s">
        <v>6750</v>
      </c>
      <c r="L29" s="18" t="s">
        <v>6750</v>
      </c>
      <c r="M29" s="8"/>
      <c r="N29" s="31"/>
      <c r="O29" s="431"/>
      <c r="P29" s="31"/>
    </row>
    <row r="30" spans="1:16" s="17" customFormat="1" ht="33" customHeight="1">
      <c r="A30" s="595"/>
      <c r="B30" s="399">
        <v>46238</v>
      </c>
      <c r="C30" s="4"/>
      <c r="D30" s="4"/>
      <c r="E30" s="291"/>
      <c r="F30" s="31"/>
      <c r="G30" s="16"/>
      <c r="H30" s="404" t="s">
        <v>6536</v>
      </c>
      <c r="I30" s="31"/>
      <c r="J30" s="31"/>
      <c r="K30" s="125"/>
      <c r="L30" s="8"/>
      <c r="M30" s="8"/>
      <c r="N30" s="31"/>
      <c r="O30" s="431"/>
      <c r="P30" s="31"/>
    </row>
    <row r="31" spans="1:16" s="17" customFormat="1" ht="33" customHeight="1">
      <c r="A31" s="595"/>
      <c r="B31" s="399">
        <v>46238</v>
      </c>
      <c r="C31" s="4" t="s">
        <v>6730</v>
      </c>
      <c r="D31" s="4" t="s">
        <v>6731</v>
      </c>
      <c r="E31" s="31" t="s">
        <v>6732</v>
      </c>
      <c r="F31" s="31">
        <v>7065</v>
      </c>
      <c r="G31" s="16" t="s">
        <v>6733</v>
      </c>
      <c r="H31" s="193" t="s">
        <v>6729</v>
      </c>
      <c r="I31" s="31" t="s">
        <v>6734</v>
      </c>
      <c r="J31" s="31"/>
      <c r="K31" s="18" t="s">
        <v>6750</v>
      </c>
      <c r="L31" s="8">
        <v>1</v>
      </c>
      <c r="M31" s="8"/>
      <c r="N31" s="31"/>
      <c r="O31" s="431"/>
      <c r="P31" s="31"/>
    </row>
    <row r="32" spans="1:16" s="17" customFormat="1" ht="33" customHeight="1">
      <c r="A32" s="595"/>
      <c r="B32" s="399">
        <v>46238</v>
      </c>
      <c r="C32" s="4" t="s">
        <v>6730</v>
      </c>
      <c r="D32" s="4" t="s">
        <v>6731</v>
      </c>
      <c r="E32" s="31" t="s">
        <v>6736</v>
      </c>
      <c r="F32" s="31">
        <v>7065</v>
      </c>
      <c r="G32" s="16" t="s">
        <v>6737</v>
      </c>
      <c r="H32" s="193" t="s">
        <v>6738</v>
      </c>
      <c r="I32" s="31" t="s">
        <v>6739</v>
      </c>
      <c r="J32" s="31" t="s">
        <v>6692</v>
      </c>
      <c r="K32" s="18" t="s">
        <v>6750</v>
      </c>
      <c r="L32" s="18" t="s">
        <v>6750</v>
      </c>
      <c r="M32" s="8"/>
      <c r="N32" s="31"/>
      <c r="O32" s="431"/>
      <c r="P32" s="31"/>
    </row>
    <row r="33" spans="1:16" s="17" customFormat="1" ht="33" customHeight="1">
      <c r="A33" s="595"/>
      <c r="B33" s="399">
        <v>46239</v>
      </c>
      <c r="C33" s="4"/>
      <c r="D33" s="4"/>
      <c r="E33" s="31"/>
      <c r="F33" s="31"/>
      <c r="G33" s="16"/>
      <c r="H33" s="404" t="s">
        <v>6536</v>
      </c>
      <c r="I33" s="31"/>
      <c r="J33" s="193"/>
      <c r="K33" s="125"/>
      <c r="L33" s="8"/>
      <c r="M33" s="8"/>
      <c r="N33" s="422"/>
      <c r="O33" s="430"/>
      <c r="P33" s="31"/>
    </row>
    <row r="34" spans="1:16" s="17" customFormat="1" ht="33" customHeight="1">
      <c r="A34" s="595"/>
      <c r="B34" s="399">
        <v>46239</v>
      </c>
      <c r="C34" s="4" t="s">
        <v>6730</v>
      </c>
      <c r="D34" s="4" t="s">
        <v>6731</v>
      </c>
      <c r="E34" s="31" t="s">
        <v>6732</v>
      </c>
      <c r="F34" s="31">
        <v>7065</v>
      </c>
      <c r="G34" s="16" t="s">
        <v>6733</v>
      </c>
      <c r="H34" s="193" t="s">
        <v>6729</v>
      </c>
      <c r="I34" s="31" t="s">
        <v>6734</v>
      </c>
      <c r="J34" s="31"/>
      <c r="K34" s="18" t="s">
        <v>6750</v>
      </c>
      <c r="L34" s="8">
        <v>1</v>
      </c>
      <c r="M34" s="8"/>
      <c r="N34" s="422"/>
      <c r="O34" s="430"/>
      <c r="P34" s="31"/>
    </row>
    <row r="35" spans="1:16" s="17" customFormat="1" ht="33" customHeight="1">
      <c r="A35" s="595"/>
      <c r="B35" s="399">
        <v>46239</v>
      </c>
      <c r="C35" s="4" t="s">
        <v>6730</v>
      </c>
      <c r="D35" s="4" t="s">
        <v>6731</v>
      </c>
      <c r="E35" s="31" t="s">
        <v>6736</v>
      </c>
      <c r="F35" s="31">
        <v>7065</v>
      </c>
      <c r="G35" s="16" t="s">
        <v>6737</v>
      </c>
      <c r="H35" s="193" t="s">
        <v>6738</v>
      </c>
      <c r="I35" s="31" t="s">
        <v>6739</v>
      </c>
      <c r="J35" s="31" t="s">
        <v>6692</v>
      </c>
      <c r="K35" s="18" t="s">
        <v>6750</v>
      </c>
      <c r="L35" s="18" t="s">
        <v>6750</v>
      </c>
      <c r="M35" s="8"/>
      <c r="N35" s="422"/>
      <c r="O35" s="430"/>
      <c r="P35" s="31"/>
    </row>
    <row r="36" spans="1:16" s="17" customFormat="1" ht="33" customHeight="1">
      <c r="A36" s="595"/>
      <c r="B36" s="399">
        <v>46240</v>
      </c>
      <c r="C36" s="3" t="s">
        <v>21</v>
      </c>
      <c r="D36" s="3" t="s">
        <v>17</v>
      </c>
      <c r="E36" s="454" t="s">
        <v>78</v>
      </c>
      <c r="F36" s="454" t="s">
        <v>1645</v>
      </c>
      <c r="G36" s="459" t="s">
        <v>23</v>
      </c>
      <c r="H36" s="453" t="s">
        <v>6523</v>
      </c>
      <c r="I36" s="31" t="s">
        <v>6740</v>
      </c>
      <c r="J36" s="31" t="s">
        <v>6726</v>
      </c>
      <c r="K36" s="125" t="s">
        <v>6727</v>
      </c>
      <c r="L36" s="8">
        <v>2</v>
      </c>
      <c r="M36" s="8"/>
      <c r="N36" s="422"/>
      <c r="O36" s="430"/>
      <c r="P36" s="31"/>
    </row>
    <row r="37" spans="1:16" s="17" customFormat="1" ht="33" customHeight="1">
      <c r="A37" s="595"/>
      <c r="B37" s="399">
        <v>46240</v>
      </c>
      <c r="C37" s="4" t="s">
        <v>6730</v>
      </c>
      <c r="D37" s="4" t="s">
        <v>6731</v>
      </c>
      <c r="E37" s="31" t="s">
        <v>6732</v>
      </c>
      <c r="F37" s="31">
        <v>7065</v>
      </c>
      <c r="G37" s="16" t="s">
        <v>6733</v>
      </c>
      <c r="H37" s="193" t="s">
        <v>6729</v>
      </c>
      <c r="I37" s="31" t="s">
        <v>6734</v>
      </c>
      <c r="J37" s="31"/>
      <c r="K37" s="125"/>
      <c r="L37" s="8">
        <v>1</v>
      </c>
      <c r="M37" s="8"/>
      <c r="N37" s="422"/>
      <c r="O37" s="430"/>
      <c r="P37" s="31"/>
    </row>
    <row r="38" spans="1:16" s="17" customFormat="1" ht="33" customHeight="1">
      <c r="A38" s="595"/>
      <c r="B38" s="399">
        <v>46240</v>
      </c>
      <c r="C38" s="3" t="s">
        <v>21</v>
      </c>
      <c r="D38" s="3" t="s">
        <v>14</v>
      </c>
      <c r="E38" s="454" t="s">
        <v>6712</v>
      </c>
      <c r="F38" s="454" t="s">
        <v>5488</v>
      </c>
      <c r="G38" s="459" t="s">
        <v>5428</v>
      </c>
      <c r="H38" s="453" t="s">
        <v>6741</v>
      </c>
      <c r="I38" s="31"/>
      <c r="J38" s="193" t="s">
        <v>6742</v>
      </c>
      <c r="K38" s="125"/>
      <c r="L38" s="8">
        <v>1</v>
      </c>
      <c r="M38" s="8"/>
      <c r="N38" s="422"/>
      <c r="O38" s="430"/>
      <c r="P38" s="31"/>
    </row>
    <row r="39" spans="1:16" s="17" customFormat="1" ht="33" customHeight="1">
      <c r="A39" s="595"/>
      <c r="B39" s="399">
        <v>46241</v>
      </c>
      <c r="C39" s="4" t="s">
        <v>6730</v>
      </c>
      <c r="D39" s="4" t="s">
        <v>6731</v>
      </c>
      <c r="E39" s="31" t="s">
        <v>6732</v>
      </c>
      <c r="F39" s="31">
        <v>7065</v>
      </c>
      <c r="G39" s="16" t="s">
        <v>6733</v>
      </c>
      <c r="H39" s="193" t="s">
        <v>6729</v>
      </c>
      <c r="I39" s="31" t="s">
        <v>6734</v>
      </c>
      <c r="J39" s="31"/>
      <c r="K39" s="125"/>
      <c r="L39" s="8">
        <v>1</v>
      </c>
      <c r="M39" s="8"/>
      <c r="N39" s="422"/>
      <c r="O39" s="430"/>
      <c r="P39" s="31"/>
    </row>
    <row r="40" spans="1:16" s="17" customFormat="1" ht="33" customHeight="1">
      <c r="A40" s="595"/>
      <c r="B40" s="399">
        <v>46241</v>
      </c>
      <c r="C40" s="3" t="s">
        <v>21</v>
      </c>
      <c r="D40" s="3" t="s">
        <v>14</v>
      </c>
      <c r="E40" s="454" t="s">
        <v>6712</v>
      </c>
      <c r="F40" s="454" t="s">
        <v>5488</v>
      </c>
      <c r="G40" s="459" t="s">
        <v>5428</v>
      </c>
      <c r="H40" s="453" t="s">
        <v>6728</v>
      </c>
      <c r="I40" s="31"/>
      <c r="J40" s="193" t="s">
        <v>6742</v>
      </c>
      <c r="K40" s="125"/>
      <c r="L40" s="8">
        <v>1</v>
      </c>
      <c r="M40" s="8"/>
      <c r="N40" s="422"/>
      <c r="O40" s="430"/>
      <c r="P40" s="31"/>
    </row>
    <row r="41" spans="1:16" s="17" customFormat="1" ht="33" customHeight="1">
      <c r="A41" s="596"/>
      <c r="B41" s="369">
        <v>46242</v>
      </c>
      <c r="C41" s="4"/>
      <c r="D41" s="4"/>
      <c r="E41" s="31"/>
      <c r="F41" s="31"/>
      <c r="G41" s="16"/>
      <c r="H41" s="193"/>
      <c r="I41" s="31"/>
      <c r="J41" s="193"/>
      <c r="K41" s="125"/>
      <c r="L41" s="16"/>
      <c r="M41" s="8"/>
      <c r="N41" s="422"/>
      <c r="O41" s="430"/>
      <c r="P41" s="31"/>
    </row>
  </sheetData>
  <mergeCells count="18">
    <mergeCell ref="M6:M10"/>
    <mergeCell ref="B5:K5"/>
    <mergeCell ref="A13:K13"/>
    <mergeCell ref="B12:K12"/>
    <mergeCell ref="A6:A12"/>
    <mergeCell ref="A4:A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1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2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2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2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2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2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2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2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2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2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2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2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2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2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2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1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98" t="s">
        <v>53</v>
      </c>
      <c r="B21" s="798"/>
      <c r="C21" s="798"/>
      <c r="D21" s="798"/>
      <c r="E21" s="798"/>
      <c r="F21" s="798"/>
      <c r="G21" s="798"/>
      <c r="H21" s="798"/>
      <c r="I21" s="79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06" t="s">
        <v>53</v>
      </c>
      <c r="B26" s="1007"/>
      <c r="C26" s="1007"/>
      <c r="D26" s="1007"/>
      <c r="E26" s="1007"/>
      <c r="F26" s="1007"/>
      <c r="G26" s="1007"/>
      <c r="H26" s="1007"/>
      <c r="I26" s="1008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2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2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2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2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2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06" t="s">
        <v>53</v>
      </c>
      <c r="B35" s="1007"/>
      <c r="C35" s="1007"/>
      <c r="D35" s="1007"/>
      <c r="E35" s="1007"/>
      <c r="F35" s="1007"/>
      <c r="G35" s="1007"/>
      <c r="H35" s="1007"/>
      <c r="I35" s="1008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1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2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1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06" t="s">
        <v>53</v>
      </c>
      <c r="B42" s="1007"/>
      <c r="C42" s="1007"/>
      <c r="D42" s="1007"/>
      <c r="E42" s="1007"/>
      <c r="F42" s="1007"/>
      <c r="G42" s="1007"/>
      <c r="H42" s="1007"/>
      <c r="I42" s="1008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06" t="s">
        <v>53</v>
      </c>
      <c r="B48" s="1007"/>
      <c r="C48" s="1007"/>
      <c r="D48" s="1007"/>
      <c r="E48" s="1007"/>
      <c r="F48" s="1007"/>
      <c r="G48" s="1007"/>
      <c r="H48" s="1007"/>
      <c r="I48" s="1008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2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1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06" t="s">
        <v>53</v>
      </c>
      <c r="B54" s="1007"/>
      <c r="C54" s="1007"/>
      <c r="D54" s="1007"/>
      <c r="E54" s="1007"/>
      <c r="F54" s="1007"/>
      <c r="G54" s="1007"/>
      <c r="H54" s="1007"/>
      <c r="I54" s="1008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1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2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2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21"/>
      <c r="B61" s="102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21"/>
      <c r="B62" s="102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21"/>
      <c r="B63" s="102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06" t="s">
        <v>53</v>
      </c>
      <c r="B64" s="1007"/>
      <c r="C64" s="1007"/>
      <c r="D64" s="1007"/>
      <c r="E64" s="1007"/>
      <c r="F64" s="1007"/>
      <c r="G64" s="1007"/>
      <c r="H64" s="1007"/>
      <c r="I64" s="1008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3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3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06" t="s">
        <v>53</v>
      </c>
      <c r="B70" s="1007"/>
      <c r="C70" s="1007"/>
      <c r="D70" s="1007"/>
      <c r="E70" s="1007"/>
      <c r="F70" s="1007"/>
      <c r="G70" s="1007"/>
      <c r="H70" s="1007"/>
      <c r="I70" s="1008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1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2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98" t="s">
        <v>53</v>
      </c>
      <c r="B78" s="798"/>
      <c r="C78" s="798"/>
      <c r="D78" s="798"/>
      <c r="E78" s="798"/>
      <c r="F78" s="798"/>
      <c r="G78" s="798"/>
      <c r="H78" s="798"/>
      <c r="I78" s="79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2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2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2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2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06" t="s">
        <v>53</v>
      </c>
      <c r="B86" s="1007"/>
      <c r="C86" s="1007"/>
      <c r="D86" s="1007"/>
      <c r="E86" s="1007"/>
      <c r="F86" s="1007"/>
      <c r="G86" s="1007"/>
      <c r="H86" s="1007"/>
      <c r="I86" s="1008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06" t="s">
        <v>53</v>
      </c>
      <c r="B92" s="1007"/>
      <c r="C92" s="1007"/>
      <c r="D92" s="1007"/>
      <c r="E92" s="1007"/>
      <c r="F92" s="1007"/>
      <c r="G92" s="1007"/>
      <c r="H92" s="1007"/>
      <c r="I92" s="1008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2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2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2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2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06" t="s">
        <v>53</v>
      </c>
      <c r="B101" s="1007"/>
      <c r="C101" s="1007"/>
      <c r="D101" s="1007"/>
      <c r="E101" s="1007"/>
      <c r="F101" s="1007"/>
      <c r="G101" s="1007"/>
      <c r="H101" s="1007"/>
      <c r="I101" s="1008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1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21"/>
      <c r="B107" s="103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21"/>
      <c r="B108" s="103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2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2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1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98" t="s">
        <v>53</v>
      </c>
      <c r="B112" s="798"/>
      <c r="C112" s="798"/>
      <c r="D112" s="798"/>
      <c r="E112" s="798"/>
      <c r="F112" s="798"/>
      <c r="G112" s="798"/>
      <c r="H112" s="798"/>
      <c r="I112" s="79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15" t="s">
        <v>954</v>
      </c>
      <c r="B119" s="81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16"/>
      <c r="B120" s="82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98" t="s">
        <v>53</v>
      </c>
      <c r="B121" s="798"/>
      <c r="C121" s="798"/>
      <c r="D121" s="798"/>
      <c r="E121" s="798"/>
      <c r="F121" s="798"/>
      <c r="G121" s="798"/>
      <c r="H121" s="798"/>
      <c r="I121" s="79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1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1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1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16"/>
      <c r="B129" s="102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30" t="s">
        <v>90</v>
      </c>
      <c r="J129" s="1023">
        <v>2</v>
      </c>
      <c r="K129" s="25" t="s">
        <v>52</v>
      </c>
      <c r="L129" s="25" t="s">
        <v>51</v>
      </c>
    </row>
    <row r="130" spans="1:12">
      <c r="A130" s="816"/>
      <c r="B130" s="102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30"/>
      <c r="J130" s="1025"/>
      <c r="K130" s="25" t="s">
        <v>52</v>
      </c>
      <c r="L130" s="25" t="s">
        <v>51</v>
      </c>
    </row>
    <row r="131" spans="1:12">
      <c r="A131" s="81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1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16"/>
      <c r="B133" s="85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21" t="s">
        <v>1277</v>
      </c>
      <c r="J133" s="1023">
        <v>1</v>
      </c>
      <c r="K133" s="25" t="s">
        <v>52</v>
      </c>
      <c r="L133" s="25" t="s">
        <v>51</v>
      </c>
    </row>
    <row r="134" spans="1:12">
      <c r="A134" s="816"/>
      <c r="B134" s="85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1"/>
      <c r="J134" s="1025"/>
      <c r="K134" s="25" t="s">
        <v>52</v>
      </c>
      <c r="L134" s="25" t="s">
        <v>51</v>
      </c>
    </row>
    <row r="135" spans="1:12">
      <c r="A135" s="81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1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98" t="s">
        <v>53</v>
      </c>
      <c r="B137" s="798"/>
      <c r="C137" s="798"/>
      <c r="D137" s="798"/>
      <c r="E137" s="798"/>
      <c r="F137" s="798"/>
      <c r="G137" s="798"/>
      <c r="H137" s="798"/>
      <c r="I137" s="79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16" t="s">
        <v>1007</v>
      </c>
      <c r="B142" s="85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16"/>
      <c r="B143" s="85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1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98" t="s">
        <v>53</v>
      </c>
      <c r="B145" s="798"/>
      <c r="C145" s="798"/>
      <c r="D145" s="798"/>
      <c r="E145" s="798"/>
      <c r="F145" s="798"/>
      <c r="G145" s="798"/>
      <c r="H145" s="798"/>
      <c r="I145" s="79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1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10"/>
      <c r="B150" s="81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10"/>
      <c r="B151" s="82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1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1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81" t="s">
        <v>53</v>
      </c>
      <c r="B154" s="981"/>
      <c r="C154" s="981"/>
      <c r="D154" s="981"/>
      <c r="E154" s="981"/>
      <c r="F154" s="981"/>
      <c r="G154" s="981"/>
      <c r="H154" s="981"/>
      <c r="I154" s="98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1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1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1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1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1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98" t="s">
        <v>53</v>
      </c>
      <c r="B163" s="798"/>
      <c r="C163" s="798"/>
      <c r="D163" s="798"/>
      <c r="E163" s="798"/>
      <c r="F163" s="798"/>
      <c r="G163" s="798"/>
      <c r="H163" s="798"/>
      <c r="I163" s="79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81" t="s">
        <v>53</v>
      </c>
      <c r="B167" s="981"/>
      <c r="C167" s="981"/>
      <c r="D167" s="981"/>
      <c r="E167" s="981"/>
      <c r="F167" s="981"/>
      <c r="G167" s="981"/>
      <c r="H167" s="981"/>
      <c r="I167" s="98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1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1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1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1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1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1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1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1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1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1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98" t="s">
        <v>53</v>
      </c>
      <c r="B183" s="798"/>
      <c r="C183" s="798"/>
      <c r="D183" s="798"/>
      <c r="E183" s="798"/>
      <c r="F183" s="798"/>
      <c r="G183" s="798"/>
      <c r="H183" s="798"/>
      <c r="I183" s="79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31" t="s">
        <v>1061</v>
      </c>
      <c r="B189" s="81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32"/>
      <c r="B190" s="82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32"/>
      <c r="B191" s="81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32"/>
      <c r="B192" s="82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98" t="s">
        <v>53</v>
      </c>
      <c r="B193" s="798"/>
      <c r="C193" s="798"/>
      <c r="D193" s="798"/>
      <c r="E193" s="798"/>
      <c r="F193" s="798"/>
      <c r="G193" s="798"/>
      <c r="H193" s="798"/>
      <c r="I193" s="79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1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2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2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2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81" t="s">
        <v>53</v>
      </c>
      <c r="B203" s="981"/>
      <c r="C203" s="981"/>
      <c r="D203" s="981"/>
      <c r="E203" s="981"/>
      <c r="F203" s="981"/>
      <c r="G203" s="981"/>
      <c r="H203" s="981"/>
      <c r="I203" s="98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8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8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8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8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8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8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8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81" t="s">
        <v>53</v>
      </c>
      <c r="B214" s="981"/>
      <c r="C214" s="981"/>
      <c r="D214" s="981"/>
      <c r="E214" s="981"/>
      <c r="F214" s="981"/>
      <c r="G214" s="981"/>
      <c r="H214" s="981"/>
      <c r="I214" s="98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8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8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8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8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8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8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81" t="s">
        <v>1458</v>
      </c>
      <c r="B226" s="981"/>
      <c r="C226" s="981"/>
      <c r="D226" s="981"/>
      <c r="E226" s="981"/>
      <c r="F226" s="981"/>
      <c r="G226" s="981"/>
      <c r="H226" s="981"/>
      <c r="I226" s="98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8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8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8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8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8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8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8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81" t="s">
        <v>1499</v>
      </c>
      <c r="B236" s="981"/>
      <c r="C236" s="981"/>
      <c r="D236" s="981"/>
      <c r="E236" s="981"/>
      <c r="F236" s="981"/>
      <c r="G236" s="981"/>
      <c r="H236" s="981"/>
      <c r="I236" s="98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2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2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2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2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06" t="s">
        <v>53</v>
      </c>
      <c r="B244" s="1007"/>
      <c r="C244" s="1007"/>
      <c r="D244" s="1007"/>
      <c r="E244" s="1007"/>
      <c r="F244" s="1007"/>
      <c r="G244" s="1007"/>
      <c r="H244" s="1007"/>
      <c r="I244" s="1008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2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2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2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06" t="s">
        <v>53</v>
      </c>
      <c r="B250" s="1007"/>
      <c r="C250" s="1007"/>
      <c r="D250" s="1007"/>
      <c r="E250" s="1007"/>
      <c r="F250" s="1007"/>
      <c r="G250" s="1007"/>
      <c r="H250" s="1007"/>
      <c r="I250" s="1008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2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2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2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2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06" t="s">
        <v>53</v>
      </c>
      <c r="B257" s="1007"/>
      <c r="C257" s="1007"/>
      <c r="D257" s="1007"/>
      <c r="E257" s="1007"/>
      <c r="F257" s="1007"/>
      <c r="G257" s="1007"/>
      <c r="H257" s="1007"/>
      <c r="I257" s="1008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2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2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06" t="s">
        <v>53</v>
      </c>
      <c r="B262" s="1007"/>
      <c r="C262" s="1007"/>
      <c r="D262" s="1007"/>
      <c r="E262" s="1007"/>
      <c r="F262" s="1007"/>
      <c r="G262" s="1007"/>
      <c r="H262" s="1007"/>
      <c r="I262" s="1008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1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2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2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2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24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2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25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2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1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06" t="s">
        <v>53</v>
      </c>
      <c r="B271" s="1007"/>
      <c r="C271" s="1007"/>
      <c r="D271" s="1007"/>
      <c r="E271" s="1007"/>
      <c r="F271" s="1007"/>
      <c r="G271" s="1007"/>
      <c r="H271" s="1007"/>
      <c r="I271" s="1008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06" t="s">
        <v>53</v>
      </c>
      <c r="B275" s="1007"/>
      <c r="C275" s="1007"/>
      <c r="D275" s="1007"/>
      <c r="E275" s="1007"/>
      <c r="F275" s="1007"/>
      <c r="G275" s="1007"/>
      <c r="H275" s="1007"/>
      <c r="I275" s="1008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17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18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18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18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18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1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1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1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1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1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1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1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2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06" t="s">
        <v>1646</v>
      </c>
      <c r="B296" s="1007"/>
      <c r="C296" s="1007"/>
      <c r="D296" s="1007"/>
      <c r="E296" s="1007"/>
      <c r="F296" s="1007"/>
      <c r="G296" s="1007"/>
      <c r="H296" s="1007"/>
      <c r="I296" s="1007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8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8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8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8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81" t="s">
        <v>1659</v>
      </c>
      <c r="B305" s="981"/>
      <c r="C305" s="981"/>
      <c r="D305" s="981"/>
      <c r="E305" s="981"/>
      <c r="F305" s="981"/>
      <c r="G305" s="981"/>
      <c r="H305" s="981"/>
      <c r="I305" s="98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81" t="s">
        <v>53</v>
      </c>
      <c r="B309" s="981"/>
      <c r="C309" s="981"/>
      <c r="D309" s="981"/>
      <c r="E309" s="981"/>
      <c r="F309" s="981"/>
      <c r="G309" s="981"/>
      <c r="H309" s="981"/>
      <c r="I309" s="98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8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8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81" t="s">
        <v>1659</v>
      </c>
      <c r="B314" s="981"/>
      <c r="C314" s="981"/>
      <c r="D314" s="981"/>
      <c r="E314" s="981"/>
      <c r="F314" s="981"/>
      <c r="G314" s="981"/>
      <c r="H314" s="981"/>
      <c r="I314" s="98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8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8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8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81" t="s">
        <v>1659</v>
      </c>
      <c r="B321" s="981"/>
      <c r="C321" s="981"/>
      <c r="D321" s="981"/>
      <c r="E321" s="981"/>
      <c r="F321" s="981"/>
      <c r="G321" s="981"/>
      <c r="H321" s="981"/>
      <c r="I321" s="98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8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8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8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8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8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81" t="s">
        <v>1659</v>
      </c>
      <c r="B330" s="981"/>
      <c r="C330" s="981"/>
      <c r="D330" s="981"/>
      <c r="E330" s="981"/>
      <c r="F330" s="981"/>
      <c r="G330" s="981"/>
      <c r="H330" s="981"/>
      <c r="I330" s="98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17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18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18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18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18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81" t="s">
        <v>1659</v>
      </c>
      <c r="B338" s="981"/>
      <c r="C338" s="981"/>
      <c r="D338" s="981"/>
      <c r="E338" s="981"/>
      <c r="F338" s="981"/>
      <c r="G338" s="981"/>
      <c r="H338" s="981"/>
      <c r="I338" s="98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14" t="s">
        <v>1521</v>
      </c>
      <c r="B343" s="128" t="s">
        <v>1531</v>
      </c>
      <c r="C343" s="858" t="s">
        <v>306</v>
      </c>
      <c r="D343" s="858" t="s">
        <v>322</v>
      </c>
      <c r="E343" s="840" t="s">
        <v>307</v>
      </c>
      <c r="F343" s="1013">
        <v>4266</v>
      </c>
      <c r="G343" s="858" t="s">
        <v>640</v>
      </c>
      <c r="H343" s="1013" t="s">
        <v>1533</v>
      </c>
      <c r="I343" s="858" t="s">
        <v>1534</v>
      </c>
      <c r="J343" s="840">
        <v>2</v>
      </c>
      <c r="K343" s="1011" t="s">
        <v>50</v>
      </c>
      <c r="L343" s="1011" t="s">
        <v>51</v>
      </c>
    </row>
    <row r="344" spans="1:13">
      <c r="A344" s="1015"/>
      <c r="B344" s="129" t="s">
        <v>1532</v>
      </c>
      <c r="C344" s="841"/>
      <c r="D344" s="841"/>
      <c r="E344" s="841"/>
      <c r="F344" s="846"/>
      <c r="G344" s="841"/>
      <c r="H344" s="846"/>
      <c r="I344" s="841"/>
      <c r="J344" s="841"/>
      <c r="K344" s="1012"/>
      <c r="L344" s="1012"/>
    </row>
    <row r="345" spans="1:13">
      <c r="A345" s="1015"/>
      <c r="B345" s="128" t="s">
        <v>1536</v>
      </c>
      <c r="C345" s="840" t="s">
        <v>306</v>
      </c>
      <c r="D345" s="840" t="s">
        <v>322</v>
      </c>
      <c r="E345" s="840" t="s">
        <v>307</v>
      </c>
      <c r="F345" s="845">
        <v>3306</v>
      </c>
      <c r="G345" s="840" t="s">
        <v>1153</v>
      </c>
      <c r="H345" s="845" t="s">
        <v>1538</v>
      </c>
      <c r="I345" s="840" t="s">
        <v>1534</v>
      </c>
      <c r="J345" s="840">
        <v>2</v>
      </c>
      <c r="K345" s="1011" t="s">
        <v>50</v>
      </c>
      <c r="L345" s="1011" t="s">
        <v>51</v>
      </c>
    </row>
    <row r="346" spans="1:13">
      <c r="A346" s="1016"/>
      <c r="B346" s="129" t="s">
        <v>1537</v>
      </c>
      <c r="C346" s="841"/>
      <c r="D346" s="841"/>
      <c r="E346" s="841"/>
      <c r="F346" s="846"/>
      <c r="G346" s="841"/>
      <c r="H346" s="846"/>
      <c r="I346" s="841"/>
      <c r="J346" s="841"/>
      <c r="K346" s="1012"/>
      <c r="L346" s="1012"/>
    </row>
    <row r="347" spans="1:13">
      <c r="A347" s="1006" t="s">
        <v>53</v>
      </c>
      <c r="B347" s="1007"/>
      <c r="C347" s="1007"/>
      <c r="D347" s="1007"/>
      <c r="E347" s="1007"/>
      <c r="F347" s="1007"/>
      <c r="G347" s="1007"/>
      <c r="H347" s="1007"/>
      <c r="I347" s="1008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1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1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1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1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1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1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1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98" t="s">
        <v>53</v>
      </c>
      <c r="B357" s="798"/>
      <c r="C357" s="798"/>
      <c r="D357" s="798"/>
      <c r="E357" s="798"/>
      <c r="F357" s="798"/>
      <c r="G357" s="798"/>
      <c r="H357" s="798"/>
      <c r="I357" s="79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81" t="s">
        <v>1458</v>
      </c>
      <c r="B361" s="981"/>
      <c r="C361" s="981"/>
      <c r="D361" s="981"/>
      <c r="E361" s="981"/>
      <c r="F361" s="981"/>
      <c r="G361" s="981"/>
      <c r="H361" s="981"/>
      <c r="I361" s="98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1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8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8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8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8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8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81" t="s">
        <v>1659</v>
      </c>
      <c r="B370" s="981"/>
      <c r="C370" s="981"/>
      <c r="D370" s="981"/>
      <c r="E370" s="981"/>
      <c r="F370" s="981"/>
      <c r="G370" s="981"/>
      <c r="H370" s="981"/>
      <c r="I370" s="98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17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18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18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18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18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98" t="s">
        <v>1646</v>
      </c>
      <c r="B378" s="798"/>
      <c r="C378" s="798"/>
      <c r="D378" s="798"/>
      <c r="E378" s="798"/>
      <c r="F378" s="798"/>
      <c r="G378" s="798"/>
      <c r="H378" s="798"/>
      <c r="I378" s="798"/>
      <c r="J378" s="798"/>
      <c r="K378" s="4">
        <v>25</v>
      </c>
      <c r="L378" s="55"/>
    </row>
    <row r="381" spans="1:12">
      <c r="B381" s="1034" t="s">
        <v>1</v>
      </c>
      <c r="C381" s="1034" t="s">
        <v>2</v>
      </c>
      <c r="D381" s="1034" t="s">
        <v>3</v>
      </c>
      <c r="E381" s="36" t="s">
        <v>54</v>
      </c>
      <c r="F381" s="1034" t="s">
        <v>5</v>
      </c>
      <c r="G381" s="1034" t="s">
        <v>6</v>
      </c>
      <c r="H381" s="1034" t="s">
        <v>7</v>
      </c>
      <c r="I381" s="1034" t="s">
        <v>55</v>
      </c>
      <c r="J381" s="1034" t="s">
        <v>9</v>
      </c>
      <c r="K381" s="1036" t="s">
        <v>56</v>
      </c>
      <c r="L381" s="1034" t="s">
        <v>57</v>
      </c>
    </row>
    <row r="382" spans="1:12">
      <c r="B382" s="1035"/>
      <c r="C382" s="1035"/>
      <c r="D382" s="1035"/>
      <c r="E382" s="37" t="s">
        <v>59</v>
      </c>
      <c r="F382" s="1035"/>
      <c r="G382" s="1035"/>
      <c r="H382" s="1035"/>
      <c r="I382" s="1035"/>
      <c r="J382" s="1035"/>
      <c r="K382" s="1037"/>
      <c r="L382" s="1035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81" t="s">
        <v>53</v>
      </c>
      <c r="B394" s="981"/>
      <c r="C394" s="981"/>
      <c r="D394" s="981"/>
      <c r="E394" s="981"/>
      <c r="F394" s="981"/>
      <c r="G394" s="981"/>
      <c r="H394" s="981"/>
      <c r="I394" s="98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17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18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18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18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81" t="s">
        <v>53</v>
      </c>
      <c r="B401" s="981"/>
      <c r="C401" s="981"/>
      <c r="D401" s="981"/>
      <c r="E401" s="981"/>
      <c r="F401" s="981"/>
      <c r="G401" s="981"/>
      <c r="H401" s="981"/>
      <c r="I401" s="98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02" t="s">
        <v>229</v>
      </c>
      <c r="B405" s="1009" t="s">
        <v>1805</v>
      </c>
      <c r="C405" s="1009" t="s">
        <v>700</v>
      </c>
      <c r="D405" s="1038" t="s">
        <v>675</v>
      </c>
      <c r="E405" s="1009" t="s">
        <v>1806</v>
      </c>
      <c r="F405" s="1009" t="s">
        <v>1807</v>
      </c>
      <c r="G405" s="1009" t="s">
        <v>662</v>
      </c>
      <c r="H405" s="1039" t="s">
        <v>1808</v>
      </c>
      <c r="I405" s="1038"/>
      <c r="J405" s="1039">
        <v>1</v>
      </c>
      <c r="K405" s="1011" t="s">
        <v>631</v>
      </c>
      <c r="L405" s="955" t="s">
        <v>51</v>
      </c>
    </row>
    <row r="406" spans="1:12" ht="13.5" customHeight="1">
      <c r="A406" s="1002"/>
      <c r="B406" s="1009"/>
      <c r="C406" s="1009"/>
      <c r="D406" s="1038"/>
      <c r="E406" s="1009"/>
      <c r="F406" s="1009"/>
      <c r="G406" s="1009"/>
      <c r="H406" s="1039"/>
      <c r="I406" s="1038"/>
      <c r="J406" s="1039"/>
      <c r="K406" s="1012"/>
      <c r="L406" s="957"/>
    </row>
    <row r="407" spans="1:12" ht="27" customHeight="1">
      <c r="A407" s="1002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02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02" t="s">
        <v>1646</v>
      </c>
      <c r="B409" s="1002"/>
      <c r="C409" s="1002"/>
      <c r="D409" s="1002"/>
      <c r="E409" s="1002"/>
      <c r="F409" s="1002"/>
      <c r="G409" s="1002"/>
      <c r="H409" s="1002"/>
      <c r="I409" s="1002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02" t="s">
        <v>2008</v>
      </c>
      <c r="B412" s="1040" t="s">
        <v>2009</v>
      </c>
      <c r="C412" s="1011" t="s">
        <v>21</v>
      </c>
      <c r="D412" s="853" t="s">
        <v>14</v>
      </c>
      <c r="E412" s="1011" t="s">
        <v>78</v>
      </c>
      <c r="F412" s="1009" t="s">
        <v>2010</v>
      </c>
      <c r="G412" s="1009" t="s">
        <v>40</v>
      </c>
      <c r="H412" s="1039" t="s">
        <v>614</v>
      </c>
      <c r="I412" s="1038"/>
      <c r="J412" s="1039">
        <v>1</v>
      </c>
      <c r="K412" s="1011" t="s">
        <v>2011</v>
      </c>
      <c r="L412" s="955" t="s">
        <v>1997</v>
      </c>
    </row>
    <row r="413" spans="1:12" ht="20.100000000000001" customHeight="1">
      <c r="A413" s="1002"/>
      <c r="B413" s="1009"/>
      <c r="C413" s="1012"/>
      <c r="D413" s="854"/>
      <c r="E413" s="1012"/>
      <c r="F413" s="1009"/>
      <c r="G413" s="1009"/>
      <c r="H413" s="1039"/>
      <c r="I413" s="1038"/>
      <c r="J413" s="1039"/>
      <c r="K413" s="1012"/>
      <c r="L413" s="957"/>
    </row>
    <row r="414" spans="1:12" ht="20.100000000000001" customHeight="1">
      <c r="A414" s="1002" t="s">
        <v>1646</v>
      </c>
      <c r="B414" s="1002"/>
      <c r="C414" s="1002"/>
      <c r="D414" s="1002"/>
      <c r="E414" s="1002"/>
      <c r="F414" s="1002"/>
      <c r="G414" s="1002"/>
      <c r="H414" s="1002"/>
      <c r="I414" s="1002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5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56"/>
      <c r="B418" s="78" t="s">
        <v>1748</v>
      </c>
      <c r="C418" s="1038" t="s">
        <v>306</v>
      </c>
      <c r="D418" s="1038" t="s">
        <v>322</v>
      </c>
      <c r="E418" s="1038" t="s">
        <v>307</v>
      </c>
      <c r="F418" s="1039">
        <v>3306</v>
      </c>
      <c r="G418" s="1038" t="s">
        <v>1153</v>
      </c>
      <c r="H418" s="1039" t="s">
        <v>1749</v>
      </c>
      <c r="I418" s="1038" t="s">
        <v>664</v>
      </c>
      <c r="J418" s="1038">
        <v>4</v>
      </c>
      <c r="K418" s="1011" t="s">
        <v>631</v>
      </c>
      <c r="L418" s="955" t="s">
        <v>51</v>
      </c>
    </row>
    <row r="419" spans="1:12" ht="13.5" customHeight="1">
      <c r="A419" s="956"/>
      <c r="B419" s="79" t="s">
        <v>1751</v>
      </c>
      <c r="C419" s="1038"/>
      <c r="D419" s="1038"/>
      <c r="E419" s="1038"/>
      <c r="F419" s="1039"/>
      <c r="G419" s="1038"/>
      <c r="H419" s="1039"/>
      <c r="I419" s="1038"/>
      <c r="J419" s="1038"/>
      <c r="K419" s="1012"/>
      <c r="L419" s="957"/>
    </row>
    <row r="420" spans="1:12" ht="13.5" customHeight="1">
      <c r="A420" s="956"/>
      <c r="B420" s="78" t="s">
        <v>1800</v>
      </c>
      <c r="C420" s="1038" t="s">
        <v>306</v>
      </c>
      <c r="D420" s="1038" t="s">
        <v>322</v>
      </c>
      <c r="E420" s="1038" t="s">
        <v>307</v>
      </c>
      <c r="F420" s="1039" t="s">
        <v>1801</v>
      </c>
      <c r="G420" s="1038" t="s">
        <v>1802</v>
      </c>
      <c r="H420" s="1039" t="s">
        <v>1803</v>
      </c>
      <c r="I420" s="1038" t="s">
        <v>664</v>
      </c>
      <c r="J420" s="1038">
        <v>5</v>
      </c>
      <c r="K420" s="1011" t="s">
        <v>631</v>
      </c>
      <c r="L420" s="955" t="s">
        <v>51</v>
      </c>
    </row>
    <row r="421" spans="1:12" ht="13.5" customHeight="1">
      <c r="A421" s="956"/>
      <c r="B421" s="79" t="s">
        <v>1795</v>
      </c>
      <c r="C421" s="1038"/>
      <c r="D421" s="1038"/>
      <c r="E421" s="1038"/>
      <c r="F421" s="1039"/>
      <c r="G421" s="1038"/>
      <c r="H421" s="1039"/>
      <c r="I421" s="1038"/>
      <c r="J421" s="1038"/>
      <c r="K421" s="1012"/>
      <c r="L421" s="957"/>
    </row>
    <row r="422" spans="1:12" ht="27" customHeight="1">
      <c r="A422" s="95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02" t="s">
        <v>1646</v>
      </c>
      <c r="B423" s="1002"/>
      <c r="C423" s="1002"/>
      <c r="D423" s="1002"/>
      <c r="E423" s="1002"/>
      <c r="F423" s="1002"/>
      <c r="G423" s="1002"/>
      <c r="H423" s="1002"/>
      <c r="I423" s="1002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7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8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8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8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81" t="s">
        <v>1646</v>
      </c>
      <c r="B431" s="981"/>
      <c r="C431" s="981"/>
      <c r="D431" s="981"/>
      <c r="E431" s="981"/>
      <c r="F431" s="981"/>
      <c r="G431" s="981"/>
      <c r="H431" s="981"/>
      <c r="I431" s="98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8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7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81" t="s">
        <v>1646</v>
      </c>
      <c r="B435" s="981"/>
      <c r="C435" s="981"/>
      <c r="D435" s="981"/>
      <c r="E435" s="981"/>
      <c r="F435" s="981"/>
      <c r="G435" s="981"/>
      <c r="H435" s="981"/>
      <c r="I435" s="98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18" t="s">
        <v>2027</v>
      </c>
      <c r="B438" s="252" t="s">
        <v>1760</v>
      </c>
      <c r="C438" s="911" t="s">
        <v>306</v>
      </c>
      <c r="D438" s="911" t="s">
        <v>322</v>
      </c>
      <c r="E438" s="911" t="s">
        <v>307</v>
      </c>
      <c r="F438" s="1041" t="s">
        <v>1761</v>
      </c>
      <c r="G438" s="911" t="s">
        <v>329</v>
      </c>
      <c r="H438" s="1023" t="s">
        <v>1762</v>
      </c>
      <c r="I438" s="859" t="s">
        <v>664</v>
      </c>
      <c r="J438" s="1043">
        <v>2</v>
      </c>
      <c r="K438" s="1011" t="s">
        <v>1996</v>
      </c>
      <c r="L438" s="1011" t="s">
        <v>51</v>
      </c>
    </row>
    <row r="439" spans="1:12" ht="13.5" customHeight="1">
      <c r="A439" s="819"/>
      <c r="B439" s="253" t="s">
        <v>2028</v>
      </c>
      <c r="C439" s="912"/>
      <c r="D439" s="912"/>
      <c r="E439" s="912"/>
      <c r="F439" s="1042"/>
      <c r="G439" s="912"/>
      <c r="H439" s="1025"/>
      <c r="I439" s="860"/>
      <c r="J439" s="1044"/>
      <c r="K439" s="1012"/>
      <c r="L439" s="1012"/>
    </row>
    <row r="440" spans="1:12" ht="13.5" customHeight="1">
      <c r="A440" s="819"/>
      <c r="B440" s="254" t="s">
        <v>1794</v>
      </c>
      <c r="C440" s="799" t="s">
        <v>306</v>
      </c>
      <c r="D440" s="799" t="s">
        <v>322</v>
      </c>
      <c r="E440" s="799" t="s">
        <v>307</v>
      </c>
      <c r="F440" s="806" t="s">
        <v>1796</v>
      </c>
      <c r="G440" s="799" t="s">
        <v>1797</v>
      </c>
      <c r="H440" s="806" t="s">
        <v>1792</v>
      </c>
      <c r="I440" s="799" t="s">
        <v>664</v>
      </c>
      <c r="J440" s="840">
        <v>4</v>
      </c>
      <c r="K440" s="1011" t="s">
        <v>631</v>
      </c>
      <c r="L440" s="1011" t="s">
        <v>1997</v>
      </c>
    </row>
    <row r="441" spans="1:12" ht="13.5" customHeight="1">
      <c r="A441" s="819"/>
      <c r="B441" s="255" t="s">
        <v>1795</v>
      </c>
      <c r="C441" s="799"/>
      <c r="D441" s="799"/>
      <c r="E441" s="799"/>
      <c r="F441" s="806"/>
      <c r="G441" s="799"/>
      <c r="H441" s="806"/>
      <c r="I441" s="799"/>
      <c r="J441" s="841"/>
      <c r="K441" s="1012"/>
      <c r="L441" s="1012"/>
    </row>
    <row r="442" spans="1:12" ht="20.100000000000001" customHeight="1">
      <c r="A442" s="81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1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1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1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1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1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1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2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06" t="s">
        <v>1646</v>
      </c>
      <c r="B450" s="1007"/>
      <c r="C450" s="1007"/>
      <c r="D450" s="1007"/>
      <c r="E450" s="1007"/>
      <c r="F450" s="1007"/>
      <c r="G450" s="1007"/>
      <c r="H450" s="1007"/>
      <c r="I450" s="1007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15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16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16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98" t="s">
        <v>2059</v>
      </c>
      <c r="B459" s="798"/>
      <c r="C459" s="798"/>
      <c r="D459" s="798"/>
      <c r="E459" s="798"/>
      <c r="F459" s="798"/>
      <c r="G459" s="798"/>
      <c r="H459" s="798"/>
      <c r="I459" s="798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7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83"/>
      <c r="B463" s="1045" t="s">
        <v>1767</v>
      </c>
      <c r="C463" s="1046" t="s">
        <v>311</v>
      </c>
      <c r="D463" s="1046" t="s">
        <v>320</v>
      </c>
      <c r="E463" s="1046" t="s">
        <v>709</v>
      </c>
      <c r="F463" s="1046" t="s">
        <v>1768</v>
      </c>
      <c r="G463" s="1045" t="s">
        <v>1769</v>
      </c>
      <c r="H463" s="258" t="s">
        <v>1770</v>
      </c>
      <c r="I463" s="1046"/>
      <c r="J463" s="1046">
        <v>1</v>
      </c>
      <c r="K463" s="853" t="s">
        <v>631</v>
      </c>
      <c r="L463" s="883" t="s">
        <v>51</v>
      </c>
    </row>
    <row r="464" spans="1:12" ht="13.5" customHeight="1">
      <c r="A464" s="983"/>
      <c r="B464" s="1045"/>
      <c r="C464" s="1046"/>
      <c r="D464" s="1046"/>
      <c r="E464" s="1046"/>
      <c r="F464" s="1046"/>
      <c r="G464" s="1045"/>
      <c r="H464" s="259" t="s">
        <v>1773</v>
      </c>
      <c r="I464" s="1046"/>
      <c r="J464" s="1046"/>
      <c r="K464" s="854"/>
      <c r="L464" s="884"/>
    </row>
    <row r="465" spans="1:12" ht="13.5" customHeight="1">
      <c r="A465" s="983"/>
      <c r="B465" s="1047" t="s">
        <v>1813</v>
      </c>
      <c r="C465" s="1009" t="s">
        <v>700</v>
      </c>
      <c r="D465" s="1038" t="s">
        <v>320</v>
      </c>
      <c r="E465" s="1038" t="s">
        <v>337</v>
      </c>
      <c r="F465" s="1009" t="s">
        <v>353</v>
      </c>
      <c r="G465" s="1009" t="s">
        <v>1814</v>
      </c>
      <c r="H465" s="1039" t="s">
        <v>1815</v>
      </c>
      <c r="I465" s="1038" t="s">
        <v>638</v>
      </c>
      <c r="J465" s="1039">
        <v>2</v>
      </c>
      <c r="K465" s="1011" t="s">
        <v>631</v>
      </c>
      <c r="L465" s="1011" t="s">
        <v>51</v>
      </c>
    </row>
    <row r="466" spans="1:12" ht="13.5" customHeight="1">
      <c r="A466" s="983"/>
      <c r="B466" s="1047"/>
      <c r="C466" s="1009"/>
      <c r="D466" s="1038"/>
      <c r="E466" s="1038"/>
      <c r="F466" s="1009"/>
      <c r="G466" s="1009"/>
      <c r="H466" s="1039"/>
      <c r="I466" s="1038"/>
      <c r="J466" s="1039"/>
      <c r="K466" s="1012"/>
      <c r="L466" s="1012"/>
    </row>
    <row r="467" spans="1:12" ht="27" customHeight="1">
      <c r="A467" s="98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83"/>
      <c r="B468" s="1009" t="s">
        <v>1820</v>
      </c>
      <c r="C468" s="1009" t="s">
        <v>700</v>
      </c>
      <c r="D468" s="1038" t="s">
        <v>320</v>
      </c>
      <c r="E468" s="1038" t="s">
        <v>709</v>
      </c>
      <c r="F468" s="1038" t="s">
        <v>1768</v>
      </c>
      <c r="G468" s="1009" t="s">
        <v>1821</v>
      </c>
      <c r="H468" s="261" t="s">
        <v>1822</v>
      </c>
      <c r="I468" s="1038" t="s">
        <v>638</v>
      </c>
      <c r="J468" s="1038">
        <v>2</v>
      </c>
      <c r="K468" s="1011" t="s">
        <v>631</v>
      </c>
      <c r="L468" s="1011" t="s">
        <v>51</v>
      </c>
    </row>
    <row r="469" spans="1:12" ht="13.5" customHeight="1">
      <c r="A469" s="983"/>
      <c r="B469" s="1009"/>
      <c r="C469" s="1009"/>
      <c r="D469" s="1038"/>
      <c r="E469" s="1038"/>
      <c r="F469" s="1038"/>
      <c r="G469" s="1009"/>
      <c r="H469" s="262" t="s">
        <v>1823</v>
      </c>
      <c r="I469" s="1038"/>
      <c r="J469" s="1038"/>
      <c r="K469" s="1012"/>
      <c r="L469" s="1012"/>
    </row>
    <row r="470" spans="1:12" ht="27" customHeight="1">
      <c r="A470" s="98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7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81" t="s">
        <v>53</v>
      </c>
      <c r="B472" s="981"/>
      <c r="C472" s="981"/>
      <c r="D472" s="981"/>
      <c r="E472" s="981"/>
      <c r="F472" s="981"/>
      <c r="G472" s="981"/>
      <c r="H472" s="981"/>
      <c r="I472" s="98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81" t="s">
        <v>228</v>
      </c>
      <c r="B476" s="1045" t="s">
        <v>1767</v>
      </c>
      <c r="C476" s="1046" t="s">
        <v>311</v>
      </c>
      <c r="D476" s="1046" t="s">
        <v>320</v>
      </c>
      <c r="E476" s="1046" t="s">
        <v>709</v>
      </c>
      <c r="F476" s="1046" t="s">
        <v>1768</v>
      </c>
      <c r="G476" s="1045" t="s">
        <v>1769</v>
      </c>
      <c r="H476" s="258" t="s">
        <v>1770</v>
      </c>
      <c r="I476" s="1046"/>
      <c r="J476" s="1046">
        <v>1</v>
      </c>
      <c r="K476" s="853" t="s">
        <v>631</v>
      </c>
      <c r="L476" s="883" t="s">
        <v>51</v>
      </c>
    </row>
    <row r="477" spans="1:12" ht="13.5" customHeight="1">
      <c r="A477" s="981"/>
      <c r="B477" s="1045"/>
      <c r="C477" s="1046"/>
      <c r="D477" s="1046"/>
      <c r="E477" s="1046"/>
      <c r="F477" s="1046"/>
      <c r="G477" s="1045"/>
      <c r="H477" s="259" t="s">
        <v>1773</v>
      </c>
      <c r="I477" s="1046"/>
      <c r="J477" s="1046"/>
      <c r="K477" s="854"/>
      <c r="L477" s="884"/>
    </row>
    <row r="478" spans="1:12" ht="27" customHeight="1">
      <c r="A478" s="98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81" t="s">
        <v>1646</v>
      </c>
      <c r="B479" s="981"/>
      <c r="C479" s="981"/>
      <c r="D479" s="981"/>
      <c r="E479" s="981"/>
      <c r="F479" s="981"/>
      <c r="G479" s="981"/>
      <c r="H479" s="981"/>
      <c r="I479" s="98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11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2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2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2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1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06" t="s">
        <v>53</v>
      </c>
      <c r="B487" s="1007"/>
      <c r="C487" s="1007"/>
      <c r="D487" s="1007"/>
      <c r="E487" s="1007"/>
      <c r="F487" s="1007"/>
      <c r="G487" s="1007"/>
      <c r="H487" s="1007"/>
      <c r="I487" s="1008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0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05"/>
      <c r="B494" s="1048" t="s">
        <v>2182</v>
      </c>
      <c r="C494" s="1048" t="s">
        <v>306</v>
      </c>
      <c r="D494" s="1048" t="s">
        <v>322</v>
      </c>
      <c r="E494" s="1048" t="s">
        <v>307</v>
      </c>
      <c r="F494" s="1049" t="s">
        <v>1919</v>
      </c>
      <c r="G494" s="1048" t="s">
        <v>662</v>
      </c>
      <c r="H494" s="1049" t="s">
        <v>1920</v>
      </c>
      <c r="I494" s="1048" t="s">
        <v>349</v>
      </c>
      <c r="J494" s="1048">
        <v>2</v>
      </c>
      <c r="K494" s="1009" t="s">
        <v>50</v>
      </c>
      <c r="L494" s="222">
        <v>23</v>
      </c>
    </row>
    <row r="495" spans="1:12" ht="12.6" customHeight="1">
      <c r="A495" s="1005"/>
      <c r="B495" s="1048"/>
      <c r="C495" s="1048"/>
      <c r="D495" s="1048"/>
      <c r="E495" s="1048"/>
      <c r="F495" s="1049"/>
      <c r="G495" s="1048"/>
      <c r="H495" s="1049"/>
      <c r="I495" s="1048"/>
      <c r="J495" s="1048"/>
      <c r="K495" s="1009"/>
    </row>
    <row r="496" spans="1:12" ht="24.95" customHeight="1">
      <c r="A496" s="100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0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0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0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81" t="s">
        <v>53</v>
      </c>
      <c r="B500" s="981"/>
      <c r="C500" s="981"/>
      <c r="D500" s="981"/>
      <c r="E500" s="981"/>
      <c r="F500" s="981"/>
      <c r="G500" s="981"/>
      <c r="H500" s="981"/>
      <c r="I500" s="98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9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9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9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9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9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81" t="s">
        <v>2217</v>
      </c>
      <c r="B511" s="981"/>
      <c r="C511" s="981"/>
      <c r="D511" s="981"/>
      <c r="E511" s="981"/>
      <c r="F511" s="981"/>
      <c r="G511" s="981"/>
      <c r="H511" s="981"/>
      <c r="I511" s="98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9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9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9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9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9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9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9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98" t="s">
        <v>2233</v>
      </c>
      <c r="B522" s="798"/>
      <c r="C522" s="798"/>
      <c r="D522" s="798"/>
      <c r="E522" s="798"/>
      <c r="F522" s="798"/>
      <c r="G522" s="798"/>
      <c r="H522" s="798"/>
      <c r="I522" s="798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81" t="s">
        <v>2238</v>
      </c>
      <c r="B528" s="981"/>
      <c r="C528" s="981"/>
      <c r="D528" s="981"/>
      <c r="E528" s="981"/>
      <c r="F528" s="981"/>
      <c r="G528" s="981"/>
      <c r="H528" s="981"/>
      <c r="I528" s="98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9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9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9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81" t="s">
        <v>2233</v>
      </c>
      <c r="B535" s="981"/>
      <c r="C535" s="981"/>
      <c r="D535" s="981"/>
      <c r="E535" s="981"/>
      <c r="F535" s="981"/>
      <c r="G535" s="981"/>
      <c r="H535" s="981"/>
      <c r="I535" s="98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06" t="s">
        <v>2238</v>
      </c>
      <c r="B540" s="1007"/>
      <c r="C540" s="1007"/>
      <c r="D540" s="1007"/>
      <c r="E540" s="1007"/>
      <c r="F540" s="1007"/>
      <c r="G540" s="1007"/>
      <c r="H540" s="1007"/>
      <c r="I540" s="1008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8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8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02" t="s">
        <v>2233</v>
      </c>
      <c r="B546" s="1002"/>
      <c r="C546" s="1002"/>
      <c r="D546" s="1002"/>
      <c r="E546" s="1002"/>
      <c r="F546" s="1002"/>
      <c r="G546" s="1002"/>
      <c r="H546" s="1002"/>
      <c r="I546" s="1002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81" t="s">
        <v>2233</v>
      </c>
      <c r="B550" s="981"/>
      <c r="C550" s="981"/>
      <c r="D550" s="981"/>
      <c r="E550" s="981"/>
      <c r="F550" s="981"/>
      <c r="G550" s="981"/>
      <c r="H550" s="981"/>
      <c r="I550" s="98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0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0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0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0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0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0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0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0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0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0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0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81" t="s">
        <v>2233</v>
      </c>
      <c r="B565" s="981"/>
      <c r="C565" s="981"/>
      <c r="D565" s="981"/>
      <c r="E565" s="981"/>
      <c r="F565" s="981"/>
      <c r="G565" s="981"/>
      <c r="H565" s="981"/>
      <c r="I565" s="98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21" t="s">
        <v>306</v>
      </c>
      <c r="D569" s="821" t="s">
        <v>322</v>
      </c>
      <c r="E569" s="821" t="s">
        <v>307</v>
      </c>
      <c r="F569" s="821">
        <v>3306</v>
      </c>
      <c r="G569" s="821" t="s">
        <v>1153</v>
      </c>
      <c r="H569" s="821" t="s">
        <v>1907</v>
      </c>
      <c r="I569" s="821" t="s">
        <v>1111</v>
      </c>
      <c r="J569" s="821" t="s">
        <v>692</v>
      </c>
      <c r="K569" s="1000" t="s">
        <v>2291</v>
      </c>
    </row>
    <row r="570" spans="1:12">
      <c r="B570" s="243" t="s">
        <v>1909</v>
      </c>
      <c r="C570" s="822"/>
      <c r="D570" s="822"/>
      <c r="E570" s="822"/>
      <c r="F570" s="822"/>
      <c r="G570" s="822"/>
      <c r="H570" s="822"/>
      <c r="I570" s="822"/>
      <c r="J570" s="822"/>
      <c r="K570" s="100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0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0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0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0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0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0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0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81" t="s">
        <v>1458</v>
      </c>
      <c r="B582" s="981"/>
      <c r="C582" s="981"/>
      <c r="D582" s="981"/>
      <c r="E582" s="981"/>
      <c r="F582" s="981"/>
      <c r="G582" s="981"/>
      <c r="H582" s="981"/>
      <c r="I582" s="98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9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9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81" t="s">
        <v>2393</v>
      </c>
      <c r="B588" s="981"/>
      <c r="C588" s="981"/>
      <c r="D588" s="981"/>
      <c r="E588" s="981"/>
      <c r="F588" s="981"/>
      <c r="G588" s="981"/>
      <c r="H588" s="981"/>
      <c r="I588" s="98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98" t="s">
        <v>2406</v>
      </c>
      <c r="B592" s="798"/>
      <c r="C592" s="798"/>
      <c r="D592" s="798"/>
      <c r="E592" s="798"/>
      <c r="F592" s="798"/>
      <c r="G592" s="798"/>
      <c r="H592" s="798"/>
      <c r="I592" s="798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9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9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9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9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9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9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98" t="s">
        <v>2406</v>
      </c>
      <c r="B601" s="798"/>
      <c r="C601" s="798"/>
      <c r="D601" s="798"/>
      <c r="E601" s="798"/>
      <c r="F601" s="798"/>
      <c r="G601" s="798"/>
      <c r="H601" s="798"/>
      <c r="I601" s="798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81" t="s">
        <v>2437</v>
      </c>
      <c r="B606" s="981"/>
      <c r="C606" s="981"/>
      <c r="D606" s="981"/>
      <c r="E606" s="981"/>
      <c r="F606" s="981"/>
      <c r="G606" s="981"/>
      <c r="H606" s="981"/>
      <c r="I606" s="98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9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9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9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81" t="s">
        <v>2406</v>
      </c>
      <c r="B613" s="981"/>
      <c r="C613" s="981"/>
      <c r="D613" s="981"/>
      <c r="E613" s="981"/>
      <c r="F613" s="981"/>
      <c r="G613" s="981"/>
      <c r="H613" s="981"/>
      <c r="I613" s="98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0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0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0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0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0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0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0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0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0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0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81" t="s">
        <v>2406</v>
      </c>
      <c r="B627" s="981"/>
      <c r="C627" s="981"/>
      <c r="D627" s="981"/>
      <c r="E627" s="981"/>
      <c r="F627" s="981"/>
      <c r="G627" s="981"/>
      <c r="H627" s="981"/>
      <c r="I627" s="98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5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5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5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5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5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5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5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5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5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5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5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5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5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5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5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5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5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5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5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5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55" t="s">
        <v>1646</v>
      </c>
      <c r="B655" s="1055"/>
      <c r="C655" s="1055"/>
      <c r="D655" s="1055"/>
      <c r="E655" s="1055"/>
      <c r="F655" s="1055"/>
      <c r="G655" s="1055"/>
      <c r="H655" s="1055"/>
      <c r="I655" s="105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5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5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5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5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5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5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5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5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5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5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5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5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5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5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55" t="s">
        <v>1646</v>
      </c>
      <c r="B674" s="1055"/>
      <c r="C674" s="1055"/>
      <c r="D674" s="1055"/>
      <c r="E674" s="1055"/>
      <c r="F674" s="1055"/>
      <c r="G674" s="1055"/>
      <c r="H674" s="1055"/>
      <c r="I674" s="105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5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5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5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5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55" t="s">
        <v>1646</v>
      </c>
      <c r="B681" s="1055"/>
      <c r="C681" s="1055"/>
      <c r="D681" s="1055"/>
      <c r="E681" s="1055"/>
      <c r="F681" s="1055"/>
      <c r="G681" s="1055"/>
      <c r="H681" s="1055"/>
      <c r="I681" s="105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5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5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50" t="s">
        <v>1646</v>
      </c>
      <c r="B688" s="1050"/>
      <c r="C688" s="1050"/>
      <c r="D688" s="1050"/>
      <c r="E688" s="1050"/>
      <c r="F688" s="1050"/>
      <c r="G688" s="1050"/>
      <c r="H688" s="1050"/>
      <c r="I688" s="105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5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5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5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5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5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5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5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50" t="s">
        <v>1646</v>
      </c>
      <c r="B699" s="1050"/>
      <c r="C699" s="1050"/>
      <c r="D699" s="1050"/>
      <c r="E699" s="1050"/>
      <c r="F699" s="1050"/>
      <c r="G699" s="1050"/>
      <c r="H699" s="1050"/>
      <c r="I699" s="1050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997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997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997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997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997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997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997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997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997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997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997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997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997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998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999" t="s">
        <v>1646</v>
      </c>
      <c r="B717" s="999"/>
      <c r="C717" s="999"/>
      <c r="D717" s="999"/>
      <c r="E717" s="999"/>
      <c r="F717" s="999"/>
      <c r="G717" s="999"/>
      <c r="H717" s="999"/>
      <c r="I717" s="999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5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5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5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5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5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5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5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6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999" t="s">
        <v>1646</v>
      </c>
      <c r="B731" s="999"/>
      <c r="C731" s="999"/>
      <c r="D731" s="999"/>
      <c r="E731" s="999"/>
      <c r="F731" s="999"/>
      <c r="G731" s="999"/>
      <c r="H731" s="999"/>
      <c r="I731" s="999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6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6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6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6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6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6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6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6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6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6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6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6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6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999" t="s">
        <v>1646</v>
      </c>
      <c r="B749" s="999"/>
      <c r="C749" s="999"/>
      <c r="D749" s="999"/>
      <c r="E749" s="999"/>
      <c r="F749" s="999"/>
      <c r="G749" s="999"/>
      <c r="H749" s="999"/>
      <c r="I749" s="999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6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6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6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6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6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6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6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6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64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56" t="s">
        <v>1646</v>
      </c>
      <c r="B762" s="1056"/>
      <c r="C762" s="1056"/>
      <c r="D762" s="1056"/>
      <c r="E762" s="1056"/>
      <c r="F762" s="1056"/>
      <c r="G762" s="1056"/>
      <c r="H762" s="1056"/>
      <c r="I762" s="1056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65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66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66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66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67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56" t="s">
        <v>1646</v>
      </c>
      <c r="B770" s="1056"/>
      <c r="C770" s="1056"/>
      <c r="D770" s="1056"/>
      <c r="E770" s="1056"/>
      <c r="F770" s="1056"/>
      <c r="G770" s="1056"/>
      <c r="H770" s="1056"/>
      <c r="I770" s="1056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57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57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57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57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57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56" t="s">
        <v>1646</v>
      </c>
      <c r="B778" s="1056"/>
      <c r="C778" s="1056"/>
      <c r="D778" s="1056"/>
      <c r="E778" s="1056"/>
      <c r="F778" s="1056"/>
      <c r="G778" s="1056"/>
      <c r="H778" s="1056"/>
      <c r="I778" s="1056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57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57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57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57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57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57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57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57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56" t="s">
        <v>1646</v>
      </c>
      <c r="B790" s="1056"/>
      <c r="C790" s="1056"/>
      <c r="D790" s="1056"/>
      <c r="E790" s="1056"/>
      <c r="F790" s="1056"/>
      <c r="G790" s="1056"/>
      <c r="H790" s="1056"/>
      <c r="I790" s="1056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62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63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6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6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6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6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6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6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56" t="s">
        <v>1646</v>
      </c>
      <c r="B802" s="1056"/>
      <c r="C802" s="1056"/>
      <c r="D802" s="1056"/>
      <c r="E802" s="1056"/>
      <c r="F802" s="1056"/>
      <c r="G802" s="1056"/>
      <c r="H802" s="1056"/>
      <c r="I802" s="1056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68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69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69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69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69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69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56" t="s">
        <v>1646</v>
      </c>
      <c r="B812" s="1056"/>
      <c r="C812" s="1056"/>
      <c r="D812" s="1056"/>
      <c r="E812" s="1056"/>
      <c r="F812" s="1056"/>
      <c r="G812" s="1056"/>
      <c r="H812" s="1056"/>
      <c r="I812" s="1056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79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79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56" t="s">
        <v>1646</v>
      </c>
      <c r="B819" s="1056"/>
      <c r="C819" s="1056"/>
      <c r="D819" s="1056"/>
      <c r="E819" s="1056"/>
      <c r="F819" s="1056"/>
      <c r="G819" s="1056"/>
      <c r="H819" s="1056"/>
      <c r="I819" s="1056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6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6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6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6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6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6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6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6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6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6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56" t="s">
        <v>1646</v>
      </c>
      <c r="B834" s="1056"/>
      <c r="C834" s="1056"/>
      <c r="D834" s="1056"/>
      <c r="E834" s="1056"/>
      <c r="F834" s="1056"/>
      <c r="G834" s="1056"/>
      <c r="H834" s="1056"/>
      <c r="I834" s="1056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6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6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6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56" t="s">
        <v>1646</v>
      </c>
      <c r="B841" s="1056"/>
      <c r="C841" s="1056"/>
      <c r="D841" s="1056"/>
      <c r="E841" s="1056"/>
      <c r="F841" s="1056"/>
      <c r="G841" s="1056"/>
      <c r="H841" s="1056"/>
      <c r="I841" s="1056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62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6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6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6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6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6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63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63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56" t="s">
        <v>1646</v>
      </c>
      <c r="B853" s="1056"/>
      <c r="C853" s="1056"/>
      <c r="D853" s="1056"/>
      <c r="E853" s="1056"/>
      <c r="F853" s="1056"/>
      <c r="G853" s="1056"/>
      <c r="H853" s="1056"/>
      <c r="I853" s="1056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65" t="s">
        <v>6380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6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6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66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6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6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6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6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6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6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6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6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6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6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6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66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66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66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6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6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56" t="s">
        <v>1646</v>
      </c>
      <c r="B876" s="1056"/>
      <c r="C876" s="1056"/>
      <c r="D876" s="1056"/>
      <c r="E876" s="1056"/>
      <c r="F876" s="1056"/>
      <c r="G876" s="1056"/>
      <c r="H876" s="1056"/>
      <c r="I876" s="1056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66" t="s">
        <v>6381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6382</v>
      </c>
      <c r="I880" s="653" t="s">
        <v>6383</v>
      </c>
      <c r="J880" s="653">
        <v>1</v>
      </c>
      <c r="K880" s="618" t="s">
        <v>50</v>
      </c>
    </row>
    <row r="881" spans="1:15">
      <c r="A881" s="106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6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6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6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66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66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56" t="s">
        <v>1646</v>
      </c>
      <c r="B887" s="1056"/>
      <c r="C887" s="1056"/>
      <c r="D887" s="1056"/>
      <c r="E887" s="1056"/>
      <c r="F887" s="1056"/>
      <c r="G887" s="1056"/>
      <c r="H887" s="1056"/>
      <c r="I887" s="1056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70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71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71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71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71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71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71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71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71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71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71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6388</v>
      </c>
      <c r="I903" s="653" t="s">
        <v>3429</v>
      </c>
      <c r="J903" s="754">
        <v>1</v>
      </c>
      <c r="K903" s="618" t="s">
        <v>6389</v>
      </c>
    </row>
    <row r="904" spans="1:11">
      <c r="A904" s="1056" t="s">
        <v>1646</v>
      </c>
      <c r="B904" s="1056"/>
      <c r="C904" s="1056"/>
      <c r="D904" s="1056"/>
      <c r="E904" s="1056"/>
      <c r="F904" s="1056"/>
      <c r="G904" s="1056"/>
      <c r="H904" s="1056"/>
      <c r="I904" s="1056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70" t="s">
        <v>6390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71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71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71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71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71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71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71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71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6389</v>
      </c>
    </row>
    <row r="917" spans="1:11" ht="22.5">
      <c r="A917" s="1071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6389</v>
      </c>
    </row>
    <row r="918" spans="1:11" ht="22.5">
      <c r="A918" s="1071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56" t="s">
        <v>1646</v>
      </c>
      <c r="B919" s="1056"/>
      <c r="C919" s="1056"/>
      <c r="D919" s="1056"/>
      <c r="E919" s="1056"/>
      <c r="F919" s="1056"/>
      <c r="G919" s="1056"/>
      <c r="H919" s="1056"/>
      <c r="I919" s="1056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65" t="s">
        <v>6391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6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6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6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67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56" t="s">
        <v>1646</v>
      </c>
      <c r="B930" s="1056"/>
      <c r="C930" s="1056"/>
      <c r="D930" s="1056"/>
      <c r="E930" s="1056"/>
      <c r="F930" s="1056"/>
      <c r="G930" s="1056"/>
      <c r="H930" s="1056"/>
      <c r="I930" s="1056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72" t="s">
        <v>6391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7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7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7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7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7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7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7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7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7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7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56" t="s">
        <v>1646</v>
      </c>
      <c r="B944" s="1056"/>
      <c r="C944" s="1056"/>
      <c r="D944" s="1056"/>
      <c r="E944" s="1056"/>
      <c r="F944" s="1056"/>
      <c r="G944" s="1056"/>
      <c r="H944" s="1056"/>
      <c r="I944" s="1056"/>
      <c r="J944" s="618">
        <f>SUM(J933:J943)</f>
        <v>11</v>
      </c>
      <c r="K944" s="654"/>
    </row>
  </sheetData>
  <autoFilter ref="A349:L357" xr:uid="{00000000-0009-0000-0000-000004000000}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798" t="s">
        <v>5385</v>
      </c>
      <c r="I12" s="798"/>
      <c r="J12" s="798"/>
      <c r="K12" s="798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798" t="s">
        <v>5386</v>
      </c>
      <c r="I20" s="798"/>
      <c r="J20" s="798"/>
      <c r="K20" s="798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주성 박</cp:lastModifiedBy>
  <cp:lastPrinted>2026-07-10T06:03:14Z</cp:lastPrinted>
  <dcterms:created xsi:type="dcterms:W3CDTF">2022-12-21T07:00:17Z</dcterms:created>
  <dcterms:modified xsi:type="dcterms:W3CDTF">2026-08-07T02:38:00Z</dcterms:modified>
</cp:coreProperties>
</file>