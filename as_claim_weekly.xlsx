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2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<sst xmlns="http://schemas.openxmlformats.org/spreadsheetml/2006/main" count="27600" uniqueCount="6924">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</sst>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9" fillId="0" borderId="1" xfId="0" quotePrefix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5"/>
  <sheetViews>
    <sheetView showGridLines="0" topLeftCell="A592" zoomScaleNormal="100" workbookViewId="0">
      <selection activeCell="A613" sqref="A595:XFD613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27" t="s">
        <v>3261</v>
      </c>
      <c r="B1" s="827"/>
      <c r="C1" s="827"/>
      <c r="D1" s="827"/>
      <c r="E1" s="827"/>
      <c r="F1" s="827"/>
      <c r="G1" s="827"/>
      <c r="H1" s="827"/>
      <c r="I1" s="827"/>
      <c r="J1" s="827"/>
      <c r="K1" s="827"/>
      <c r="L1" s="827"/>
      <c r="M1" s="82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2"/>
      <c r="Q22" s="823"/>
      <c r="R22" s="823"/>
      <c r="S22" s="82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2"/>
      <c r="Q27" s="823"/>
      <c r="R27" s="823"/>
      <c r="S27" s="82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2"/>
      <c r="Q36" s="823"/>
      <c r="R36" s="823"/>
      <c r="S36" s="82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2"/>
      <c r="Q37" s="823"/>
      <c r="R37" s="823"/>
      <c r="S37" s="82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2"/>
      <c r="Q40" s="823"/>
      <c r="R40" s="823"/>
      <c r="S40" s="82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2"/>
      <c r="Q41" s="823"/>
      <c r="R41" s="823"/>
      <c r="S41" s="82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2" t="s">
        <v>4390</v>
      </c>
      <c r="Q43" s="823"/>
      <c r="R43" s="823"/>
      <c r="S43" s="82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2"/>
      <c r="Q61" s="823"/>
      <c r="R61" s="823"/>
      <c r="S61" s="82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2"/>
      <c r="Q64" s="823"/>
      <c r="R64" s="823"/>
      <c r="S64" s="82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2"/>
      <c r="Q67" s="823"/>
      <c r="R67" s="823"/>
      <c r="S67" s="82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2"/>
      <c r="Q74" s="823"/>
      <c r="R74" s="823"/>
      <c r="S74" s="82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2"/>
      <c r="Q83" s="823"/>
      <c r="R83" s="823"/>
      <c r="S83" s="82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2"/>
      <c r="Q85" s="823"/>
      <c r="R85" s="823"/>
      <c r="S85" s="82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2" t="s">
        <v>4390</v>
      </c>
      <c r="Q93" s="823"/>
      <c r="R93" s="823"/>
      <c r="S93" s="82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0"/>
      <c r="Q169" s="821"/>
      <c r="R169" s="821"/>
      <c r="S169" s="82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8" t="s">
        <v>4688</v>
      </c>
      <c r="Q182" s="819"/>
      <c r="R182" s="819"/>
      <c r="S182" s="81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2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2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2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2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785" t="s">
        <v>6709</v>
      </c>
      <c r="F553" s="785">
        <v>7065</v>
      </c>
      <c r="G553" s="16" t="s">
        <v>145</v>
      </c>
      <c r="H553" s="790" t="s">
        <v>6706</v>
      </c>
      <c r="I553" s="785" t="s">
        <v>6312</v>
      </c>
      <c r="J553" s="785"/>
      <c r="K553" s="277" t="s">
        <v>6731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9"/>
      <c r="O554" s="430"/>
      <c r="P554" s="785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785" t="s">
        <v>6709</v>
      </c>
      <c r="F555" s="785">
        <v>7065</v>
      </c>
      <c r="G555" s="16" t="s">
        <v>145</v>
      </c>
      <c r="H555" s="790" t="s">
        <v>6706</v>
      </c>
      <c r="I555" s="785" t="s">
        <v>6312</v>
      </c>
      <c r="J555" s="785"/>
      <c r="K555" s="277" t="s">
        <v>6731</v>
      </c>
      <c r="L555" s="16">
        <v>9080</v>
      </c>
      <c r="M555" s="8">
        <v>1</v>
      </c>
      <c r="N555" s="785" t="s">
        <v>6730</v>
      </c>
      <c r="O555" s="431"/>
      <c r="P555" s="785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785" t="s">
        <v>120</v>
      </c>
      <c r="J556" s="785"/>
      <c r="K556" s="125" t="s">
        <v>181</v>
      </c>
      <c r="L556" s="16" t="s">
        <v>6773</v>
      </c>
      <c r="M556" s="8">
        <v>1</v>
      </c>
      <c r="N556" s="785"/>
      <c r="O556" s="431"/>
      <c r="P556" s="785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790" t="s">
        <v>6784</v>
      </c>
      <c r="I557" s="785" t="s">
        <v>168</v>
      </c>
      <c r="J557" s="785" t="s">
        <v>6783</v>
      </c>
      <c r="K557" s="125" t="s">
        <v>181</v>
      </c>
      <c r="L557" s="16" t="s">
        <v>6732</v>
      </c>
      <c r="M557" s="8">
        <v>2</v>
      </c>
      <c r="N557" s="785" t="s">
        <v>6735</v>
      </c>
      <c r="O557" s="430" t="s">
        <v>6790</v>
      </c>
      <c r="P557" s="785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785" t="s">
        <v>6709</v>
      </c>
      <c r="F558" s="785">
        <v>7065</v>
      </c>
      <c r="G558" s="16" t="s">
        <v>145</v>
      </c>
      <c r="H558" s="790" t="s">
        <v>6706</v>
      </c>
      <c r="I558" s="785" t="s">
        <v>6312</v>
      </c>
      <c r="J558" s="785"/>
      <c r="K558" s="277" t="s">
        <v>6731</v>
      </c>
      <c r="L558" s="16">
        <v>9080</v>
      </c>
      <c r="M558" s="8">
        <v>1</v>
      </c>
      <c r="N558" s="789"/>
      <c r="O558" s="430"/>
      <c r="P558" s="785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785"/>
      <c r="J559" s="785" t="s">
        <v>3074</v>
      </c>
      <c r="K559" s="125" t="s">
        <v>42</v>
      </c>
      <c r="L559" s="16" t="s">
        <v>6734</v>
      </c>
      <c r="M559" s="8">
        <v>1</v>
      </c>
      <c r="N559" s="789"/>
      <c r="O559" s="430" t="s">
        <v>6789</v>
      </c>
      <c r="P559" s="785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9"/>
      <c r="O560" s="430" t="s">
        <v>6787</v>
      </c>
      <c r="P560" s="785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790" t="s">
        <v>6801</v>
      </c>
      <c r="J561" s="785" t="s">
        <v>6678</v>
      </c>
      <c r="K561" s="125" t="s">
        <v>6733</v>
      </c>
      <c r="L561" s="16" t="s">
        <v>4379</v>
      </c>
      <c r="M561" s="8">
        <v>4</v>
      </c>
      <c r="N561" s="789"/>
      <c r="O561" s="430" t="s">
        <v>6788</v>
      </c>
      <c r="P561" s="785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785" t="s">
        <v>6802</v>
      </c>
      <c r="J562" s="785" t="s">
        <v>6804</v>
      </c>
      <c r="K562" s="125" t="s">
        <v>15</v>
      </c>
      <c r="L562" s="16" t="s">
        <v>33</v>
      </c>
      <c r="M562" s="8">
        <v>4</v>
      </c>
      <c r="N562" s="789"/>
      <c r="O562" s="430" t="s">
        <v>6786</v>
      </c>
      <c r="P562" s="785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785" t="s">
        <v>6520</v>
      </c>
      <c r="J563" s="785" t="s">
        <v>6804</v>
      </c>
      <c r="K563" s="125" t="s">
        <v>15</v>
      </c>
      <c r="L563" s="16" t="s">
        <v>33</v>
      </c>
      <c r="M563" s="8">
        <v>4</v>
      </c>
      <c r="N563" s="789"/>
      <c r="O563" s="430" t="s">
        <v>5645</v>
      </c>
      <c r="P563" s="785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785" t="s">
        <v>6709</v>
      </c>
      <c r="F564" s="785">
        <v>7065</v>
      </c>
      <c r="G564" s="16" t="s">
        <v>145</v>
      </c>
      <c r="H564" s="790" t="s">
        <v>6706</v>
      </c>
      <c r="I564" s="785" t="s">
        <v>6312</v>
      </c>
      <c r="J564" s="785"/>
      <c r="K564" s="277" t="s">
        <v>6731</v>
      </c>
      <c r="L564" s="16">
        <v>9080</v>
      </c>
      <c r="M564" s="8">
        <v>1</v>
      </c>
      <c r="N564" s="789"/>
      <c r="O564" s="430"/>
      <c r="P564" s="785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785" t="s">
        <v>1787</v>
      </c>
      <c r="F565" s="785" t="s">
        <v>6776</v>
      </c>
      <c r="G565" s="16" t="s">
        <v>6780</v>
      </c>
      <c r="H565" s="790" t="s">
        <v>6781</v>
      </c>
      <c r="I565" s="785"/>
      <c r="J565" s="785" t="s">
        <v>6772</v>
      </c>
      <c r="K565" s="277" t="s">
        <v>6782</v>
      </c>
      <c r="L565" s="16" t="s">
        <v>6760</v>
      </c>
      <c r="M565" s="8">
        <v>2</v>
      </c>
      <c r="N565" s="789"/>
      <c r="O565" s="430" t="s">
        <v>5835</v>
      </c>
      <c r="P565" s="785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785" t="s">
        <v>6814</v>
      </c>
      <c r="F566" s="785" t="s">
        <v>6815</v>
      </c>
      <c r="G566" s="16" t="s">
        <v>6806</v>
      </c>
      <c r="H566" s="790" t="s">
        <v>6835</v>
      </c>
      <c r="I566" s="785"/>
      <c r="J566" s="785" t="s">
        <v>641</v>
      </c>
      <c r="K566" s="277" t="s">
        <v>6779</v>
      </c>
      <c r="L566" s="16" t="s">
        <v>6760</v>
      </c>
      <c r="M566" s="8">
        <v>2</v>
      </c>
      <c r="N566" s="789"/>
      <c r="O566" s="430"/>
      <c r="P566" s="785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790" t="s">
        <v>6838</v>
      </c>
      <c r="I567" s="785" t="s">
        <v>6836</v>
      </c>
      <c r="J567" s="785" t="s">
        <v>6837</v>
      </c>
      <c r="K567" s="277" t="s">
        <v>6744</v>
      </c>
      <c r="L567" s="16" t="s">
        <v>6757</v>
      </c>
      <c r="M567" s="8">
        <v>2</v>
      </c>
      <c r="N567" s="789"/>
      <c r="O567" s="430"/>
      <c r="P567" s="785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785" t="s">
        <v>6709</v>
      </c>
      <c r="F568" s="785">
        <v>7065</v>
      </c>
      <c r="G568" s="16" t="s">
        <v>145</v>
      </c>
      <c r="H568" s="790" t="s">
        <v>6706</v>
      </c>
      <c r="I568" s="785" t="s">
        <v>6312</v>
      </c>
      <c r="J568" s="785"/>
      <c r="K568" s="277" t="s">
        <v>6731</v>
      </c>
      <c r="L568" s="16">
        <v>9080</v>
      </c>
      <c r="M568" s="8">
        <v>1</v>
      </c>
      <c r="N568" s="789"/>
      <c r="O568" s="430"/>
      <c r="P568" s="785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790" t="s">
        <v>6846</v>
      </c>
      <c r="I569" s="785" t="s">
        <v>6847</v>
      </c>
      <c r="J569" s="785"/>
      <c r="K569" s="277"/>
      <c r="L569" s="16" t="s">
        <v>6757</v>
      </c>
      <c r="M569" s="8">
        <v>2</v>
      </c>
      <c r="N569" s="789"/>
      <c r="O569" s="430"/>
      <c r="P569" s="785"/>
    </row>
    <row r="570" spans="1:16" s="17" customFormat="1" ht="33" customHeight="1" x14ac:dyDescent="0.3">
      <c r="A570" s="82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 x14ac:dyDescent="0.3">
      <c r="A571" s="82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 x14ac:dyDescent="0.3">
      <c r="A572" s="82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91" t="s">
        <v>6740</v>
      </c>
      <c r="P572" s="785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6762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6759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785" t="s">
        <v>6803</v>
      </c>
      <c r="J576" s="790" t="s">
        <v>6755</v>
      </c>
      <c r="K576" s="125" t="s">
        <v>6758</v>
      </c>
      <c r="L576" s="16" t="s">
        <v>6852</v>
      </c>
      <c r="M576" s="8">
        <v>2</v>
      </c>
      <c r="N576" s="31"/>
      <c r="O576" s="429" t="s">
        <v>6856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785" t="s">
        <v>6709</v>
      </c>
      <c r="F577" s="785">
        <v>7065</v>
      </c>
      <c r="G577" s="16" t="s">
        <v>145</v>
      </c>
      <c r="H577" s="790" t="s">
        <v>6706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790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6853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785" t="s">
        <v>6703</v>
      </c>
      <c r="F579" s="785" t="s">
        <v>3415</v>
      </c>
      <c r="G579" s="16" t="s">
        <v>23</v>
      </c>
      <c r="H579" s="790" t="s">
        <v>6840</v>
      </c>
      <c r="I579" s="785"/>
      <c r="J579" s="790" t="s">
        <v>6839</v>
      </c>
      <c r="K579" s="125" t="s">
        <v>6759</v>
      </c>
      <c r="L579" s="16" t="s">
        <v>6760</v>
      </c>
      <c r="M579" s="8">
        <v>2</v>
      </c>
      <c r="N579" s="785"/>
      <c r="O579" s="430" t="s">
        <v>6842</v>
      </c>
      <c r="P579" s="785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90" t="s">
        <v>6848</v>
      </c>
      <c r="I580" s="785"/>
      <c r="J580" s="790" t="s">
        <v>6863</v>
      </c>
      <c r="K580" s="125" t="s">
        <v>6769</v>
      </c>
      <c r="L580" s="16" t="s">
        <v>6757</v>
      </c>
      <c r="M580" s="8">
        <v>3</v>
      </c>
      <c r="N580" s="785"/>
      <c r="O580" s="429" t="s">
        <v>6865</v>
      </c>
      <c r="P580" s="785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785" t="s">
        <v>6709</v>
      </c>
      <c r="F581" s="785">
        <v>7065</v>
      </c>
      <c r="G581" s="16" t="s">
        <v>145</v>
      </c>
      <c r="H581" s="790" t="s">
        <v>6706</v>
      </c>
      <c r="I581" s="785" t="s">
        <v>6312</v>
      </c>
      <c r="J581" s="785"/>
      <c r="K581" s="277" t="s">
        <v>209</v>
      </c>
      <c r="L581" s="16" t="s">
        <v>6760</v>
      </c>
      <c r="M581" s="8">
        <v>1</v>
      </c>
      <c r="N581" s="785"/>
      <c r="O581" s="429"/>
      <c r="P581" s="785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90" t="s">
        <v>6859</v>
      </c>
      <c r="I583" s="785" t="s">
        <v>6860</v>
      </c>
      <c r="J583" s="785" t="s">
        <v>6761</v>
      </c>
      <c r="K583" s="277" t="s">
        <v>6782</v>
      </c>
      <c r="L583" s="16" t="s">
        <v>6861</v>
      </c>
      <c r="M583" s="8">
        <v>2</v>
      </c>
      <c r="N583" s="789"/>
      <c r="O583" s="430" t="s">
        <v>6856</v>
      </c>
      <c r="P583" s="785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785" t="s">
        <v>6850</v>
      </c>
      <c r="F584" s="790" t="s">
        <v>2978</v>
      </c>
      <c r="G584" s="16" t="s">
        <v>170</v>
      </c>
      <c r="H584" s="790" t="s">
        <v>6851</v>
      </c>
      <c r="I584" s="785" t="s">
        <v>6864</v>
      </c>
      <c r="J584" s="785" t="s">
        <v>6837</v>
      </c>
      <c r="K584" s="277" t="s">
        <v>15</v>
      </c>
      <c r="L584" s="16">
        <v>9080</v>
      </c>
      <c r="M584" s="8">
        <v>2</v>
      </c>
      <c r="N584" s="789"/>
      <c r="O584" s="430"/>
      <c r="P584" s="785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90" t="s">
        <v>6873</v>
      </c>
      <c r="I585" s="785" t="s">
        <v>6872</v>
      </c>
      <c r="J585" s="790" t="s">
        <v>6809</v>
      </c>
      <c r="K585" s="125" t="s">
        <v>6769</v>
      </c>
      <c r="L585" s="16" t="s">
        <v>6757</v>
      </c>
      <c r="M585" s="8">
        <v>3</v>
      </c>
      <c r="N585" s="789"/>
      <c r="O585" s="430" t="s">
        <v>6116</v>
      </c>
      <c r="P585" s="785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785" t="s">
        <v>6709</v>
      </c>
      <c r="F586" s="785">
        <v>7065</v>
      </c>
      <c r="G586" s="16" t="s">
        <v>145</v>
      </c>
      <c r="H586" s="790" t="s">
        <v>6706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9"/>
      <c r="O586" s="430"/>
      <c r="P586" s="785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90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6855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90" t="s">
        <v>6880</v>
      </c>
      <c r="I589" s="785" t="s">
        <v>3661</v>
      </c>
      <c r="J589" s="790" t="s">
        <v>6896</v>
      </c>
      <c r="K589" s="125" t="s">
        <v>15</v>
      </c>
      <c r="L589" s="16" t="s">
        <v>6757</v>
      </c>
      <c r="M589" s="8">
        <v>6</v>
      </c>
      <c r="N589" s="789"/>
      <c r="O589" s="430" t="s">
        <v>6866</v>
      </c>
      <c r="P589" s="785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785" t="s">
        <v>6709</v>
      </c>
      <c r="F590" s="785">
        <v>7065</v>
      </c>
      <c r="G590" s="16" t="s">
        <v>145</v>
      </c>
      <c r="H590" s="790" t="s">
        <v>6706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785" t="s">
        <v>1787</v>
      </c>
      <c r="F591" s="785" t="s">
        <v>6776</v>
      </c>
      <c r="G591" s="16" t="s">
        <v>6777</v>
      </c>
      <c r="H591" s="790" t="s">
        <v>6858</v>
      </c>
      <c r="I591" s="785"/>
      <c r="J591" s="785" t="s">
        <v>6868</v>
      </c>
      <c r="K591" s="277" t="s">
        <v>6779</v>
      </c>
      <c r="L591" s="16" t="s">
        <v>6770</v>
      </c>
      <c r="M591" s="8">
        <v>3</v>
      </c>
      <c r="N591" s="789"/>
      <c r="O591" s="430" t="s">
        <v>6869</v>
      </c>
      <c r="P591" s="785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785" t="s">
        <v>1787</v>
      </c>
      <c r="F592" s="785" t="s">
        <v>6776</v>
      </c>
      <c r="G592" s="16" t="s">
        <v>6867</v>
      </c>
      <c r="H592" s="790" t="s">
        <v>5434</v>
      </c>
      <c r="I592" s="785"/>
      <c r="J592" s="790" t="s">
        <v>6772</v>
      </c>
      <c r="K592" s="125"/>
      <c r="L592" s="16" t="s">
        <v>4550</v>
      </c>
      <c r="M592" s="8">
        <v>2</v>
      </c>
      <c r="N592" s="785"/>
      <c r="O592" s="430" t="s">
        <v>6854</v>
      </c>
      <c r="P592" s="31"/>
      <c r="Q592" s="430" t="s">
        <v>6807</v>
      </c>
    </row>
    <row r="593" spans="1:17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6897</v>
      </c>
      <c r="F595" s="31">
        <v>3006</v>
      </c>
      <c r="G595" s="16" t="s">
        <v>6722</v>
      </c>
      <c r="H595" s="193" t="s">
        <v>6857</v>
      </c>
      <c r="I595" s="31" t="s">
        <v>6862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/>
      <c r="O595" s="431"/>
      <c r="P595" s="31"/>
    </row>
    <row r="596" spans="1:17" s="17" customFormat="1" ht="33" customHeight="1" x14ac:dyDescent="0.3">
      <c r="A596" s="798"/>
      <c r="B596" s="399">
        <v>46258</v>
      </c>
      <c r="C596" s="4" t="s">
        <v>6885</v>
      </c>
      <c r="D596" s="4" t="s">
        <v>70</v>
      </c>
      <c r="E596" s="792" t="s">
        <v>6886</v>
      </c>
      <c r="F596" s="792" t="s">
        <v>6887</v>
      </c>
      <c r="G596" s="16" t="s">
        <v>6888</v>
      </c>
      <c r="H596" s="797" t="s">
        <v>6889</v>
      </c>
      <c r="I596" s="792" t="s">
        <v>6890</v>
      </c>
      <c r="J596" s="792" t="s">
        <v>6891</v>
      </c>
      <c r="K596" s="125" t="s">
        <v>6892</v>
      </c>
      <c r="L596" s="16" t="s">
        <v>6893</v>
      </c>
      <c r="M596" s="8">
        <v>2</v>
      </c>
      <c r="N596" s="792"/>
      <c r="O596" s="431"/>
      <c r="P596" s="792"/>
    </row>
    <row r="597" spans="1:17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90" t="s">
        <v>6898</v>
      </c>
      <c r="I597" s="785" t="s">
        <v>6520</v>
      </c>
      <c r="J597" s="785" t="s">
        <v>2838</v>
      </c>
      <c r="K597" s="125" t="s">
        <v>6759</v>
      </c>
      <c r="L597" s="16" t="s">
        <v>6884</v>
      </c>
      <c r="M597" s="8">
        <v>4</v>
      </c>
      <c r="N597" s="785"/>
      <c r="O597" s="431"/>
      <c r="P597" s="785"/>
    </row>
    <row r="598" spans="1:17" s="817" customFormat="1" ht="33" customHeight="1" x14ac:dyDescent="0.3">
      <c r="A598" s="811"/>
      <c r="B598" s="399">
        <v>46258</v>
      </c>
      <c r="C598" s="4" t="s">
        <v>21</v>
      </c>
      <c r="D598" s="4" t="s">
        <v>14</v>
      </c>
      <c r="E598" s="785" t="s">
        <v>149</v>
      </c>
      <c r="F598" s="785" t="s">
        <v>3415</v>
      </c>
      <c r="G598" s="16" t="s">
        <v>23</v>
      </c>
      <c r="H598" s="812" t="s">
        <v>6895</v>
      </c>
      <c r="I598" s="785"/>
      <c r="J598" s="813" t="s">
        <v>6881</v>
      </c>
      <c r="K598" s="814" t="s">
        <v>15</v>
      </c>
      <c r="L598" s="16" t="s">
        <v>6883</v>
      </c>
      <c r="M598" s="815">
        <v>3</v>
      </c>
      <c r="N598" s="813"/>
      <c r="O598" s="816"/>
      <c r="P598" s="813"/>
    </row>
    <row r="599" spans="1:17" s="817" customFormat="1" ht="33" customHeight="1" x14ac:dyDescent="0.3">
      <c r="A599" s="811"/>
      <c r="B599" s="399">
        <v>46258</v>
      </c>
      <c r="C599" s="4" t="s">
        <v>6707</v>
      </c>
      <c r="D599" s="4" t="s">
        <v>151</v>
      </c>
      <c r="E599" s="792" t="s">
        <v>6920</v>
      </c>
      <c r="F599" s="792" t="s">
        <v>6919</v>
      </c>
      <c r="G599" s="16" t="s">
        <v>145</v>
      </c>
      <c r="H599" s="812" t="s">
        <v>6921</v>
      </c>
      <c r="I599" s="792" t="s">
        <v>6922</v>
      </c>
      <c r="J599" s="813"/>
      <c r="K599" s="1117" t="s">
        <v>6923</v>
      </c>
      <c r="L599" s="16" t="s">
        <v>4875</v>
      </c>
      <c r="M599" s="815">
        <v>2</v>
      </c>
      <c r="N599" s="813"/>
      <c r="O599" s="816"/>
      <c r="P599" s="813"/>
    </row>
    <row r="600" spans="1:17" s="17" customFormat="1" ht="33" customHeight="1" x14ac:dyDescent="0.3">
      <c r="A600" s="595"/>
      <c r="B600" s="399">
        <v>46259</v>
      </c>
      <c r="C600" s="4" t="s">
        <v>6707</v>
      </c>
      <c r="D600" s="4" t="s">
        <v>151</v>
      </c>
      <c r="E600" s="785" t="s">
        <v>6709</v>
      </c>
      <c r="F600" s="785">
        <v>7065</v>
      </c>
      <c r="G600" s="16" t="s">
        <v>145</v>
      </c>
      <c r="H600" s="790" t="s">
        <v>6706</v>
      </c>
      <c r="I600" s="785" t="s">
        <v>6312</v>
      </c>
      <c r="J600" s="785"/>
      <c r="K600" s="277" t="s">
        <v>209</v>
      </c>
      <c r="L600" s="16">
        <v>9080</v>
      </c>
      <c r="M600" s="8">
        <v>1</v>
      </c>
      <c r="N600" s="785"/>
      <c r="O600" s="431"/>
      <c r="P600" s="785"/>
    </row>
    <row r="601" spans="1:17" s="17" customFormat="1" ht="33" customHeight="1" x14ac:dyDescent="0.3">
      <c r="A601" s="798"/>
      <c r="B601" s="399">
        <v>46259</v>
      </c>
      <c r="C601" s="4" t="s">
        <v>6707</v>
      </c>
      <c r="D601" s="4" t="s">
        <v>151</v>
      </c>
      <c r="E601" s="792" t="s">
        <v>6920</v>
      </c>
      <c r="F601" s="792" t="s">
        <v>6919</v>
      </c>
      <c r="G601" s="16" t="s">
        <v>145</v>
      </c>
      <c r="H601" s="812" t="s">
        <v>6921</v>
      </c>
      <c r="I601" s="792" t="s">
        <v>6922</v>
      </c>
      <c r="J601" s="813"/>
      <c r="K601" s="1117" t="s">
        <v>6923</v>
      </c>
      <c r="L601" s="16" t="s">
        <v>4875</v>
      </c>
      <c r="M601" s="815">
        <v>2</v>
      </c>
      <c r="N601" s="792"/>
      <c r="O601" s="431"/>
      <c r="P601" s="792"/>
    </row>
    <row r="602" spans="1:17" s="17" customFormat="1" ht="33" customHeight="1" x14ac:dyDescent="0.3">
      <c r="A602" s="595"/>
      <c r="B602" s="399">
        <v>46259</v>
      </c>
      <c r="C602" s="272" t="s">
        <v>21</v>
      </c>
      <c r="D602" s="272" t="s">
        <v>14</v>
      </c>
      <c r="E602" s="764" t="s">
        <v>225</v>
      </c>
      <c r="F602" s="764" t="s">
        <v>3736</v>
      </c>
      <c r="G602" s="765" t="s">
        <v>3286</v>
      </c>
      <c r="H602" s="763" t="s">
        <v>6870</v>
      </c>
      <c r="I602" s="454" t="s">
        <v>3661</v>
      </c>
      <c r="J602" s="453" t="s">
        <v>6810</v>
      </c>
      <c r="K602" s="125" t="s">
        <v>6759</v>
      </c>
      <c r="L602" s="16" t="s">
        <v>6757</v>
      </c>
      <c r="M602" s="8">
        <v>3</v>
      </c>
      <c r="N602" s="785"/>
      <c r="O602" s="759" t="s">
        <v>6575</v>
      </c>
      <c r="P602" s="785"/>
    </row>
    <row r="603" spans="1:17" s="17" customFormat="1" ht="33" customHeight="1" x14ac:dyDescent="0.3">
      <c r="A603" s="595"/>
      <c r="B603" s="369">
        <v>46259</v>
      </c>
      <c r="C603" s="4" t="s">
        <v>21</v>
      </c>
      <c r="D603" s="4" t="s">
        <v>14</v>
      </c>
      <c r="E603" s="785" t="s">
        <v>149</v>
      </c>
      <c r="F603" s="785" t="s">
        <v>3415</v>
      </c>
      <c r="G603" s="16" t="s">
        <v>23</v>
      </c>
      <c r="H603" s="790" t="s">
        <v>6871</v>
      </c>
      <c r="I603" s="785"/>
      <c r="J603" s="813" t="s">
        <v>6881</v>
      </c>
      <c r="K603" s="814" t="s">
        <v>15</v>
      </c>
      <c r="L603" s="16" t="s">
        <v>6883</v>
      </c>
      <c r="M603" s="815">
        <v>3</v>
      </c>
      <c r="N603" s="785"/>
      <c r="O603" s="809"/>
      <c r="P603" s="785"/>
    </row>
    <row r="604" spans="1:17" s="17" customFormat="1" ht="33" customHeight="1" x14ac:dyDescent="0.3">
      <c r="A604" s="595"/>
      <c r="B604" s="399">
        <v>46260</v>
      </c>
      <c r="C604" s="4" t="s">
        <v>6707</v>
      </c>
      <c r="D604" s="4" t="s">
        <v>151</v>
      </c>
      <c r="E604" s="785" t="s">
        <v>6709</v>
      </c>
      <c r="F604" s="785">
        <v>7065</v>
      </c>
      <c r="G604" s="16" t="s">
        <v>145</v>
      </c>
      <c r="H604" s="790" t="s">
        <v>6706</v>
      </c>
      <c r="I604" s="785" t="s">
        <v>6312</v>
      </c>
      <c r="J604" s="785"/>
      <c r="K604" s="277" t="s">
        <v>209</v>
      </c>
      <c r="L604" s="16">
        <v>9080</v>
      </c>
      <c r="M604" s="8">
        <v>1</v>
      </c>
      <c r="N604" s="785"/>
      <c r="O604" s="431"/>
      <c r="P604" s="785"/>
    </row>
    <row r="605" spans="1:17" s="17" customFormat="1" ht="33" customHeight="1" x14ac:dyDescent="0.3">
      <c r="A605" s="798"/>
      <c r="B605" s="399">
        <v>46260</v>
      </c>
      <c r="C605" s="4" t="s">
        <v>6707</v>
      </c>
      <c r="D605" s="4" t="s">
        <v>151</v>
      </c>
      <c r="E605" s="792" t="s">
        <v>6920</v>
      </c>
      <c r="F605" s="792" t="s">
        <v>6919</v>
      </c>
      <c r="G605" s="16" t="s">
        <v>145</v>
      </c>
      <c r="H605" s="812" t="s">
        <v>6921</v>
      </c>
      <c r="I605" s="792" t="s">
        <v>6922</v>
      </c>
      <c r="J605" s="813"/>
      <c r="K605" s="1117" t="s">
        <v>6923</v>
      </c>
      <c r="L605" s="16" t="s">
        <v>4875</v>
      </c>
      <c r="M605" s="815">
        <v>2</v>
      </c>
      <c r="N605" s="792"/>
      <c r="O605" s="431"/>
      <c r="P605" s="792"/>
    </row>
    <row r="606" spans="1:17" s="17" customFormat="1" ht="33" customHeight="1" x14ac:dyDescent="0.3">
      <c r="A606" s="595"/>
      <c r="B606" s="399">
        <v>46260</v>
      </c>
      <c r="C606" s="272" t="s">
        <v>21</v>
      </c>
      <c r="D606" s="272" t="s">
        <v>14</v>
      </c>
      <c r="E606" s="764" t="s">
        <v>225</v>
      </c>
      <c r="F606" s="764" t="s">
        <v>3736</v>
      </c>
      <c r="G606" s="765" t="s">
        <v>3286</v>
      </c>
      <c r="H606" s="763" t="s">
        <v>6849</v>
      </c>
      <c r="I606" s="785" t="s">
        <v>6811</v>
      </c>
      <c r="J606" s="790" t="s">
        <v>6810</v>
      </c>
      <c r="K606" s="125" t="s">
        <v>6759</v>
      </c>
      <c r="L606" s="16" t="s">
        <v>6757</v>
      </c>
      <c r="M606" s="8">
        <v>4</v>
      </c>
      <c r="N606" s="785"/>
      <c r="O606" s="759" t="s">
        <v>6575</v>
      </c>
      <c r="P606" s="785"/>
    </row>
    <row r="607" spans="1:17" s="17" customFormat="1" ht="33" customHeight="1" x14ac:dyDescent="0.3">
      <c r="A607" s="595"/>
      <c r="B607" s="399">
        <v>46260</v>
      </c>
      <c r="C607" s="4" t="s">
        <v>21</v>
      </c>
      <c r="D607" s="4" t="s">
        <v>14</v>
      </c>
      <c r="E607" s="785" t="s">
        <v>149</v>
      </c>
      <c r="F607" s="785" t="s">
        <v>3415</v>
      </c>
      <c r="G607" s="16" t="s">
        <v>23</v>
      </c>
      <c r="H607" s="790" t="s">
        <v>6878</v>
      </c>
      <c r="I607" s="790" t="s">
        <v>6882</v>
      </c>
      <c r="J607" s="785" t="s">
        <v>3537</v>
      </c>
      <c r="K607" s="125" t="s">
        <v>15</v>
      </c>
      <c r="L607" s="16" t="s">
        <v>6883</v>
      </c>
      <c r="M607" s="8">
        <v>3</v>
      </c>
      <c r="N607" s="422"/>
      <c r="O607" s="430" t="s">
        <v>6843</v>
      </c>
      <c r="P607" s="31"/>
      <c r="Q607" s="17" t="s">
        <v>6729</v>
      </c>
    </row>
    <row r="608" spans="1:17" s="17" customFormat="1" ht="33" customHeight="1" x14ac:dyDescent="0.3">
      <c r="A608" s="595"/>
      <c r="B608" s="399">
        <v>46261</v>
      </c>
      <c r="C608" s="4" t="s">
        <v>6707</v>
      </c>
      <c r="D608" s="4" t="s">
        <v>151</v>
      </c>
      <c r="E608" s="785" t="s">
        <v>6709</v>
      </c>
      <c r="F608" s="785">
        <v>7065</v>
      </c>
      <c r="G608" s="16" t="s">
        <v>145</v>
      </c>
      <c r="H608" s="790" t="s">
        <v>6706</v>
      </c>
      <c r="I608" s="785" t="s">
        <v>6312</v>
      </c>
      <c r="J608" s="785"/>
      <c r="K608" s="277" t="s">
        <v>209</v>
      </c>
      <c r="L608" s="16">
        <v>9080</v>
      </c>
      <c r="M608" s="8">
        <v>1</v>
      </c>
      <c r="N608" s="789"/>
      <c r="O608" s="430"/>
      <c r="P608" s="785"/>
    </row>
    <row r="609" spans="1:17" s="17" customFormat="1" ht="33" customHeight="1" x14ac:dyDescent="0.3">
      <c r="A609" s="595"/>
      <c r="B609" s="399">
        <v>46261</v>
      </c>
      <c r="C609" s="4" t="s">
        <v>21</v>
      </c>
      <c r="D609" s="4" t="s">
        <v>70</v>
      </c>
      <c r="E609" s="792" t="s">
        <v>1787</v>
      </c>
      <c r="F609" s="792" t="s">
        <v>4902</v>
      </c>
      <c r="G609" s="16" t="s">
        <v>40</v>
      </c>
      <c r="H609" s="790" t="s">
        <v>396</v>
      </c>
      <c r="I609" s="785" t="s">
        <v>3661</v>
      </c>
      <c r="J609" s="790" t="s">
        <v>1897</v>
      </c>
      <c r="K609" s="125" t="s">
        <v>69</v>
      </c>
      <c r="L609" s="16" t="s">
        <v>4550</v>
      </c>
      <c r="M609" s="8">
        <v>2</v>
      </c>
      <c r="N609" s="422"/>
      <c r="O609" s="430" t="s">
        <v>6899</v>
      </c>
      <c r="P609" s="31"/>
      <c r="Q609" s="17" t="s">
        <v>6729</v>
      </c>
    </row>
    <row r="610" spans="1:17" s="17" customFormat="1" ht="33" customHeight="1" x14ac:dyDescent="0.3">
      <c r="A610" s="798"/>
      <c r="B610" s="399">
        <v>46261</v>
      </c>
      <c r="C610" s="4" t="s">
        <v>6707</v>
      </c>
      <c r="D610" s="4" t="s">
        <v>151</v>
      </c>
      <c r="E610" s="792" t="s">
        <v>6920</v>
      </c>
      <c r="F610" s="792" t="s">
        <v>6919</v>
      </c>
      <c r="G610" s="16" t="s">
        <v>145</v>
      </c>
      <c r="H610" s="812" t="s">
        <v>6921</v>
      </c>
      <c r="I610" s="792" t="s">
        <v>6922</v>
      </c>
      <c r="J610" s="813"/>
      <c r="K610" s="1117" t="s">
        <v>6923</v>
      </c>
      <c r="L610" s="16" t="s">
        <v>4875</v>
      </c>
      <c r="M610" s="815">
        <v>2</v>
      </c>
      <c r="N610" s="796"/>
      <c r="O610" s="430"/>
      <c r="P610" s="792"/>
    </row>
    <row r="611" spans="1:17" s="17" customFormat="1" ht="33" customHeight="1" x14ac:dyDescent="0.3">
      <c r="A611" s="595"/>
      <c r="B611" s="399">
        <v>46262</v>
      </c>
      <c r="C611" s="4" t="s">
        <v>6707</v>
      </c>
      <c r="D611" s="4" t="s">
        <v>151</v>
      </c>
      <c r="E611" s="785" t="s">
        <v>6709</v>
      </c>
      <c r="F611" s="785">
        <v>7065</v>
      </c>
      <c r="G611" s="16" t="s">
        <v>145</v>
      </c>
      <c r="H611" s="790" t="s">
        <v>6706</v>
      </c>
      <c r="I611" s="785" t="s">
        <v>6312</v>
      </c>
      <c r="J611" s="785"/>
      <c r="K611" s="277" t="s">
        <v>209</v>
      </c>
      <c r="L611" s="16">
        <v>9080</v>
      </c>
      <c r="M611" s="8">
        <v>1</v>
      </c>
      <c r="N611" s="789"/>
      <c r="O611" s="430"/>
      <c r="P611" s="785"/>
    </row>
    <row r="612" spans="1:17" s="17" customFormat="1" ht="33" customHeight="1" x14ac:dyDescent="0.3">
      <c r="A612" s="798"/>
      <c r="B612" s="399">
        <v>46262</v>
      </c>
      <c r="C612" s="4" t="s">
        <v>6707</v>
      </c>
      <c r="D612" s="4" t="s">
        <v>151</v>
      </c>
      <c r="E612" s="792" t="s">
        <v>6920</v>
      </c>
      <c r="F612" s="792" t="s">
        <v>6919</v>
      </c>
      <c r="G612" s="16" t="s">
        <v>145</v>
      </c>
      <c r="H612" s="812" t="s">
        <v>6921</v>
      </c>
      <c r="I612" s="792" t="s">
        <v>6922</v>
      </c>
      <c r="J612" s="813"/>
      <c r="K612" s="1117" t="s">
        <v>6923</v>
      </c>
      <c r="L612" s="16" t="s">
        <v>4875</v>
      </c>
      <c r="M612" s="815">
        <v>2</v>
      </c>
      <c r="N612" s="796"/>
      <c r="O612" s="430"/>
      <c r="P612" s="792"/>
    </row>
    <row r="613" spans="1:17" s="17" customFormat="1" ht="33" customHeight="1" x14ac:dyDescent="0.3">
      <c r="A613" s="595"/>
      <c r="B613" s="399">
        <v>46262</v>
      </c>
      <c r="C613" s="4" t="s">
        <v>6874</v>
      </c>
      <c r="D613" s="4" t="s">
        <v>17</v>
      </c>
      <c r="E613" s="31" t="s">
        <v>6875</v>
      </c>
      <c r="F613" s="31" t="s">
        <v>6666</v>
      </c>
      <c r="G613" s="16" t="s">
        <v>6876</v>
      </c>
      <c r="H613" s="193" t="s">
        <v>6877</v>
      </c>
      <c r="I613" s="31"/>
      <c r="J613" s="193" t="s">
        <v>6772</v>
      </c>
      <c r="K613" s="125"/>
      <c r="L613" s="16" t="s">
        <v>6287</v>
      </c>
      <c r="M613" s="8">
        <v>2</v>
      </c>
      <c r="N613" s="422"/>
      <c r="O613" s="430" t="s">
        <v>6894</v>
      </c>
      <c r="P613" s="31"/>
      <c r="Q613" s="17" t="s">
        <v>6729</v>
      </c>
    </row>
    <row r="614" spans="1:17" s="17" customFormat="1" ht="33" customHeight="1" x14ac:dyDescent="0.3">
      <c r="A614" s="596"/>
      <c r="B614" s="399">
        <v>46263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2"/>
      <c r="P614" s="31"/>
    </row>
    <row r="615" spans="1:17" s="17" customFormat="1" ht="33" customHeight="1" x14ac:dyDescent="0.3">
      <c r="A615" s="800"/>
      <c r="B615" s="399" t="s">
        <v>6879</v>
      </c>
      <c r="C615" s="272" t="s">
        <v>21</v>
      </c>
      <c r="D615" s="272" t="s">
        <v>77</v>
      </c>
      <c r="E615" s="763" t="s">
        <v>6750</v>
      </c>
      <c r="F615" s="764" t="s">
        <v>6746</v>
      </c>
      <c r="G615" s="765" t="s">
        <v>6747</v>
      </c>
      <c r="H615" s="763" t="s">
        <v>6748</v>
      </c>
      <c r="I615" s="792"/>
      <c r="J615" s="792"/>
      <c r="K615" s="125"/>
      <c r="L615" s="16"/>
      <c r="M615" s="8"/>
      <c r="N615" s="760"/>
      <c r="O615" s="432"/>
      <c r="P615" s="792"/>
    </row>
    <row r="616" spans="1:17" s="17" customFormat="1" ht="33" customHeight="1" x14ac:dyDescent="0.3">
      <c r="A616" s="800"/>
      <c r="B616" s="399"/>
      <c r="C616" s="4"/>
      <c r="D616" s="4"/>
      <c r="E616" s="291"/>
      <c r="F616" s="792"/>
      <c r="G616" s="16"/>
      <c r="H616" s="797"/>
      <c r="I616" s="792"/>
      <c r="J616" s="792"/>
      <c r="K616" s="125"/>
      <c r="L616" s="16"/>
      <c r="M616" s="8"/>
      <c r="N616" s="760"/>
      <c r="O616" s="432"/>
      <c r="P616" s="792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4"/>
      <c r="D618" s="4"/>
      <c r="E618" s="3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7" s="17" customFormat="1" ht="33" customHeight="1" x14ac:dyDescent="0.3">
      <c r="A619" s="595"/>
      <c r="B619" s="399">
        <v>46266</v>
      </c>
      <c r="C619" s="4"/>
      <c r="D619" s="4"/>
      <c r="E619" s="29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7" s="17" customFormat="1" ht="33" customHeight="1" x14ac:dyDescent="0.3">
      <c r="A620" s="595"/>
      <c r="B620" s="399">
        <v>46267</v>
      </c>
      <c r="C620" s="4"/>
      <c r="D620" s="4"/>
      <c r="E620" s="31"/>
      <c r="F620" s="31"/>
      <c r="G620" s="16"/>
      <c r="H620" s="193"/>
      <c r="I620" s="31"/>
      <c r="J620" s="193"/>
      <c r="K620" s="125"/>
      <c r="L620" s="16"/>
      <c r="M620" s="8"/>
      <c r="N620" s="422"/>
      <c r="O620" s="430"/>
      <c r="P620" s="31"/>
    </row>
    <row r="621" spans="1:17" s="17" customFormat="1" ht="33" customHeight="1" x14ac:dyDescent="0.3">
      <c r="A621" s="595"/>
      <c r="B621" s="399">
        <v>46268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7" s="17" customFormat="1" ht="33" customHeight="1" x14ac:dyDescent="0.3">
      <c r="A622" s="595"/>
      <c r="B622" s="399">
        <v>46269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7" s="17" customFormat="1" ht="33" customHeight="1" x14ac:dyDescent="0.3">
      <c r="A623" s="596"/>
      <c r="B623" s="399">
        <v>46270</v>
      </c>
      <c r="C623" s="4"/>
      <c r="D623" s="4"/>
      <c r="E623" s="291"/>
      <c r="F623" s="31"/>
      <c r="G623" s="16"/>
      <c r="H623" s="193"/>
      <c r="I623" s="31"/>
      <c r="J623" s="31"/>
      <c r="K623" s="125"/>
      <c r="L623" s="16"/>
      <c r="M623" s="8"/>
      <c r="N623" s="31"/>
      <c r="O623" s="432"/>
      <c r="P623" s="31"/>
    </row>
    <row r="624" spans="1:17" s="17" customFormat="1" ht="33" customHeight="1" x14ac:dyDescent="0.3">
      <c r="A624" s="322" t="s">
        <v>0</v>
      </c>
      <c r="B624" s="323" t="s">
        <v>1</v>
      </c>
      <c r="C624" s="322" t="s">
        <v>2</v>
      </c>
      <c r="D624" s="322" t="s">
        <v>3</v>
      </c>
      <c r="E624" s="322" t="s">
        <v>4</v>
      </c>
      <c r="F624" s="322" t="s">
        <v>5</v>
      </c>
      <c r="G624" s="322" t="s">
        <v>6</v>
      </c>
      <c r="H624" s="324" t="s">
        <v>7</v>
      </c>
      <c r="I624" s="322" t="s">
        <v>8</v>
      </c>
      <c r="J624" s="322" t="s">
        <v>9</v>
      </c>
      <c r="K624" s="325" t="s">
        <v>10</v>
      </c>
      <c r="L624" s="326" t="s">
        <v>11</v>
      </c>
      <c r="M624" s="322" t="s">
        <v>12</v>
      </c>
      <c r="N624" s="327" t="s">
        <v>13</v>
      </c>
      <c r="O624" s="427" t="s">
        <v>63</v>
      </c>
      <c r="P624" s="322" t="s">
        <v>123</v>
      </c>
    </row>
    <row r="625" spans="1:16" s="17" customFormat="1" ht="33" customHeight="1" x14ac:dyDescent="0.3">
      <c r="A625" s="594" t="s">
        <v>6763</v>
      </c>
      <c r="B625" s="399">
        <v>46272</v>
      </c>
      <c r="C625" s="4"/>
      <c r="D625" s="4"/>
      <c r="E625" s="3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 x14ac:dyDescent="0.3">
      <c r="A626" s="595"/>
      <c r="B626" s="399">
        <v>46273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 x14ac:dyDescent="0.3">
      <c r="A627" s="595"/>
      <c r="B627" s="399">
        <v>46274</v>
      </c>
      <c r="C627" s="4" t="s">
        <v>21</v>
      </c>
      <c r="D627" s="4" t="s">
        <v>14</v>
      </c>
      <c r="E627" s="785" t="s">
        <v>107</v>
      </c>
      <c r="F627" s="790" t="s">
        <v>6745</v>
      </c>
      <c r="G627" s="16" t="s">
        <v>376</v>
      </c>
      <c r="H627" s="790" t="s">
        <v>6808</v>
      </c>
      <c r="I627" s="785" t="s">
        <v>6841</v>
      </c>
      <c r="J627" s="790"/>
      <c r="K627" s="125" t="s">
        <v>6744</v>
      </c>
      <c r="L627" s="16" t="s">
        <v>4550</v>
      </c>
      <c r="M627" s="8">
        <v>2</v>
      </c>
      <c r="N627" s="422"/>
      <c r="O627" s="430"/>
      <c r="P627" s="31"/>
    </row>
    <row r="628" spans="1:16" s="17" customFormat="1" ht="33" customHeight="1" x14ac:dyDescent="0.3">
      <c r="A628" s="595"/>
      <c r="B628" s="399">
        <v>46275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 x14ac:dyDescent="0.3">
      <c r="A629" s="595"/>
      <c r="B629" s="399">
        <v>46276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 x14ac:dyDescent="0.3">
      <c r="A630" s="596"/>
      <c r="B630" s="399">
        <v>46277</v>
      </c>
      <c r="C630" s="4"/>
      <c r="D630" s="4"/>
      <c r="E630" s="291"/>
      <c r="F630" s="31"/>
      <c r="G630" s="16"/>
      <c r="H630" s="193"/>
      <c r="I630" s="31"/>
      <c r="J630" s="31"/>
      <c r="K630" s="125"/>
      <c r="L630" s="16"/>
      <c r="M630" s="8"/>
      <c r="N630" s="31"/>
      <c r="O630" s="432"/>
      <c r="P630" s="31"/>
    </row>
    <row r="631" spans="1:16" s="17" customFormat="1" ht="33" customHeight="1" x14ac:dyDescent="0.3">
      <c r="A631" s="322" t="s">
        <v>0</v>
      </c>
      <c r="B631" s="323" t="s">
        <v>1</v>
      </c>
      <c r="C631" s="322" t="s">
        <v>2</v>
      </c>
      <c r="D631" s="322" t="s">
        <v>3</v>
      </c>
      <c r="E631" s="322" t="s">
        <v>4</v>
      </c>
      <c r="F631" s="322" t="s">
        <v>5</v>
      </c>
      <c r="G631" s="322" t="s">
        <v>6</v>
      </c>
      <c r="H631" s="324" t="s">
        <v>7</v>
      </c>
      <c r="I631" s="322" t="s">
        <v>8</v>
      </c>
      <c r="J631" s="322" t="s">
        <v>9</v>
      </c>
      <c r="K631" s="325" t="s">
        <v>10</v>
      </c>
      <c r="L631" s="326" t="s">
        <v>11</v>
      </c>
      <c r="M631" s="322" t="s">
        <v>12</v>
      </c>
      <c r="N631" s="327" t="s">
        <v>13</v>
      </c>
      <c r="O631" s="427" t="s">
        <v>63</v>
      </c>
      <c r="P631" s="322" t="s">
        <v>123</v>
      </c>
    </row>
    <row r="632" spans="1:16" s="17" customFormat="1" ht="33" customHeight="1" x14ac:dyDescent="0.3">
      <c r="A632" s="594" t="s">
        <v>6764</v>
      </c>
      <c r="B632" s="399">
        <v>46279</v>
      </c>
      <c r="C632" s="4"/>
      <c r="D632" s="4"/>
      <c r="E632" s="3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 x14ac:dyDescent="0.3">
      <c r="A633" s="595"/>
      <c r="B633" s="399">
        <v>46280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 x14ac:dyDescent="0.3">
      <c r="A634" s="595"/>
      <c r="B634" s="399">
        <v>46281</v>
      </c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 x14ac:dyDescent="0.3">
      <c r="A635" s="595"/>
      <c r="B635" s="399">
        <v>46282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 x14ac:dyDescent="0.3">
      <c r="A636" s="595"/>
      <c r="B636" s="399">
        <v>46283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 x14ac:dyDescent="0.3">
      <c r="A637" s="596"/>
      <c r="B637" s="399">
        <v>46284</v>
      </c>
      <c r="C637" s="4"/>
      <c r="D637" s="4"/>
      <c r="E637" s="291"/>
      <c r="F637" s="31"/>
      <c r="G637" s="16"/>
      <c r="H637" s="193"/>
      <c r="I637" s="31"/>
      <c r="J637" s="31"/>
      <c r="K637" s="125"/>
      <c r="L637" s="16"/>
      <c r="M637" s="8"/>
      <c r="N637" s="31"/>
      <c r="O637" s="432"/>
      <c r="P637" s="31"/>
    </row>
    <row r="638" spans="1:16" s="17" customFormat="1" ht="33" customHeight="1" x14ac:dyDescent="0.3">
      <c r="A638" s="322" t="s">
        <v>0</v>
      </c>
      <c r="B638" s="323" t="s">
        <v>1</v>
      </c>
      <c r="C638" s="322" t="s">
        <v>2</v>
      </c>
      <c r="D638" s="322" t="s">
        <v>3</v>
      </c>
      <c r="E638" s="322" t="s">
        <v>4</v>
      </c>
      <c r="F638" s="322" t="s">
        <v>5</v>
      </c>
      <c r="G638" s="322" t="s">
        <v>6</v>
      </c>
      <c r="H638" s="324" t="s">
        <v>7</v>
      </c>
      <c r="I638" s="322" t="s">
        <v>8</v>
      </c>
      <c r="J638" s="322" t="s">
        <v>9</v>
      </c>
      <c r="K638" s="325" t="s">
        <v>10</v>
      </c>
      <c r="L638" s="326" t="s">
        <v>11</v>
      </c>
      <c r="M638" s="322" t="s">
        <v>12</v>
      </c>
      <c r="N638" s="327" t="s">
        <v>13</v>
      </c>
      <c r="O638" s="427" t="s">
        <v>63</v>
      </c>
      <c r="P638" s="322" t="s">
        <v>123</v>
      </c>
    </row>
    <row r="639" spans="1:16" s="17" customFormat="1" ht="33" customHeight="1" x14ac:dyDescent="0.3">
      <c r="A639" s="594" t="s">
        <v>6765</v>
      </c>
      <c r="B639" s="399">
        <v>46286</v>
      </c>
      <c r="C639" s="4"/>
      <c r="D639" s="4"/>
      <c r="E639" s="31"/>
      <c r="F639" s="31"/>
      <c r="G639" s="16"/>
      <c r="H639" s="193"/>
      <c r="I639" s="31"/>
      <c r="J639" s="31"/>
      <c r="K639" s="125"/>
      <c r="L639" s="16"/>
      <c r="M639" s="8"/>
      <c r="N639" s="31"/>
      <c r="O639" s="431"/>
      <c r="P639" s="31"/>
    </row>
    <row r="640" spans="1:16" s="17" customFormat="1" ht="33" customHeight="1" x14ac:dyDescent="0.3">
      <c r="A640" s="595"/>
      <c r="B640" s="399">
        <v>46287</v>
      </c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 x14ac:dyDescent="0.3">
      <c r="A641" s="595"/>
      <c r="B641" s="399">
        <v>46288</v>
      </c>
      <c r="C641" s="4"/>
      <c r="D641" s="4"/>
      <c r="E641" s="31"/>
      <c r="F641" s="31"/>
      <c r="G641" s="16"/>
      <c r="H641" s="193"/>
      <c r="I641" s="31"/>
      <c r="J641" s="193"/>
      <c r="K641" s="125"/>
      <c r="L641" s="16"/>
      <c r="M641" s="8"/>
      <c r="N641" s="422"/>
      <c r="O641" s="430"/>
      <c r="P641" s="31"/>
    </row>
    <row r="642" spans="1:16" s="17" customFormat="1" ht="33" customHeight="1" x14ac:dyDescent="0.3">
      <c r="A642" s="595"/>
      <c r="B642" s="399">
        <v>46289</v>
      </c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 x14ac:dyDescent="0.3">
      <c r="A643" s="595"/>
      <c r="B643" s="399">
        <v>46290</v>
      </c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 t="s">
        <v>6766</v>
      </c>
      <c r="P643" s="31"/>
    </row>
    <row r="644" spans="1:16" s="17" customFormat="1" ht="33" customHeight="1" x14ac:dyDescent="0.3">
      <c r="A644" s="596"/>
      <c r="B644" s="399">
        <v>46291</v>
      </c>
      <c r="C644" s="4"/>
      <c r="D644" s="4"/>
      <c r="E644" s="291"/>
      <c r="F644" s="31"/>
      <c r="G644" s="16"/>
      <c r="H644" s="193"/>
      <c r="I644" s="31"/>
      <c r="J644" s="31"/>
      <c r="K644" s="125"/>
      <c r="L644" s="16"/>
      <c r="M644" s="8"/>
      <c r="N644" s="31"/>
      <c r="O644" s="432"/>
      <c r="P644" s="31"/>
    </row>
    <row r="645" spans="1:16" s="17" customFormat="1" ht="33" customHeight="1" x14ac:dyDescent="0.3">
      <c r="A645" s="322" t="s">
        <v>0</v>
      </c>
      <c r="B645" s="323" t="s">
        <v>1</v>
      </c>
      <c r="C645" s="322" t="s">
        <v>2</v>
      </c>
      <c r="D645" s="322" t="s">
        <v>3</v>
      </c>
      <c r="E645" s="322" t="s">
        <v>4</v>
      </c>
      <c r="F645" s="322" t="s">
        <v>5</v>
      </c>
      <c r="G645" s="322" t="s">
        <v>6</v>
      </c>
      <c r="H645" s="324" t="s">
        <v>7</v>
      </c>
      <c r="I645" s="322" t="s">
        <v>8</v>
      </c>
      <c r="J645" s="322" t="s">
        <v>9</v>
      </c>
      <c r="K645" s="325" t="s">
        <v>10</v>
      </c>
      <c r="L645" s="326" t="s">
        <v>11</v>
      </c>
      <c r="M645" s="322" t="s">
        <v>12</v>
      </c>
      <c r="N645" s="327" t="s">
        <v>13</v>
      </c>
      <c r="O645" s="427" t="s">
        <v>63</v>
      </c>
      <c r="P645" s="322" t="s">
        <v>123</v>
      </c>
    </row>
    <row r="646" spans="1:16" s="17" customFormat="1" ht="33" customHeight="1" x14ac:dyDescent="0.3">
      <c r="A646" s="594"/>
      <c r="B646" s="399"/>
      <c r="C646" s="4"/>
      <c r="D646" s="4"/>
      <c r="E646" s="3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 x14ac:dyDescent="0.3">
      <c r="A647" s="595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 x14ac:dyDescent="0.3">
      <c r="A648" s="595"/>
      <c r="B648" s="399"/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 x14ac:dyDescent="0.3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 x14ac:dyDescent="0.3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 x14ac:dyDescent="0.3">
      <c r="A651" s="596"/>
      <c r="B651" s="399"/>
      <c r="C651" s="4"/>
      <c r="D651" s="4"/>
      <c r="E651" s="291"/>
      <c r="F651" s="31"/>
      <c r="G651" s="16"/>
      <c r="H651" s="193"/>
      <c r="I651" s="31"/>
      <c r="J651" s="31"/>
      <c r="K651" s="125"/>
      <c r="L651" s="16"/>
      <c r="M651" s="8"/>
      <c r="N651" s="31"/>
      <c r="O651" s="432"/>
      <c r="P651" s="31"/>
    </row>
    <row r="652" spans="1:16" s="17" customFormat="1" ht="33" customHeight="1" x14ac:dyDescent="0.3">
      <c r="A652" s="322" t="s">
        <v>0</v>
      </c>
      <c r="B652" s="323" t="s">
        <v>1</v>
      </c>
      <c r="C652" s="322" t="s">
        <v>2</v>
      </c>
      <c r="D652" s="322" t="s">
        <v>3</v>
      </c>
      <c r="E652" s="322" t="s">
        <v>4</v>
      </c>
      <c r="F652" s="322" t="s">
        <v>5</v>
      </c>
      <c r="G652" s="322" t="s">
        <v>6</v>
      </c>
      <c r="H652" s="324" t="s">
        <v>7</v>
      </c>
      <c r="I652" s="322" t="s">
        <v>8</v>
      </c>
      <c r="J652" s="322" t="s">
        <v>9</v>
      </c>
      <c r="K652" s="325" t="s">
        <v>10</v>
      </c>
      <c r="L652" s="326" t="s">
        <v>11</v>
      </c>
      <c r="M652" s="322" t="s">
        <v>12</v>
      </c>
      <c r="N652" s="327" t="s">
        <v>13</v>
      </c>
      <c r="O652" s="427" t="s">
        <v>63</v>
      </c>
      <c r="P652" s="322" t="s">
        <v>123</v>
      </c>
    </row>
    <row r="653" spans="1:16" s="17" customFormat="1" ht="33" customHeight="1" x14ac:dyDescent="0.3">
      <c r="A653" s="594"/>
      <c r="B653" s="399"/>
      <c r="C653" s="4"/>
      <c r="D653" s="4"/>
      <c r="E653" s="3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 x14ac:dyDescent="0.3">
      <c r="A654" s="595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 x14ac:dyDescent="0.3">
      <c r="A655" s="595"/>
      <c r="B655" s="399"/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 x14ac:dyDescent="0.3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 x14ac:dyDescent="0.3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 x14ac:dyDescent="0.3">
      <c r="A658" s="596"/>
      <c r="B658" s="399"/>
      <c r="C658" s="4"/>
      <c r="D658" s="4"/>
      <c r="E658" s="291"/>
      <c r="F658" s="31"/>
      <c r="G658" s="16"/>
      <c r="H658" s="193"/>
      <c r="I658" s="31"/>
      <c r="J658" s="31"/>
      <c r="K658" s="125"/>
      <c r="L658" s="16"/>
      <c r="M658" s="8"/>
      <c r="N658" s="31"/>
      <c r="O658" s="432"/>
      <c r="P658" s="31"/>
    </row>
    <row r="659" spans="1:16" s="17" customFormat="1" ht="33" customHeight="1" x14ac:dyDescent="0.3">
      <c r="A659" s="322" t="s">
        <v>0</v>
      </c>
      <c r="B659" s="323" t="s">
        <v>1</v>
      </c>
      <c r="C659" s="322" t="s">
        <v>2</v>
      </c>
      <c r="D659" s="322" t="s">
        <v>3</v>
      </c>
      <c r="E659" s="322" t="s">
        <v>4</v>
      </c>
      <c r="F659" s="322" t="s">
        <v>5</v>
      </c>
      <c r="G659" s="322" t="s">
        <v>6</v>
      </c>
      <c r="H659" s="324" t="s">
        <v>7</v>
      </c>
      <c r="I659" s="322" t="s">
        <v>8</v>
      </c>
      <c r="J659" s="322" t="s">
        <v>9</v>
      </c>
      <c r="K659" s="325" t="s">
        <v>10</v>
      </c>
      <c r="L659" s="326" t="s">
        <v>11</v>
      </c>
      <c r="M659" s="322" t="s">
        <v>12</v>
      </c>
      <c r="N659" s="327" t="s">
        <v>13</v>
      </c>
      <c r="O659" s="427" t="s">
        <v>63</v>
      </c>
      <c r="P659" s="322" t="s">
        <v>123</v>
      </c>
    </row>
    <row r="660" spans="1:16" s="17" customFormat="1" ht="33" customHeight="1" x14ac:dyDescent="0.3">
      <c r="A660" s="594"/>
      <c r="B660" s="399"/>
      <c r="C660" s="4"/>
      <c r="D660" s="4"/>
      <c r="E660" s="31"/>
      <c r="F660" s="31"/>
      <c r="G660" s="16"/>
      <c r="H660" s="193"/>
      <c r="I660" s="31"/>
      <c r="J660" s="31"/>
      <c r="K660" s="125"/>
      <c r="L660" s="16"/>
      <c r="M660" s="8"/>
      <c r="N660" s="31"/>
      <c r="O660" s="431"/>
      <c r="P660" s="31"/>
    </row>
    <row r="661" spans="1:16" s="17" customFormat="1" ht="33" customHeight="1" x14ac:dyDescent="0.3">
      <c r="A661" s="595"/>
      <c r="B661" s="399"/>
      <c r="C661" s="4"/>
      <c r="D661" s="4"/>
      <c r="E661" s="291"/>
      <c r="F661" s="31"/>
      <c r="G661" s="16"/>
      <c r="H661" s="193"/>
      <c r="I661" s="31"/>
      <c r="J661" s="31"/>
      <c r="K661" s="125"/>
      <c r="L661" s="16"/>
      <c r="M661" s="8"/>
      <c r="N661" s="31"/>
      <c r="O661" s="431"/>
      <c r="P661" s="31"/>
    </row>
    <row r="662" spans="1:16" s="17" customFormat="1" ht="33" customHeight="1" x14ac:dyDescent="0.3">
      <c r="A662" s="595"/>
      <c r="B662" s="399"/>
      <c r="C662" s="4"/>
      <c r="D662" s="4"/>
      <c r="E662" s="31"/>
      <c r="F662" s="31"/>
      <c r="G662" s="16"/>
      <c r="H662" s="193"/>
      <c r="I662" s="31"/>
      <c r="J662" s="193"/>
      <c r="K662" s="125"/>
      <c r="L662" s="16"/>
      <c r="M662" s="8"/>
      <c r="N662" s="422"/>
      <c r="O662" s="430"/>
      <c r="P662" s="31"/>
    </row>
    <row r="663" spans="1:16" s="17" customFormat="1" ht="33" customHeight="1" x14ac:dyDescent="0.3">
      <c r="A663" s="595"/>
      <c r="B663" s="399"/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/>
      <c r="P663" s="31"/>
    </row>
    <row r="664" spans="1:16" s="17" customFormat="1" ht="33" customHeight="1" x14ac:dyDescent="0.3">
      <c r="A664" s="595"/>
      <c r="B664" s="399"/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 x14ac:dyDescent="0.3">
      <c r="A665" s="596"/>
      <c r="B665" s="399"/>
      <c r="C665" s="4"/>
      <c r="D665" s="4"/>
      <c r="E665" s="291"/>
      <c r="F665" s="31"/>
      <c r="G665" s="16"/>
      <c r="H665" s="193"/>
      <c r="I665" s="31"/>
      <c r="J665" s="31"/>
      <c r="K665" s="125"/>
      <c r="L665" s="16"/>
      <c r="M665" s="8"/>
      <c r="N665" s="31"/>
      <c r="O665" s="432"/>
      <c r="P665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32" t="s">
        <v>161</v>
      </c>
      <c r="B1" s="932" t="s">
        <v>162</v>
      </c>
      <c r="C1" s="930" t="s">
        <v>1</v>
      </c>
      <c r="D1" s="930" t="s">
        <v>2</v>
      </c>
      <c r="E1" s="930" t="s">
        <v>3</v>
      </c>
      <c r="F1" s="27" t="s">
        <v>54</v>
      </c>
      <c r="G1" s="930" t="s">
        <v>5</v>
      </c>
      <c r="H1" s="930" t="s">
        <v>6</v>
      </c>
      <c r="I1" s="930" t="s">
        <v>7</v>
      </c>
      <c r="J1" s="930" t="s">
        <v>55</v>
      </c>
      <c r="K1" s="934" t="s">
        <v>483</v>
      </c>
      <c r="L1" s="936" t="s">
        <v>56</v>
      </c>
      <c r="M1" s="928" t="s">
        <v>57</v>
      </c>
      <c r="N1" s="930" t="s">
        <v>58</v>
      </c>
    </row>
    <row r="2" spans="1:14" x14ac:dyDescent="0.3">
      <c r="A2" s="933"/>
      <c r="B2" s="933"/>
      <c r="C2" s="931"/>
      <c r="D2" s="931"/>
      <c r="E2" s="931"/>
      <c r="F2" s="28" t="s">
        <v>59</v>
      </c>
      <c r="G2" s="931"/>
      <c r="H2" s="931"/>
      <c r="I2" s="931"/>
      <c r="J2" s="931"/>
      <c r="K2" s="935"/>
      <c r="L2" s="937"/>
      <c r="M2" s="929"/>
      <c r="N2" s="931"/>
    </row>
    <row r="3" spans="1:14" ht="27" x14ac:dyDescent="0.3">
      <c r="A3" s="55">
        <v>1</v>
      </c>
      <c r="B3" s="89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0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1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1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07"/>
      <c r="C9" s="93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07"/>
      <c r="C10" s="93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0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07"/>
      <c r="C12" s="93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07"/>
      <c r="C13" s="94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07"/>
      <c r="C14" s="93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07"/>
      <c r="C15" s="93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07"/>
      <c r="C16" s="93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1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1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2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3"/>
    </row>
    <row r="24" spans="1:17" ht="27" x14ac:dyDescent="0.3">
      <c r="A24" s="55">
        <v>4</v>
      </c>
      <c r="B24" s="891" t="s">
        <v>21</v>
      </c>
      <c r="C24" s="88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7" t="s">
        <v>85</v>
      </c>
      <c r="K24" s="914" t="s">
        <v>41</v>
      </c>
      <c r="L24" s="6" t="s">
        <v>15</v>
      </c>
      <c r="M24" s="919">
        <v>180000</v>
      </c>
      <c r="N24" s="45" t="s">
        <v>194</v>
      </c>
    </row>
    <row r="25" spans="1:17" ht="27" x14ac:dyDescent="0.3">
      <c r="A25" s="55">
        <v>4</v>
      </c>
      <c r="B25" s="907"/>
      <c r="C25" s="89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8"/>
      <c r="K25" s="915"/>
      <c r="L25" s="6" t="s">
        <v>15</v>
      </c>
      <c r="M25" s="920"/>
      <c r="N25" s="45" t="s">
        <v>194</v>
      </c>
    </row>
    <row r="26" spans="1:17" x14ac:dyDescent="0.3">
      <c r="A26" s="55">
        <v>4</v>
      </c>
      <c r="B26" s="907"/>
      <c r="C26" s="88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2"/>
      <c r="C27" s="89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0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07"/>
      <c r="C32" s="88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07"/>
      <c r="C33" s="89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1" t="s">
        <v>20</v>
      </c>
      <c r="C35" s="88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2"/>
      <c r="C36" s="89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1" t="s">
        <v>20</v>
      </c>
      <c r="C37" s="88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2"/>
      <c r="C38" s="89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6"/>
      <c r="C40" s="88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6"/>
      <c r="C41" s="89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2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17"/>
      <c r="C45" s="91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17"/>
      <c r="C46" s="92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1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0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1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1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1" t="s">
        <v>64</v>
      </c>
      <c r="C67" s="88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4" t="s">
        <v>435</v>
      </c>
      <c r="L67" s="6" t="s">
        <v>436</v>
      </c>
      <c r="M67" s="919">
        <v>750000</v>
      </c>
      <c r="N67" s="45" t="s">
        <v>446</v>
      </c>
    </row>
    <row r="68" spans="1:15" ht="27" x14ac:dyDescent="0.3">
      <c r="A68" s="55">
        <v>19</v>
      </c>
      <c r="B68" s="907"/>
      <c r="C68" s="91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5"/>
      <c r="L68" s="6" t="s">
        <v>411</v>
      </c>
      <c r="M68" s="920"/>
      <c r="N68" s="45" t="s">
        <v>445</v>
      </c>
    </row>
    <row r="69" spans="1:15" x14ac:dyDescent="0.3">
      <c r="A69" s="55">
        <v>19</v>
      </c>
      <c r="B69" s="907"/>
      <c r="C69" s="89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0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0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0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0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9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0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07"/>
      <c r="C83" s="88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07"/>
      <c r="C84" s="89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07"/>
      <c r="C85" s="88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07"/>
      <c r="C86" s="89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0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0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07"/>
      <c r="C93" s="88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07"/>
      <c r="C94" s="91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07"/>
      <c r="C95" s="89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0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1" t="s">
        <v>21</v>
      </c>
      <c r="C99" s="88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07"/>
      <c r="C100" s="89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0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0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0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0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08" t="s">
        <v>658</v>
      </c>
      <c r="C110" s="90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09"/>
      <c r="C111" s="94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09"/>
      <c r="C112" s="94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41"/>
      <c r="C113" s="94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4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09"/>
      <c r="C115" s="90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10"/>
      <c r="C116" s="94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1" t="s">
        <v>20</v>
      </c>
      <c r="C117" s="95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7" t="s">
        <v>168</v>
      </c>
      <c r="K117" s="914" t="s">
        <v>645</v>
      </c>
      <c r="L117" s="57" t="s">
        <v>209</v>
      </c>
      <c r="M117" s="943">
        <f>250000*5</f>
        <v>1250000</v>
      </c>
      <c r="N117" s="891" t="s">
        <v>121</v>
      </c>
    </row>
    <row r="118" spans="1:14" x14ac:dyDescent="0.3">
      <c r="A118" s="101">
        <v>28</v>
      </c>
      <c r="B118" s="907"/>
      <c r="C118" s="91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3"/>
      <c r="K118" s="952"/>
      <c r="L118" s="57" t="s">
        <v>209</v>
      </c>
      <c r="M118" s="944"/>
      <c r="N118" s="907"/>
    </row>
    <row r="119" spans="1:14" x14ac:dyDescent="0.3">
      <c r="A119" s="101">
        <v>28</v>
      </c>
      <c r="B119" s="907"/>
      <c r="C119" s="91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8"/>
      <c r="K119" s="915"/>
      <c r="L119" s="57" t="s">
        <v>209</v>
      </c>
      <c r="M119" s="945"/>
      <c r="N119" s="892"/>
    </row>
    <row r="120" spans="1:14" x14ac:dyDescent="0.3">
      <c r="A120" s="101">
        <v>28</v>
      </c>
      <c r="B120" s="892"/>
      <c r="C120" s="89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08" t="s">
        <v>307</v>
      </c>
      <c r="C122" s="90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09"/>
      <c r="C123" s="90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8" t="s">
        <v>664</v>
      </c>
      <c r="K123" s="916" t="s">
        <v>707</v>
      </c>
      <c r="L123" s="110" t="s">
        <v>324</v>
      </c>
      <c r="M123" s="946" t="s">
        <v>708</v>
      </c>
      <c r="N123" s="110"/>
    </row>
    <row r="124" spans="1:14" x14ac:dyDescent="0.3">
      <c r="A124" s="55">
        <v>29</v>
      </c>
      <c r="B124" s="909"/>
      <c r="C124" s="90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9"/>
      <c r="K124" s="917"/>
      <c r="L124" s="110" t="s">
        <v>324</v>
      </c>
      <c r="M124" s="947"/>
      <c r="N124" s="110"/>
    </row>
    <row r="125" spans="1:14" x14ac:dyDescent="0.3">
      <c r="A125" s="55">
        <v>29</v>
      </c>
      <c r="B125" s="909"/>
      <c r="C125" s="90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0"/>
      <c r="K125" s="918"/>
      <c r="L125" s="110" t="s">
        <v>324</v>
      </c>
      <c r="M125" s="948"/>
      <c r="N125" s="110"/>
    </row>
    <row r="126" spans="1:14" x14ac:dyDescent="0.3">
      <c r="A126" s="55">
        <v>29</v>
      </c>
      <c r="B126" s="910"/>
      <c r="C126" s="91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0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0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0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09"/>
      <c r="C130" s="90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09"/>
      <c r="C131" s="91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09"/>
      <c r="C132" s="90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09"/>
      <c r="C133" s="91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1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91" t="s">
        <v>618</v>
      </c>
      <c r="C135" s="88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07"/>
      <c r="C136" s="91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07"/>
      <c r="C137" s="91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92"/>
      <c r="C138" s="89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07"/>
      <c r="C140" s="88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07"/>
      <c r="C141" s="89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1" t="s">
        <v>735</v>
      </c>
    </row>
    <row r="142" spans="1:14" x14ac:dyDescent="0.3">
      <c r="A142" s="55">
        <v>30</v>
      </c>
      <c r="B142" s="89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2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1" t="s">
        <v>20</v>
      </c>
      <c r="C146" s="889" t="s">
        <v>869</v>
      </c>
      <c r="D146" s="914" t="s">
        <v>19</v>
      </c>
      <c r="E146" s="94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2"/>
      <c r="C147" s="890"/>
      <c r="D147" s="915"/>
      <c r="E147" s="95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1" t="s">
        <v>123</v>
      </c>
      <c r="C148" s="889" t="s">
        <v>782</v>
      </c>
      <c r="D148" s="914" t="s">
        <v>19</v>
      </c>
      <c r="E148" s="94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2"/>
      <c r="C149" s="890"/>
      <c r="D149" s="915"/>
      <c r="E149" s="95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0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1" t="s">
        <v>247</v>
      </c>
    </row>
    <row r="154" spans="1:14" ht="27" x14ac:dyDescent="0.3">
      <c r="A154" s="55">
        <v>34</v>
      </c>
      <c r="B154" s="907"/>
      <c r="C154" s="88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7"/>
    </row>
    <row r="155" spans="1:14" ht="27" x14ac:dyDescent="0.3">
      <c r="A155" s="55">
        <v>34</v>
      </c>
      <c r="B155" s="907"/>
      <c r="C155" s="89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2"/>
    </row>
    <row r="156" spans="1:14" ht="27" x14ac:dyDescent="0.3">
      <c r="A156" s="55">
        <v>34</v>
      </c>
      <c r="B156" s="907"/>
      <c r="C156" s="88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1" t="s">
        <v>825</v>
      </c>
    </row>
    <row r="157" spans="1:14" ht="27" x14ac:dyDescent="0.3">
      <c r="A157" s="55">
        <v>34</v>
      </c>
      <c r="B157" s="907"/>
      <c r="C157" s="89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7"/>
    </row>
    <row r="158" spans="1:14" ht="27" x14ac:dyDescent="0.3">
      <c r="A158" s="55">
        <v>34</v>
      </c>
      <c r="B158" s="907"/>
      <c r="C158" s="88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7"/>
    </row>
    <row r="159" spans="1:14" ht="27" x14ac:dyDescent="0.3">
      <c r="A159" s="55">
        <v>34</v>
      </c>
      <c r="B159" s="907"/>
      <c r="C159" s="89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7"/>
    </row>
    <row r="160" spans="1:14" ht="27" x14ac:dyDescent="0.3">
      <c r="A160" s="55">
        <v>34</v>
      </c>
      <c r="B160" s="90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7"/>
    </row>
    <row r="161" spans="1:15" ht="27" x14ac:dyDescent="0.3">
      <c r="A161" s="55">
        <v>34</v>
      </c>
      <c r="B161" s="90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2"/>
    </row>
    <row r="162" spans="1:15" ht="27" x14ac:dyDescent="0.3">
      <c r="A162" s="55">
        <v>34</v>
      </c>
      <c r="B162" s="89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0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0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9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67" t="s">
        <v>849</v>
      </c>
      <c r="C167" s="85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68"/>
      <c r="C168" s="85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68"/>
      <c r="C169" s="85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69"/>
      <c r="C170" s="85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6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6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6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6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6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6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6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68"/>
      <c r="C178" s="85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69"/>
      <c r="C179" s="85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6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68"/>
      <c r="C181" s="88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7" t="s">
        <v>838</v>
      </c>
      <c r="K181" s="914" t="s">
        <v>985</v>
      </c>
      <c r="L181" s="6" t="s">
        <v>910</v>
      </c>
      <c r="M181" s="943">
        <f>180000+200000+200000</f>
        <v>580000</v>
      </c>
      <c r="N181" s="45" t="s">
        <v>806</v>
      </c>
    </row>
    <row r="182" spans="1:14" x14ac:dyDescent="0.3">
      <c r="A182" s="55">
        <v>36</v>
      </c>
      <c r="B182" s="868"/>
      <c r="C182" s="91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8"/>
      <c r="K182" s="915"/>
      <c r="L182" s="6" t="s">
        <v>911</v>
      </c>
      <c r="M182" s="945"/>
      <c r="N182" s="45" t="s">
        <v>806</v>
      </c>
    </row>
    <row r="183" spans="1:14" x14ac:dyDescent="0.3">
      <c r="A183" s="55">
        <v>36</v>
      </c>
      <c r="B183" s="868"/>
      <c r="C183" s="89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6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6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6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68"/>
      <c r="C187" s="85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69"/>
      <c r="C188" s="85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6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6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6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67" t="s">
        <v>939</v>
      </c>
      <c r="C192" s="85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68"/>
      <c r="C193" s="85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6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6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68"/>
      <c r="C196" s="88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68"/>
      <c r="C197" s="89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68"/>
      <c r="C198" s="88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69"/>
      <c r="C199" s="89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67" t="s">
        <v>20</v>
      </c>
      <c r="C200" s="85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68"/>
      <c r="C201" s="85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68"/>
      <c r="C202" s="85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69"/>
      <c r="C203" s="85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6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6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6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67" t="s">
        <v>20</v>
      </c>
      <c r="C207" s="85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68"/>
      <c r="C208" s="85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6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6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6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6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6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6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6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6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6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67" t="s">
        <v>20</v>
      </c>
      <c r="C218" s="85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68"/>
      <c r="C219" s="85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6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6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6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6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6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6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91" t="s">
        <v>247</v>
      </c>
    </row>
    <row r="226" spans="1:14" x14ac:dyDescent="0.3">
      <c r="A226" s="55">
        <v>44</v>
      </c>
      <c r="B226" s="86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07"/>
    </row>
    <row r="227" spans="1:14" x14ac:dyDescent="0.3">
      <c r="A227" s="55">
        <v>44</v>
      </c>
      <c r="B227" s="86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2"/>
    </row>
    <row r="228" spans="1:14" x14ac:dyDescent="0.3">
      <c r="A228" s="55">
        <v>44</v>
      </c>
      <c r="B228" s="86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6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6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6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6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6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6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6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6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6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6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6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6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6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6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6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6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6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6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68"/>
      <c r="C249" s="85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1" t="s">
        <v>247</v>
      </c>
    </row>
    <row r="250" spans="1:14" x14ac:dyDescent="0.3">
      <c r="A250" s="55">
        <v>48</v>
      </c>
      <c r="B250" s="869"/>
      <c r="C250" s="85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2"/>
    </row>
    <row r="251" spans="1:14" x14ac:dyDescent="0.3">
      <c r="A251" s="55">
        <v>48</v>
      </c>
      <c r="B251" s="86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6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6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6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6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68"/>
      <c r="C256" s="85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1" t="s">
        <v>247</v>
      </c>
    </row>
    <row r="257" spans="1:14" x14ac:dyDescent="0.3">
      <c r="A257" s="55">
        <v>49</v>
      </c>
      <c r="B257" s="869"/>
      <c r="C257" s="85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2"/>
    </row>
    <row r="258" spans="1:14" ht="40.5" x14ac:dyDescent="0.3">
      <c r="A258" s="55">
        <v>49</v>
      </c>
      <c r="B258" s="86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6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8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8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8" t="s">
        <v>1103</v>
      </c>
    </row>
    <row r="262" spans="1:14" ht="25.5" x14ac:dyDescent="0.3">
      <c r="A262" s="132">
        <v>49</v>
      </c>
      <c r="B262" s="88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9"/>
    </row>
    <row r="263" spans="1:14" ht="16.5" customHeight="1" x14ac:dyDescent="0.3">
      <c r="A263" s="55">
        <v>50</v>
      </c>
      <c r="B263" s="867" t="s">
        <v>20</v>
      </c>
      <c r="C263" s="85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68"/>
      <c r="C264" s="85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68"/>
      <c r="C265" s="85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68"/>
      <c r="C266" s="85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69"/>
      <c r="C267" s="85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80" t="s">
        <v>658</v>
      </c>
      <c r="C268" s="87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81"/>
      <c r="C269" s="90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82"/>
      <c r="C270" s="87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67" t="s">
        <v>20</v>
      </c>
      <c r="C271" s="85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68"/>
      <c r="C272" s="85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68"/>
      <c r="C273" s="85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6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68"/>
      <c r="C275" s="85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68"/>
      <c r="C276" s="85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6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01" t="s">
        <v>1196</v>
      </c>
      <c r="B278" s="902"/>
      <c r="C278" s="902"/>
      <c r="D278" s="902"/>
      <c r="E278" s="902"/>
      <c r="F278" s="902"/>
      <c r="G278" s="902"/>
      <c r="H278" s="902"/>
      <c r="I278" s="902"/>
      <c r="J278" s="902"/>
      <c r="K278" s="902"/>
      <c r="L278" s="902"/>
      <c r="M278" s="902"/>
      <c r="N278" s="903"/>
    </row>
    <row r="279" spans="1:15" ht="16.5" customHeight="1" x14ac:dyDescent="0.3">
      <c r="A279" s="55">
        <v>1</v>
      </c>
      <c r="B279" s="867" t="s">
        <v>20</v>
      </c>
      <c r="C279" s="85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69"/>
      <c r="C280" s="85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67" t="s">
        <v>64</v>
      </c>
      <c r="C281" s="85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68"/>
      <c r="C282" s="85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68"/>
      <c r="C283" s="85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7" t="s">
        <v>1174</v>
      </c>
      <c r="K283" s="89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68"/>
      <c r="C284" s="85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8"/>
      <c r="K284" s="90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6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6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4" t="s">
        <v>123</v>
      </c>
      <c r="C287" s="87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5"/>
      <c r="C288" s="87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80" t="s">
        <v>64</v>
      </c>
      <c r="C289" s="87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81"/>
      <c r="C290" s="89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81"/>
      <c r="C291" s="89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8" t="s">
        <v>638</v>
      </c>
      <c r="K291" s="893" t="s">
        <v>671</v>
      </c>
      <c r="L291" s="148" t="s">
        <v>309</v>
      </c>
      <c r="M291" s="887" t="s">
        <v>672</v>
      </c>
      <c r="N291" s="148" t="s">
        <v>723</v>
      </c>
    </row>
    <row r="292" spans="1:15" x14ac:dyDescent="0.3">
      <c r="A292" s="55">
        <v>2</v>
      </c>
      <c r="B292" s="881"/>
      <c r="C292" s="89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9"/>
      <c r="K292" s="894"/>
      <c r="L292" s="148" t="s">
        <v>309</v>
      </c>
      <c r="M292" s="888"/>
      <c r="N292" s="148" t="s">
        <v>723</v>
      </c>
    </row>
    <row r="293" spans="1:15" x14ac:dyDescent="0.3">
      <c r="A293" s="55">
        <v>2</v>
      </c>
      <c r="B293" s="881"/>
      <c r="C293" s="89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81"/>
      <c r="C294" s="87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8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67" t="s">
        <v>20</v>
      </c>
      <c r="C296" s="85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68"/>
      <c r="C297" s="85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69"/>
      <c r="C298" s="85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6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6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6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67" t="s">
        <v>20</v>
      </c>
      <c r="C302" s="85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68"/>
      <c r="C303" s="85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68"/>
      <c r="C304" s="85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68"/>
      <c r="C305" s="85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69"/>
      <c r="C306" s="85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67" t="s">
        <v>20</v>
      </c>
      <c r="C308" s="85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69"/>
      <c r="C309" s="85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6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6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6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80" t="s">
        <v>307</v>
      </c>
      <c r="C313" s="87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82"/>
      <c r="C314" s="87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67" t="s">
        <v>20</v>
      </c>
      <c r="C316" s="85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68"/>
      <c r="C317" s="85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69"/>
      <c r="C318" s="85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6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6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6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67" t="s">
        <v>20</v>
      </c>
      <c r="C322" s="85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69"/>
      <c r="C323" s="85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6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6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6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6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6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67" t="s">
        <v>20</v>
      </c>
      <c r="C329" s="85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68"/>
      <c r="C330" s="85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69"/>
      <c r="C331" s="85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6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6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67" t="s">
        <v>20</v>
      </c>
      <c r="C334" s="85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68"/>
      <c r="C335" s="85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68"/>
      <c r="C336" s="85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69"/>
      <c r="C337" s="85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6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6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6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6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67" t="s">
        <v>20</v>
      </c>
      <c r="C342" s="85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68"/>
      <c r="C343" s="85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6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6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6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6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6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68"/>
      <c r="C349" s="88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69"/>
      <c r="C350" s="89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8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8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8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8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8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8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8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8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8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6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6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6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6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6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6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6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6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6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6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6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6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6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6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6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80" t="s">
        <v>307</v>
      </c>
      <c r="C375" s="128" t="s">
        <v>1531</v>
      </c>
      <c r="D375" s="878" t="s">
        <v>306</v>
      </c>
      <c r="E375" s="878" t="s">
        <v>322</v>
      </c>
      <c r="F375" s="878" t="s">
        <v>307</v>
      </c>
      <c r="G375" s="883">
        <v>4266</v>
      </c>
      <c r="H375" s="878" t="s">
        <v>640</v>
      </c>
      <c r="I375" s="883" t="s">
        <v>1533</v>
      </c>
      <c r="J375" s="878" t="s">
        <v>1534</v>
      </c>
      <c r="K375" s="885" t="s">
        <v>692</v>
      </c>
      <c r="L375" s="878" t="s">
        <v>324</v>
      </c>
      <c r="M375" s="887" t="s">
        <v>1535</v>
      </c>
      <c r="N375" s="878" t="s">
        <v>425</v>
      </c>
    </row>
    <row r="376" spans="1:19" x14ac:dyDescent="0.3">
      <c r="A376" s="199" t="s">
        <v>1539</v>
      </c>
      <c r="B376" s="881"/>
      <c r="C376" s="129" t="s">
        <v>1532</v>
      </c>
      <c r="D376" s="879"/>
      <c r="E376" s="879"/>
      <c r="F376" s="879"/>
      <c r="G376" s="884"/>
      <c r="H376" s="879"/>
      <c r="I376" s="884"/>
      <c r="J376" s="879"/>
      <c r="K376" s="886"/>
      <c r="L376" s="879"/>
      <c r="M376" s="888"/>
      <c r="N376" s="879"/>
    </row>
    <row r="377" spans="1:19" x14ac:dyDescent="0.3">
      <c r="A377" s="199" t="s">
        <v>1539</v>
      </c>
      <c r="B377" s="881"/>
      <c r="C377" s="128" t="s">
        <v>1536</v>
      </c>
      <c r="D377" s="878" t="s">
        <v>306</v>
      </c>
      <c r="E377" s="878" t="s">
        <v>322</v>
      </c>
      <c r="F377" s="878" t="s">
        <v>307</v>
      </c>
      <c r="G377" s="883">
        <v>3306</v>
      </c>
      <c r="H377" s="878" t="s">
        <v>1153</v>
      </c>
      <c r="I377" s="883" t="s">
        <v>1538</v>
      </c>
      <c r="J377" s="878" t="s">
        <v>1534</v>
      </c>
      <c r="K377" s="885" t="s">
        <v>692</v>
      </c>
      <c r="L377" s="878" t="s">
        <v>324</v>
      </c>
      <c r="M377" s="887" t="s">
        <v>1535</v>
      </c>
      <c r="N377" s="878" t="s">
        <v>425</v>
      </c>
    </row>
    <row r="378" spans="1:19" x14ac:dyDescent="0.3">
      <c r="A378" s="199" t="s">
        <v>1539</v>
      </c>
      <c r="B378" s="882"/>
      <c r="C378" s="129" t="s">
        <v>1537</v>
      </c>
      <c r="D378" s="879"/>
      <c r="E378" s="879"/>
      <c r="F378" s="879"/>
      <c r="G378" s="884"/>
      <c r="H378" s="879"/>
      <c r="I378" s="884"/>
      <c r="J378" s="879"/>
      <c r="K378" s="886"/>
      <c r="L378" s="879"/>
      <c r="M378" s="888"/>
      <c r="N378" s="879"/>
    </row>
    <row r="379" spans="1:19" ht="27" customHeight="1" x14ac:dyDescent="0.3">
      <c r="A379" s="123">
        <v>15</v>
      </c>
      <c r="B379" s="86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6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6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6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6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6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6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6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6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6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6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6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6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6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6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6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6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6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6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6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6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6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6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6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53" t="s">
        <v>1782</v>
      </c>
      <c r="C403" s="226" t="s">
        <v>1748</v>
      </c>
      <c r="D403" s="872" t="s">
        <v>306</v>
      </c>
      <c r="E403" s="872" t="s">
        <v>322</v>
      </c>
      <c r="F403" s="872" t="s">
        <v>307</v>
      </c>
      <c r="G403" s="874">
        <v>3306</v>
      </c>
      <c r="H403" s="872" t="s">
        <v>1153</v>
      </c>
      <c r="I403" s="874" t="s">
        <v>1749</v>
      </c>
      <c r="J403" s="872" t="s">
        <v>664</v>
      </c>
      <c r="K403" s="876" t="s">
        <v>1288</v>
      </c>
      <c r="L403" s="872" t="s">
        <v>324</v>
      </c>
      <c r="M403" s="870" t="s">
        <v>1750</v>
      </c>
      <c r="N403" s="872" t="s">
        <v>665</v>
      </c>
    </row>
    <row r="404" spans="1:14" x14ac:dyDescent="0.3">
      <c r="A404" s="123">
        <v>18</v>
      </c>
      <c r="B404" s="854"/>
      <c r="C404" s="226" t="s">
        <v>1751</v>
      </c>
      <c r="D404" s="873"/>
      <c r="E404" s="873"/>
      <c r="F404" s="873"/>
      <c r="G404" s="875"/>
      <c r="H404" s="873"/>
      <c r="I404" s="875"/>
      <c r="J404" s="873"/>
      <c r="K404" s="877"/>
      <c r="L404" s="873"/>
      <c r="M404" s="871"/>
      <c r="N404" s="873"/>
    </row>
    <row r="405" spans="1:14" ht="22.5" x14ac:dyDescent="0.3">
      <c r="A405" s="123">
        <v>18</v>
      </c>
      <c r="B405" s="85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54"/>
      <c r="C406" s="226" t="s">
        <v>1755</v>
      </c>
      <c r="D406" s="872" t="s">
        <v>306</v>
      </c>
      <c r="E406" s="872" t="s">
        <v>322</v>
      </c>
      <c r="F406" s="872" t="s">
        <v>307</v>
      </c>
      <c r="G406" s="874" t="s">
        <v>1756</v>
      </c>
      <c r="H406" s="872" t="s">
        <v>347</v>
      </c>
      <c r="I406" s="874" t="s">
        <v>1154</v>
      </c>
      <c r="J406" s="872" t="s">
        <v>664</v>
      </c>
      <c r="K406" s="872" t="s">
        <v>1757</v>
      </c>
      <c r="L406" s="872" t="s">
        <v>324</v>
      </c>
      <c r="M406" s="870" t="s">
        <v>1758</v>
      </c>
      <c r="N406" s="872" t="s">
        <v>665</v>
      </c>
    </row>
    <row r="407" spans="1:14" x14ac:dyDescent="0.3">
      <c r="A407" s="123">
        <v>18</v>
      </c>
      <c r="B407" s="854"/>
      <c r="C407" s="226" t="s">
        <v>1759</v>
      </c>
      <c r="D407" s="873"/>
      <c r="E407" s="873"/>
      <c r="F407" s="873"/>
      <c r="G407" s="875"/>
      <c r="H407" s="873"/>
      <c r="I407" s="875"/>
      <c r="J407" s="873"/>
      <c r="K407" s="873"/>
      <c r="L407" s="873"/>
      <c r="M407" s="871"/>
      <c r="N407" s="873"/>
    </row>
    <row r="408" spans="1:14" ht="16.5" customHeight="1" x14ac:dyDescent="0.3">
      <c r="A408" s="123">
        <v>18</v>
      </c>
      <c r="B408" s="854"/>
      <c r="C408" s="228" t="s">
        <v>1760</v>
      </c>
      <c r="D408" s="872" t="s">
        <v>306</v>
      </c>
      <c r="E408" s="872" t="s">
        <v>322</v>
      </c>
      <c r="F408" s="872" t="s">
        <v>307</v>
      </c>
      <c r="G408" s="874" t="s">
        <v>1761</v>
      </c>
      <c r="H408" s="872" t="s">
        <v>329</v>
      </c>
      <c r="I408" s="874" t="s">
        <v>1762</v>
      </c>
      <c r="J408" s="872" t="s">
        <v>664</v>
      </c>
      <c r="K408" s="872" t="s">
        <v>1763</v>
      </c>
      <c r="L408" s="872" t="s">
        <v>324</v>
      </c>
      <c r="M408" s="870" t="s">
        <v>1764</v>
      </c>
      <c r="N408" s="872" t="s">
        <v>1765</v>
      </c>
    </row>
    <row r="409" spans="1:14" x14ac:dyDescent="0.3">
      <c r="A409" s="123">
        <v>18</v>
      </c>
      <c r="B409" s="855"/>
      <c r="C409" s="226" t="s">
        <v>1766</v>
      </c>
      <c r="D409" s="873"/>
      <c r="E409" s="873"/>
      <c r="F409" s="873"/>
      <c r="G409" s="875"/>
      <c r="H409" s="873"/>
      <c r="I409" s="875"/>
      <c r="J409" s="873"/>
      <c r="K409" s="873"/>
      <c r="L409" s="873"/>
      <c r="M409" s="871"/>
      <c r="N409" s="873"/>
    </row>
    <row r="410" spans="1:14" ht="16.5" customHeight="1" x14ac:dyDescent="0.3">
      <c r="A410" s="123">
        <v>18</v>
      </c>
      <c r="B410" s="853" t="s">
        <v>253</v>
      </c>
      <c r="C410" s="954" t="s">
        <v>1767</v>
      </c>
      <c r="D410" s="872" t="s">
        <v>311</v>
      </c>
      <c r="E410" s="872" t="s">
        <v>320</v>
      </c>
      <c r="F410" s="872" t="s">
        <v>709</v>
      </c>
      <c r="G410" s="872" t="s">
        <v>1768</v>
      </c>
      <c r="H410" s="954" t="s">
        <v>1769</v>
      </c>
      <c r="I410" s="227" t="s">
        <v>1770</v>
      </c>
      <c r="J410" s="872"/>
      <c r="K410" s="956" t="s">
        <v>1771</v>
      </c>
      <c r="L410" s="872" t="s">
        <v>309</v>
      </c>
      <c r="M410" s="870" t="s">
        <v>1764</v>
      </c>
      <c r="N410" s="872" t="s">
        <v>1772</v>
      </c>
    </row>
    <row r="411" spans="1:14" x14ac:dyDescent="0.3">
      <c r="A411" s="123">
        <v>18</v>
      </c>
      <c r="B411" s="854"/>
      <c r="C411" s="955"/>
      <c r="D411" s="873"/>
      <c r="E411" s="873"/>
      <c r="F411" s="873"/>
      <c r="G411" s="873"/>
      <c r="H411" s="955"/>
      <c r="I411" s="227" t="s">
        <v>1773</v>
      </c>
      <c r="J411" s="873"/>
      <c r="K411" s="957"/>
      <c r="L411" s="873"/>
      <c r="M411" s="871"/>
      <c r="N411" s="873"/>
    </row>
    <row r="412" spans="1:14" ht="22.5" x14ac:dyDescent="0.3">
      <c r="A412" s="123">
        <v>18</v>
      </c>
      <c r="B412" s="85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54"/>
      <c r="C413" s="954" t="s">
        <v>1776</v>
      </c>
      <c r="D413" s="954" t="s">
        <v>700</v>
      </c>
      <c r="E413" s="872" t="s">
        <v>675</v>
      </c>
      <c r="F413" s="954" t="s">
        <v>1777</v>
      </c>
      <c r="G413" s="954" t="s">
        <v>1778</v>
      </c>
      <c r="H413" s="954" t="s">
        <v>662</v>
      </c>
      <c r="I413" s="227" t="s">
        <v>1779</v>
      </c>
      <c r="J413" s="872" t="s">
        <v>638</v>
      </c>
      <c r="K413" s="872" t="s">
        <v>731</v>
      </c>
      <c r="L413" s="872" t="s">
        <v>309</v>
      </c>
      <c r="M413" s="870" t="s">
        <v>1780</v>
      </c>
      <c r="N413" s="872" t="s">
        <v>1781</v>
      </c>
    </row>
    <row r="414" spans="1:14" x14ac:dyDescent="0.3">
      <c r="A414" s="123">
        <v>18</v>
      </c>
      <c r="B414" s="855"/>
      <c r="C414" s="955"/>
      <c r="D414" s="955"/>
      <c r="E414" s="873"/>
      <c r="F414" s="955"/>
      <c r="G414" s="955"/>
      <c r="H414" s="955"/>
      <c r="I414" s="26"/>
      <c r="J414" s="873"/>
      <c r="K414" s="873"/>
      <c r="L414" s="873"/>
      <c r="M414" s="871"/>
      <c r="N414" s="873"/>
    </row>
    <row r="415" spans="1:14" ht="16.5" customHeight="1" x14ac:dyDescent="0.3">
      <c r="A415" s="123">
        <v>19</v>
      </c>
      <c r="B415" s="853" t="s">
        <v>20</v>
      </c>
      <c r="C415" s="148" t="s">
        <v>1794</v>
      </c>
      <c r="D415" s="878" t="s">
        <v>306</v>
      </c>
      <c r="E415" s="878" t="s">
        <v>322</v>
      </c>
      <c r="F415" s="878" t="s">
        <v>307</v>
      </c>
      <c r="G415" s="883" t="s">
        <v>1796</v>
      </c>
      <c r="H415" s="878" t="s">
        <v>1797</v>
      </c>
      <c r="I415" s="883" t="s">
        <v>1792</v>
      </c>
      <c r="J415" s="878" t="s">
        <v>664</v>
      </c>
      <c r="K415" s="148" t="s">
        <v>1520</v>
      </c>
      <c r="L415" s="878" t="s">
        <v>324</v>
      </c>
      <c r="M415" s="887" t="s">
        <v>1799</v>
      </c>
      <c r="N415" s="878" t="s">
        <v>665</v>
      </c>
    </row>
    <row r="416" spans="1:14" x14ac:dyDescent="0.3">
      <c r="A416" s="123">
        <v>19</v>
      </c>
      <c r="B416" s="854"/>
      <c r="C416" s="148" t="s">
        <v>1795</v>
      </c>
      <c r="D416" s="879"/>
      <c r="E416" s="879"/>
      <c r="F416" s="879"/>
      <c r="G416" s="884"/>
      <c r="H416" s="879"/>
      <c r="I416" s="884"/>
      <c r="J416" s="879"/>
      <c r="K416" s="148" t="s">
        <v>1798</v>
      </c>
      <c r="L416" s="879"/>
      <c r="M416" s="888"/>
      <c r="N416" s="879"/>
    </row>
    <row r="417" spans="1:14" x14ac:dyDescent="0.3">
      <c r="A417" s="123">
        <v>19</v>
      </c>
      <c r="B417" s="854"/>
      <c r="C417" s="148" t="s">
        <v>1800</v>
      </c>
      <c r="D417" s="878" t="s">
        <v>306</v>
      </c>
      <c r="E417" s="878" t="s">
        <v>322</v>
      </c>
      <c r="F417" s="878" t="s">
        <v>307</v>
      </c>
      <c r="G417" s="883" t="s">
        <v>1801</v>
      </c>
      <c r="H417" s="878" t="s">
        <v>1802</v>
      </c>
      <c r="I417" s="883" t="s">
        <v>1803</v>
      </c>
      <c r="J417" s="878" t="s">
        <v>664</v>
      </c>
      <c r="K417" s="893" t="s">
        <v>1155</v>
      </c>
      <c r="L417" s="878" t="s">
        <v>324</v>
      </c>
      <c r="M417" s="887" t="s">
        <v>1804</v>
      </c>
      <c r="N417" s="878" t="s">
        <v>665</v>
      </c>
    </row>
    <row r="418" spans="1:14" x14ac:dyDescent="0.3">
      <c r="A418" s="123">
        <v>19</v>
      </c>
      <c r="B418" s="855"/>
      <c r="C418" s="148" t="s">
        <v>1795</v>
      </c>
      <c r="D418" s="879"/>
      <c r="E418" s="879"/>
      <c r="F418" s="879"/>
      <c r="G418" s="884"/>
      <c r="H418" s="879"/>
      <c r="I418" s="884"/>
      <c r="J418" s="879"/>
      <c r="K418" s="894"/>
      <c r="L418" s="879"/>
      <c r="M418" s="888"/>
      <c r="N418" s="879"/>
    </row>
    <row r="419" spans="1:14" ht="16.5" customHeight="1" x14ac:dyDescent="0.3">
      <c r="A419" s="123">
        <v>19</v>
      </c>
      <c r="B419" s="853" t="s">
        <v>21</v>
      </c>
      <c r="C419" s="908" t="s">
        <v>1805</v>
      </c>
      <c r="D419" s="908" t="s">
        <v>700</v>
      </c>
      <c r="E419" s="878" t="s">
        <v>675</v>
      </c>
      <c r="F419" s="908" t="s">
        <v>1806</v>
      </c>
      <c r="G419" s="908" t="s">
        <v>1807</v>
      </c>
      <c r="H419" s="908" t="s">
        <v>662</v>
      </c>
      <c r="I419" s="883" t="s">
        <v>1808</v>
      </c>
      <c r="J419" s="878"/>
      <c r="K419" s="958" t="s">
        <v>1809</v>
      </c>
      <c r="L419" s="878" t="s">
        <v>309</v>
      </c>
      <c r="M419" s="887" t="s">
        <v>1810</v>
      </c>
      <c r="N419" s="149" t="s">
        <v>1811</v>
      </c>
    </row>
    <row r="420" spans="1:14" x14ac:dyDescent="0.3">
      <c r="A420" s="123">
        <v>19</v>
      </c>
      <c r="B420" s="854"/>
      <c r="C420" s="910"/>
      <c r="D420" s="910"/>
      <c r="E420" s="879"/>
      <c r="F420" s="910"/>
      <c r="G420" s="910"/>
      <c r="H420" s="910"/>
      <c r="I420" s="884"/>
      <c r="J420" s="879"/>
      <c r="K420" s="959"/>
      <c r="L420" s="879"/>
      <c r="M420" s="888"/>
      <c r="N420" s="149" t="s">
        <v>1812</v>
      </c>
    </row>
    <row r="421" spans="1:14" x14ac:dyDescent="0.3">
      <c r="A421" s="123">
        <v>19</v>
      </c>
      <c r="B421" s="854"/>
      <c r="C421" s="960" t="s">
        <v>1813</v>
      </c>
      <c r="D421" s="908" t="s">
        <v>700</v>
      </c>
      <c r="E421" s="878" t="s">
        <v>320</v>
      </c>
      <c r="F421" s="878" t="s">
        <v>337</v>
      </c>
      <c r="G421" s="908" t="s">
        <v>353</v>
      </c>
      <c r="H421" s="908" t="s">
        <v>1814</v>
      </c>
      <c r="I421" s="883" t="s">
        <v>1815</v>
      </c>
      <c r="J421" s="878" t="s">
        <v>638</v>
      </c>
      <c r="K421" s="962" t="s">
        <v>692</v>
      </c>
      <c r="L421" s="878" t="s">
        <v>309</v>
      </c>
      <c r="M421" s="887" t="s">
        <v>1816</v>
      </c>
      <c r="N421" s="148" t="s">
        <v>1817</v>
      </c>
    </row>
    <row r="422" spans="1:14" x14ac:dyDescent="0.3">
      <c r="A422" s="123">
        <v>19</v>
      </c>
      <c r="B422" s="854"/>
      <c r="C422" s="961"/>
      <c r="D422" s="910"/>
      <c r="E422" s="879"/>
      <c r="F422" s="879"/>
      <c r="G422" s="910"/>
      <c r="H422" s="910"/>
      <c r="I422" s="884"/>
      <c r="J422" s="879"/>
      <c r="K422" s="963"/>
      <c r="L422" s="879"/>
      <c r="M422" s="888"/>
      <c r="N422" s="148" t="s">
        <v>1818</v>
      </c>
    </row>
    <row r="423" spans="1:14" x14ac:dyDescent="0.3">
      <c r="A423" s="123">
        <v>19</v>
      </c>
      <c r="B423" s="85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54"/>
      <c r="C424" s="908" t="s">
        <v>1820</v>
      </c>
      <c r="D424" s="908" t="s">
        <v>700</v>
      </c>
      <c r="E424" s="878" t="s">
        <v>320</v>
      </c>
      <c r="F424" s="878" t="s">
        <v>709</v>
      </c>
      <c r="G424" s="878" t="s">
        <v>1768</v>
      </c>
      <c r="H424" s="908" t="s">
        <v>1821</v>
      </c>
      <c r="I424" s="149" t="s">
        <v>1822</v>
      </c>
      <c r="J424" s="878" t="s">
        <v>638</v>
      </c>
      <c r="K424" s="878" t="s">
        <v>692</v>
      </c>
      <c r="L424" s="878" t="s">
        <v>309</v>
      </c>
      <c r="M424" s="887" t="s">
        <v>1535</v>
      </c>
      <c r="N424" s="883" t="s">
        <v>1824</v>
      </c>
    </row>
    <row r="425" spans="1:14" x14ac:dyDescent="0.3">
      <c r="A425" s="123">
        <v>19</v>
      </c>
      <c r="B425" s="854"/>
      <c r="C425" s="910"/>
      <c r="D425" s="910"/>
      <c r="E425" s="879"/>
      <c r="F425" s="879"/>
      <c r="G425" s="879"/>
      <c r="H425" s="910"/>
      <c r="I425" s="149" t="s">
        <v>1823</v>
      </c>
      <c r="J425" s="879"/>
      <c r="K425" s="879"/>
      <c r="L425" s="879"/>
      <c r="M425" s="888"/>
      <c r="N425" s="884"/>
    </row>
    <row r="426" spans="1:14" x14ac:dyDescent="0.3">
      <c r="A426" s="123">
        <v>19</v>
      </c>
      <c r="B426" s="85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5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5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5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5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5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5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5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5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5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5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5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5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5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5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5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5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5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5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5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5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5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5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5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5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5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53" t="s">
        <v>2078</v>
      </c>
      <c r="C452" s="243" t="s">
        <v>1906</v>
      </c>
      <c r="D452" s="859" t="s">
        <v>306</v>
      </c>
      <c r="E452" s="859" t="s">
        <v>322</v>
      </c>
      <c r="F452" s="859" t="s">
        <v>307</v>
      </c>
      <c r="G452" s="859">
        <v>3306</v>
      </c>
      <c r="H452" s="859" t="s">
        <v>1153</v>
      </c>
      <c r="I452" s="859" t="s">
        <v>1907</v>
      </c>
      <c r="J452" s="859" t="s">
        <v>1111</v>
      </c>
      <c r="K452" s="859" t="s">
        <v>692</v>
      </c>
      <c r="L452" s="859" t="s">
        <v>324</v>
      </c>
      <c r="M452" s="865" t="s">
        <v>1908</v>
      </c>
      <c r="N452" s="859" t="s">
        <v>665</v>
      </c>
    </row>
    <row r="453" spans="1:14" x14ac:dyDescent="0.3">
      <c r="A453" s="123">
        <v>23</v>
      </c>
      <c r="B453" s="854"/>
      <c r="C453" s="243" t="s">
        <v>1909</v>
      </c>
      <c r="D453" s="860"/>
      <c r="E453" s="860"/>
      <c r="F453" s="860"/>
      <c r="G453" s="860"/>
      <c r="H453" s="860"/>
      <c r="I453" s="860"/>
      <c r="J453" s="860"/>
      <c r="K453" s="860"/>
      <c r="L453" s="860"/>
      <c r="M453" s="866"/>
      <c r="N453" s="860"/>
    </row>
    <row r="454" spans="1:14" x14ac:dyDescent="0.3">
      <c r="A454" s="123">
        <v>23</v>
      </c>
      <c r="B454" s="854"/>
      <c r="C454" s="243" t="s">
        <v>1910</v>
      </c>
      <c r="D454" s="859" t="s">
        <v>306</v>
      </c>
      <c r="E454" s="859" t="s">
        <v>322</v>
      </c>
      <c r="F454" s="859" t="s">
        <v>307</v>
      </c>
      <c r="G454" s="863" t="s">
        <v>1418</v>
      </c>
      <c r="H454" s="859" t="s">
        <v>1911</v>
      </c>
      <c r="I454" s="863" t="s">
        <v>1154</v>
      </c>
      <c r="J454" s="859" t="s">
        <v>664</v>
      </c>
      <c r="K454" s="964" t="s">
        <v>1763</v>
      </c>
      <c r="L454" s="859" t="s">
        <v>324</v>
      </c>
      <c r="M454" s="865" t="s">
        <v>1535</v>
      </c>
      <c r="N454" s="859" t="s">
        <v>665</v>
      </c>
    </row>
    <row r="455" spans="1:14" x14ac:dyDescent="0.3">
      <c r="A455" s="123">
        <v>23</v>
      </c>
      <c r="B455" s="854"/>
      <c r="C455" s="243" t="s">
        <v>1909</v>
      </c>
      <c r="D455" s="860"/>
      <c r="E455" s="860"/>
      <c r="F455" s="860"/>
      <c r="G455" s="864"/>
      <c r="H455" s="860"/>
      <c r="I455" s="864"/>
      <c r="J455" s="860"/>
      <c r="K455" s="965"/>
      <c r="L455" s="860"/>
      <c r="M455" s="866"/>
      <c r="N455" s="860"/>
    </row>
    <row r="456" spans="1:14" x14ac:dyDescent="0.3">
      <c r="A456" s="123">
        <v>23</v>
      </c>
      <c r="B456" s="85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54"/>
      <c r="C457" s="243" t="s">
        <v>1917</v>
      </c>
      <c r="D457" s="859" t="s">
        <v>306</v>
      </c>
      <c r="E457" s="859" t="s">
        <v>322</v>
      </c>
      <c r="F457" s="859" t="s">
        <v>307</v>
      </c>
      <c r="G457" s="863">
        <v>4267</v>
      </c>
      <c r="H457" s="859" t="s">
        <v>640</v>
      </c>
      <c r="I457" s="863" t="s">
        <v>1154</v>
      </c>
      <c r="J457" s="859" t="s">
        <v>664</v>
      </c>
      <c r="K457" s="964" t="s">
        <v>1763</v>
      </c>
      <c r="L457" s="859" t="s">
        <v>324</v>
      </c>
      <c r="M457" s="865" t="s">
        <v>1535</v>
      </c>
      <c r="N457" s="859" t="s">
        <v>665</v>
      </c>
    </row>
    <row r="458" spans="1:14" x14ac:dyDescent="0.3">
      <c r="A458" s="123">
        <v>23</v>
      </c>
      <c r="B458" s="854"/>
      <c r="C458" s="243" t="s">
        <v>1918</v>
      </c>
      <c r="D458" s="860"/>
      <c r="E458" s="860"/>
      <c r="F458" s="860"/>
      <c r="G458" s="864"/>
      <c r="H458" s="860"/>
      <c r="I458" s="864"/>
      <c r="J458" s="860"/>
      <c r="K458" s="965"/>
      <c r="L458" s="860"/>
      <c r="M458" s="866"/>
      <c r="N458" s="860"/>
    </row>
    <row r="459" spans="1:14" x14ac:dyDescent="0.3">
      <c r="A459" s="123">
        <v>23</v>
      </c>
      <c r="B459" s="854"/>
      <c r="C459" s="243" t="s">
        <v>1917</v>
      </c>
      <c r="D459" s="859" t="s">
        <v>306</v>
      </c>
      <c r="E459" s="859" t="s">
        <v>322</v>
      </c>
      <c r="F459" s="859" t="s">
        <v>307</v>
      </c>
      <c r="G459" s="863" t="s">
        <v>1919</v>
      </c>
      <c r="H459" s="859" t="s">
        <v>662</v>
      </c>
      <c r="I459" s="863" t="s">
        <v>1920</v>
      </c>
      <c r="J459" s="859" t="s">
        <v>349</v>
      </c>
      <c r="K459" s="966" t="s">
        <v>1916</v>
      </c>
      <c r="L459" s="859" t="s">
        <v>324</v>
      </c>
      <c r="M459" s="865" t="s">
        <v>1535</v>
      </c>
      <c r="N459" s="859" t="s">
        <v>425</v>
      </c>
    </row>
    <row r="460" spans="1:14" x14ac:dyDescent="0.3">
      <c r="A460" s="123">
        <v>23</v>
      </c>
      <c r="B460" s="855"/>
      <c r="C460" s="244" t="s">
        <v>1918</v>
      </c>
      <c r="D460" s="860"/>
      <c r="E460" s="860"/>
      <c r="F460" s="860"/>
      <c r="G460" s="864"/>
      <c r="H460" s="860"/>
      <c r="I460" s="864"/>
      <c r="J460" s="860"/>
      <c r="K460" s="967"/>
      <c r="L460" s="860"/>
      <c r="M460" s="866"/>
      <c r="N460" s="860"/>
    </row>
    <row r="461" spans="1:14" x14ac:dyDescent="0.3">
      <c r="A461" s="123">
        <v>23</v>
      </c>
      <c r="B461" s="85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54"/>
      <c r="C462" s="859" t="s">
        <v>1921</v>
      </c>
      <c r="D462" s="859" t="s">
        <v>311</v>
      </c>
      <c r="E462" s="859" t="s">
        <v>675</v>
      </c>
      <c r="F462" s="859" t="s">
        <v>1926</v>
      </c>
      <c r="G462" s="859" t="s">
        <v>1927</v>
      </c>
      <c r="H462" s="861" t="s">
        <v>347</v>
      </c>
      <c r="I462" s="242" t="s">
        <v>1928</v>
      </c>
      <c r="J462" s="859"/>
      <c r="K462" s="863" t="s">
        <v>1924</v>
      </c>
      <c r="L462" s="859" t="s">
        <v>309</v>
      </c>
      <c r="M462" s="865" t="s">
        <v>1828</v>
      </c>
      <c r="N462" s="863" t="s">
        <v>1925</v>
      </c>
    </row>
    <row r="463" spans="1:14" x14ac:dyDescent="0.3">
      <c r="A463" s="123">
        <v>23</v>
      </c>
      <c r="B463" s="854"/>
      <c r="C463" s="860"/>
      <c r="D463" s="860"/>
      <c r="E463" s="860"/>
      <c r="F463" s="860"/>
      <c r="G463" s="860"/>
      <c r="H463" s="862"/>
      <c r="I463" s="242" t="s">
        <v>1929</v>
      </c>
      <c r="J463" s="860"/>
      <c r="K463" s="864"/>
      <c r="L463" s="860"/>
      <c r="M463" s="866"/>
      <c r="N463" s="864"/>
    </row>
    <row r="464" spans="1:14" ht="24" x14ac:dyDescent="0.3">
      <c r="A464" s="123">
        <v>23</v>
      </c>
      <c r="B464" s="85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5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5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5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5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5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5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5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5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5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5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5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5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5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5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5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5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5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5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5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5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5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5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5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5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5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5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5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5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5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5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5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5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5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5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5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5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5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5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5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5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5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5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5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5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5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5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5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5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5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5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5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5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5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5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5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5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5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5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5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5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5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5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5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5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5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5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5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5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5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5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5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5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5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5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5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5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5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5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5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5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5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5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5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5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5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5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5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5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5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5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5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5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5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5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5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5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5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5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5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5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5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5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5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5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5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5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5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5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5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5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5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5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5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5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5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5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5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5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5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5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5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5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5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5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5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5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5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5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5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5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5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5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5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5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5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5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5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5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5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5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5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5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5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5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5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5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5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5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6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7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5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5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5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5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5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5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5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5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5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5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5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5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5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5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5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5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5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5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5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5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5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5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5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5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5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5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5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5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5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5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5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5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5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5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5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5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5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5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5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5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6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5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5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5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5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5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5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5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5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5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5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5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5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5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54"/>
      <c r="C687" s="148" t="s">
        <v>2726</v>
      </c>
      <c r="D687" s="878" t="s">
        <v>306</v>
      </c>
      <c r="E687" s="878" t="s">
        <v>322</v>
      </c>
      <c r="F687" s="878" t="s">
        <v>307</v>
      </c>
      <c r="G687" s="883" t="s">
        <v>2719</v>
      </c>
      <c r="H687" s="878" t="s">
        <v>1047</v>
      </c>
      <c r="I687" s="883" t="s">
        <v>704</v>
      </c>
      <c r="J687" s="878" t="s">
        <v>664</v>
      </c>
      <c r="K687" s="972" t="s">
        <v>1763</v>
      </c>
      <c r="L687" s="878"/>
      <c r="M687" s="887" t="s">
        <v>458</v>
      </c>
      <c r="N687" s="878" t="s">
        <v>665</v>
      </c>
    </row>
    <row r="688" spans="1:14" x14ac:dyDescent="0.3">
      <c r="A688" s="123">
        <v>8</v>
      </c>
      <c r="B688" s="854"/>
      <c r="C688" s="148" t="s">
        <v>2727</v>
      </c>
      <c r="D688" s="879"/>
      <c r="E688" s="879"/>
      <c r="F688" s="879"/>
      <c r="G688" s="884"/>
      <c r="H688" s="879"/>
      <c r="I688" s="884"/>
      <c r="J688" s="879"/>
      <c r="K688" s="973"/>
      <c r="L688" s="879"/>
      <c r="M688" s="888"/>
      <c r="N688" s="879"/>
    </row>
    <row r="689" spans="1:14" x14ac:dyDescent="0.3">
      <c r="A689" s="123">
        <v>8</v>
      </c>
      <c r="B689" s="85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54"/>
      <c r="C690" s="148" t="s">
        <v>2730</v>
      </c>
      <c r="D690" s="878" t="s">
        <v>306</v>
      </c>
      <c r="E690" s="878" t="s">
        <v>322</v>
      </c>
      <c r="F690" s="878" t="s">
        <v>307</v>
      </c>
      <c r="G690" s="883" t="s">
        <v>2731</v>
      </c>
      <c r="H690" s="878" t="s">
        <v>640</v>
      </c>
      <c r="I690" s="883" t="s">
        <v>668</v>
      </c>
      <c r="J690" s="878" t="s">
        <v>349</v>
      </c>
      <c r="K690" s="974" t="s">
        <v>2732</v>
      </c>
      <c r="L690" s="878"/>
      <c r="M690" s="887" t="s">
        <v>2769</v>
      </c>
      <c r="N690" s="878" t="s">
        <v>425</v>
      </c>
    </row>
    <row r="691" spans="1:14" x14ac:dyDescent="0.3">
      <c r="A691" s="123">
        <v>8</v>
      </c>
      <c r="B691" s="855"/>
      <c r="C691" s="148" t="s">
        <v>2723</v>
      </c>
      <c r="D691" s="879"/>
      <c r="E691" s="879"/>
      <c r="F691" s="879"/>
      <c r="G691" s="884"/>
      <c r="H691" s="879"/>
      <c r="I691" s="884"/>
      <c r="J691" s="879"/>
      <c r="K691" s="975"/>
      <c r="L691" s="879"/>
      <c r="M691" s="888"/>
      <c r="N691" s="879"/>
    </row>
    <row r="692" spans="1:14" x14ac:dyDescent="0.3">
      <c r="A692" s="123">
        <v>8</v>
      </c>
      <c r="B692" s="85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54"/>
      <c r="C693" s="878" t="s">
        <v>2768</v>
      </c>
      <c r="D693" s="878" t="s">
        <v>311</v>
      </c>
      <c r="E693" s="878" t="s">
        <v>675</v>
      </c>
      <c r="F693" s="149" t="s">
        <v>1806</v>
      </c>
      <c r="G693" s="883" t="s">
        <v>689</v>
      </c>
      <c r="H693" s="883" t="s">
        <v>662</v>
      </c>
      <c r="I693" s="883" t="s">
        <v>2739</v>
      </c>
      <c r="J693" s="883"/>
      <c r="K693" s="883" t="s">
        <v>698</v>
      </c>
      <c r="L693" s="878" t="s">
        <v>309</v>
      </c>
      <c r="M693" s="887" t="s">
        <v>672</v>
      </c>
      <c r="N693" s="878" t="s">
        <v>2740</v>
      </c>
    </row>
    <row r="694" spans="1:14" x14ac:dyDescent="0.3">
      <c r="A694" s="123">
        <v>8</v>
      </c>
      <c r="B694" s="855"/>
      <c r="C694" s="879"/>
      <c r="D694" s="879"/>
      <c r="E694" s="879"/>
      <c r="F694" s="149" t="s">
        <v>2738</v>
      </c>
      <c r="G694" s="884"/>
      <c r="H694" s="884"/>
      <c r="I694" s="884"/>
      <c r="J694" s="884"/>
      <c r="K694" s="884"/>
      <c r="L694" s="879"/>
      <c r="M694" s="888"/>
      <c r="N694" s="906"/>
    </row>
    <row r="695" spans="1:14" x14ac:dyDescent="0.3">
      <c r="A695" s="123">
        <v>9</v>
      </c>
      <c r="B695" s="85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5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54"/>
      <c r="C697" s="243" t="s">
        <v>2745</v>
      </c>
      <c r="D697" s="859" t="s">
        <v>306</v>
      </c>
      <c r="E697" s="859" t="s">
        <v>322</v>
      </c>
      <c r="F697" s="859" t="s">
        <v>307</v>
      </c>
      <c r="G697" s="863" t="s">
        <v>2746</v>
      </c>
      <c r="H697" s="859" t="s">
        <v>405</v>
      </c>
      <c r="I697" s="863" t="s">
        <v>2747</v>
      </c>
      <c r="J697" s="859" t="s">
        <v>664</v>
      </c>
      <c r="K697" s="976" t="s">
        <v>1757</v>
      </c>
      <c r="L697" s="859"/>
      <c r="M697" s="865">
        <v>750000</v>
      </c>
      <c r="N697" s="859" t="s">
        <v>665</v>
      </c>
    </row>
    <row r="698" spans="1:14" x14ac:dyDescent="0.3">
      <c r="A698" s="123">
        <v>9</v>
      </c>
      <c r="B698" s="854"/>
      <c r="C698" s="243" t="s">
        <v>2748</v>
      </c>
      <c r="D698" s="860"/>
      <c r="E698" s="860"/>
      <c r="F698" s="860"/>
      <c r="G698" s="864"/>
      <c r="H698" s="860"/>
      <c r="I698" s="864"/>
      <c r="J698" s="860"/>
      <c r="K698" s="977"/>
      <c r="L698" s="860"/>
      <c r="M698" s="866"/>
      <c r="N698" s="860"/>
    </row>
    <row r="699" spans="1:14" x14ac:dyDescent="0.3">
      <c r="A699" s="123">
        <v>9</v>
      </c>
      <c r="B699" s="854"/>
      <c r="C699" s="243" t="s">
        <v>2745</v>
      </c>
      <c r="D699" s="859" t="s">
        <v>306</v>
      </c>
      <c r="E699" s="859" t="s">
        <v>322</v>
      </c>
      <c r="F699" s="859" t="s">
        <v>307</v>
      </c>
      <c r="G699" s="863" t="s">
        <v>2749</v>
      </c>
      <c r="H699" s="859" t="s">
        <v>662</v>
      </c>
      <c r="I699" s="863" t="s">
        <v>668</v>
      </c>
      <c r="J699" s="859" t="s">
        <v>349</v>
      </c>
      <c r="K699" s="978" t="s">
        <v>2732</v>
      </c>
      <c r="L699" s="859"/>
      <c r="M699" s="865">
        <v>1000000</v>
      </c>
      <c r="N699" s="859" t="s">
        <v>425</v>
      </c>
    </row>
    <row r="700" spans="1:14" x14ac:dyDescent="0.3">
      <c r="A700" s="123">
        <v>9</v>
      </c>
      <c r="B700" s="854"/>
      <c r="C700" s="243" t="s">
        <v>2750</v>
      </c>
      <c r="D700" s="860"/>
      <c r="E700" s="860"/>
      <c r="F700" s="860"/>
      <c r="G700" s="864"/>
      <c r="H700" s="860"/>
      <c r="I700" s="864"/>
      <c r="J700" s="860"/>
      <c r="K700" s="979"/>
      <c r="L700" s="860"/>
      <c r="M700" s="866"/>
      <c r="N700" s="860"/>
    </row>
    <row r="701" spans="1:14" x14ac:dyDescent="0.3">
      <c r="A701" s="123">
        <v>9</v>
      </c>
      <c r="B701" s="85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5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5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5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5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5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5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5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5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5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5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5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5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5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5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5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5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5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5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5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5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5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5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5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5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5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5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5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5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5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5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0" t="s">
        <v>2821</v>
      </c>
    </row>
    <row r="734" spans="1:14" ht="27" x14ac:dyDescent="0.3">
      <c r="A734" s="123">
        <v>15</v>
      </c>
      <c r="B734" s="85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1"/>
    </row>
    <row r="735" spans="1:14" x14ac:dyDescent="0.3">
      <c r="A735" s="123">
        <v>15</v>
      </c>
      <c r="B735" s="85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5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5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5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5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5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5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5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5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5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5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5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5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5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5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5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5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5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5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5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5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5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5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5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5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5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5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5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5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5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5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5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5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5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5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5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5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5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5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5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5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5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5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5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5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5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5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5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5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5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5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5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5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5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5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5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5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5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5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5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5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5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5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5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5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5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5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5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5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5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5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5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5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5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5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5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5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5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5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5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5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5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5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5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5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5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5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5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5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5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5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5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5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5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5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5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53" t="s">
        <v>3097</v>
      </c>
      <c r="C835" s="148" t="s">
        <v>3079</v>
      </c>
      <c r="D835" s="878" t="s">
        <v>306</v>
      </c>
      <c r="E835" s="878" t="s">
        <v>322</v>
      </c>
      <c r="F835" s="878" t="s">
        <v>307</v>
      </c>
      <c r="G835" s="883" t="s">
        <v>3051</v>
      </c>
      <c r="H835" s="878" t="s">
        <v>1993</v>
      </c>
      <c r="I835" s="883" t="s">
        <v>3052</v>
      </c>
      <c r="J835" s="878" t="s">
        <v>664</v>
      </c>
      <c r="K835" s="148" t="s">
        <v>3081</v>
      </c>
      <c r="L835" s="878"/>
      <c r="M835" s="983" t="s">
        <v>3082</v>
      </c>
      <c r="N835" s="148" t="s">
        <v>3083</v>
      </c>
    </row>
    <row r="836" spans="1:14" x14ac:dyDescent="0.3">
      <c r="A836" s="123">
        <v>29</v>
      </c>
      <c r="B836" s="854"/>
      <c r="C836" s="148" t="s">
        <v>3080</v>
      </c>
      <c r="D836" s="906"/>
      <c r="E836" s="906"/>
      <c r="F836" s="906"/>
      <c r="G836" s="982"/>
      <c r="H836" s="906"/>
      <c r="I836" s="982"/>
      <c r="J836" s="906"/>
      <c r="K836" s="148" t="s">
        <v>707</v>
      </c>
      <c r="L836" s="906"/>
      <c r="M836" s="984"/>
      <c r="N836" s="148"/>
    </row>
    <row r="837" spans="1:14" x14ac:dyDescent="0.3">
      <c r="A837" s="123">
        <v>29</v>
      </c>
      <c r="B837" s="854"/>
      <c r="C837" s="148"/>
      <c r="D837" s="879"/>
      <c r="E837" s="879"/>
      <c r="F837" s="879"/>
      <c r="G837" s="884"/>
      <c r="H837" s="879"/>
      <c r="I837" s="884"/>
      <c r="J837" s="879"/>
      <c r="K837" s="148"/>
      <c r="L837" s="879"/>
      <c r="M837" s="985"/>
      <c r="N837" s="148" t="s">
        <v>3084</v>
      </c>
    </row>
    <row r="838" spans="1:14" x14ac:dyDescent="0.3">
      <c r="A838" s="123">
        <v>29</v>
      </c>
      <c r="B838" s="85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5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53" t="s">
        <v>21</v>
      </c>
      <c r="C840" s="111" t="s">
        <v>3087</v>
      </c>
      <c r="D840" s="878" t="s">
        <v>311</v>
      </c>
      <c r="E840" s="878" t="s">
        <v>320</v>
      </c>
      <c r="F840" s="883" t="s">
        <v>2601</v>
      </c>
      <c r="G840" s="883" t="s">
        <v>3059</v>
      </c>
      <c r="H840" s="883" t="s">
        <v>3060</v>
      </c>
      <c r="I840" s="883" t="s">
        <v>3061</v>
      </c>
      <c r="J840" s="883" t="s">
        <v>702</v>
      </c>
      <c r="K840" s="883" t="s">
        <v>3062</v>
      </c>
      <c r="L840" s="878" t="s">
        <v>309</v>
      </c>
      <c r="M840" s="983" t="s">
        <v>1816</v>
      </c>
      <c r="N840" s="878" t="s">
        <v>3088</v>
      </c>
    </row>
    <row r="841" spans="1:14" x14ac:dyDescent="0.3">
      <c r="A841" s="123">
        <v>29</v>
      </c>
      <c r="B841" s="854"/>
      <c r="C841" s="111" t="s">
        <v>3065</v>
      </c>
      <c r="D841" s="879"/>
      <c r="E841" s="879"/>
      <c r="F841" s="884"/>
      <c r="G841" s="884"/>
      <c r="H841" s="884"/>
      <c r="I841" s="884"/>
      <c r="J841" s="884"/>
      <c r="K841" s="884"/>
      <c r="L841" s="879"/>
      <c r="M841" s="985"/>
      <c r="N841" s="879"/>
    </row>
    <row r="842" spans="1:14" x14ac:dyDescent="0.3">
      <c r="A842" s="123">
        <v>29</v>
      </c>
      <c r="B842" s="85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5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54"/>
      <c r="C844" s="111" t="s">
        <v>3079</v>
      </c>
      <c r="D844" s="878" t="s">
        <v>311</v>
      </c>
      <c r="E844" s="878" t="s">
        <v>320</v>
      </c>
      <c r="F844" s="883" t="s">
        <v>3068</v>
      </c>
      <c r="G844" s="883" t="s">
        <v>1919</v>
      </c>
      <c r="H844" s="883" t="s">
        <v>3069</v>
      </c>
      <c r="I844" s="149" t="s">
        <v>3090</v>
      </c>
      <c r="J844" s="883"/>
      <c r="K844" s="883" t="s">
        <v>3070</v>
      </c>
      <c r="L844" s="878" t="s">
        <v>309</v>
      </c>
      <c r="M844" s="986" t="s">
        <v>3092</v>
      </c>
      <c r="N844" s="878" t="s">
        <v>1206</v>
      </c>
    </row>
    <row r="845" spans="1:14" x14ac:dyDescent="0.3">
      <c r="A845" s="123">
        <v>29</v>
      </c>
      <c r="B845" s="854"/>
      <c r="C845" s="111" t="s">
        <v>3089</v>
      </c>
      <c r="D845" s="879"/>
      <c r="E845" s="879"/>
      <c r="F845" s="884"/>
      <c r="G845" s="884"/>
      <c r="H845" s="884"/>
      <c r="I845" s="149" t="s">
        <v>3091</v>
      </c>
      <c r="J845" s="884"/>
      <c r="K845" s="884"/>
      <c r="L845" s="879"/>
      <c r="M845" s="987"/>
      <c r="N845" s="879"/>
    </row>
    <row r="846" spans="1:14" x14ac:dyDescent="0.3">
      <c r="A846" s="123">
        <v>29</v>
      </c>
      <c r="B846" s="854"/>
      <c r="C846" s="111" t="s">
        <v>3079</v>
      </c>
      <c r="D846" s="878" t="s">
        <v>311</v>
      </c>
      <c r="E846" s="878" t="s">
        <v>320</v>
      </c>
      <c r="F846" s="883" t="s">
        <v>2601</v>
      </c>
      <c r="G846" s="883" t="s">
        <v>3059</v>
      </c>
      <c r="H846" s="883" t="s">
        <v>3060</v>
      </c>
      <c r="I846" s="883" t="s">
        <v>3071</v>
      </c>
      <c r="J846" s="883" t="s">
        <v>702</v>
      </c>
      <c r="K846" s="883" t="s">
        <v>1054</v>
      </c>
      <c r="L846" s="878" t="s">
        <v>309</v>
      </c>
      <c r="M846" s="983" t="s">
        <v>3094</v>
      </c>
      <c r="N846" s="878" t="s">
        <v>3095</v>
      </c>
    </row>
    <row r="847" spans="1:14" x14ac:dyDescent="0.3">
      <c r="A847" s="123">
        <v>29</v>
      </c>
      <c r="B847" s="854"/>
      <c r="C847" s="111"/>
      <c r="D847" s="906"/>
      <c r="E847" s="906"/>
      <c r="F847" s="982"/>
      <c r="G847" s="982"/>
      <c r="H847" s="982"/>
      <c r="I847" s="982"/>
      <c r="J847" s="982"/>
      <c r="K847" s="982"/>
      <c r="L847" s="906"/>
      <c r="M847" s="984"/>
      <c r="N847" s="906"/>
    </row>
    <row r="848" spans="1:14" x14ac:dyDescent="0.3">
      <c r="A848" s="123">
        <v>29</v>
      </c>
      <c r="B848" s="854"/>
      <c r="C848" s="111" t="s">
        <v>3093</v>
      </c>
      <c r="D848" s="879"/>
      <c r="E848" s="879"/>
      <c r="F848" s="884"/>
      <c r="G848" s="884"/>
      <c r="H848" s="884"/>
      <c r="I848" s="884"/>
      <c r="J848" s="884"/>
      <c r="K848" s="884"/>
      <c r="L848" s="879"/>
      <c r="M848" s="985"/>
      <c r="N848" s="879"/>
    </row>
    <row r="849" spans="1:14" x14ac:dyDescent="0.3">
      <c r="A849" s="123">
        <v>29</v>
      </c>
      <c r="B849" s="854"/>
      <c r="C849" s="111" t="s">
        <v>3096</v>
      </c>
      <c r="D849" s="878" t="s">
        <v>311</v>
      </c>
      <c r="E849" s="878" t="s">
        <v>320</v>
      </c>
      <c r="F849" s="883" t="s">
        <v>337</v>
      </c>
      <c r="G849" s="883" t="s">
        <v>3072</v>
      </c>
      <c r="H849" s="883" t="s">
        <v>354</v>
      </c>
      <c r="I849" s="883" t="s">
        <v>310</v>
      </c>
      <c r="J849" s="883" t="s">
        <v>638</v>
      </c>
      <c r="K849" s="883" t="s">
        <v>3073</v>
      </c>
      <c r="L849" s="878" t="s">
        <v>309</v>
      </c>
      <c r="M849" s="983" t="s">
        <v>1816</v>
      </c>
      <c r="N849" s="878" t="s">
        <v>3095</v>
      </c>
    </row>
    <row r="850" spans="1:14" x14ac:dyDescent="0.3">
      <c r="A850" s="123">
        <v>29</v>
      </c>
      <c r="B850" s="855"/>
      <c r="C850" s="111" t="s">
        <v>3089</v>
      </c>
      <c r="D850" s="879"/>
      <c r="E850" s="879"/>
      <c r="F850" s="884"/>
      <c r="G850" s="884"/>
      <c r="H850" s="884"/>
      <c r="I850" s="884"/>
      <c r="J850" s="884"/>
      <c r="K850" s="884"/>
      <c r="L850" s="879"/>
      <c r="M850" s="985"/>
      <c r="N850" s="879"/>
    </row>
    <row r="851" spans="1:14" x14ac:dyDescent="0.3">
      <c r="A851" s="123">
        <v>30</v>
      </c>
      <c r="B851" s="99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1"/>
      <c r="C853" s="148" t="s">
        <v>3106</v>
      </c>
      <c r="D853" s="878" t="s">
        <v>306</v>
      </c>
      <c r="E853" s="878" t="s">
        <v>322</v>
      </c>
      <c r="F853" s="878" t="s">
        <v>307</v>
      </c>
      <c r="G853" s="883" t="s">
        <v>3051</v>
      </c>
      <c r="H853" s="878" t="s">
        <v>1993</v>
      </c>
      <c r="I853" s="883" t="s">
        <v>3108</v>
      </c>
      <c r="J853" s="878" t="s">
        <v>664</v>
      </c>
      <c r="K853" s="148" t="s">
        <v>3109</v>
      </c>
      <c r="L853" s="878"/>
      <c r="M853" s="887" t="s">
        <v>3110</v>
      </c>
      <c r="N853" s="878" t="s">
        <v>665</v>
      </c>
    </row>
    <row r="854" spans="1:14" x14ac:dyDescent="0.3">
      <c r="A854" s="123">
        <v>30</v>
      </c>
      <c r="B854" s="991"/>
      <c r="C854" s="148" t="s">
        <v>3107</v>
      </c>
      <c r="D854" s="879"/>
      <c r="E854" s="879"/>
      <c r="F854" s="879"/>
      <c r="G854" s="884"/>
      <c r="H854" s="879"/>
      <c r="I854" s="884"/>
      <c r="J854" s="879"/>
      <c r="K854" s="148" t="s">
        <v>655</v>
      </c>
      <c r="L854" s="879"/>
      <c r="M854" s="888"/>
      <c r="N854" s="879"/>
    </row>
    <row r="855" spans="1:14" x14ac:dyDescent="0.3">
      <c r="A855" s="123">
        <v>30</v>
      </c>
      <c r="B855" s="99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53" t="s">
        <v>3116</v>
      </c>
      <c r="C856" s="988" t="s">
        <v>3117</v>
      </c>
      <c r="D856" s="878" t="s">
        <v>311</v>
      </c>
      <c r="E856" s="878" t="s">
        <v>320</v>
      </c>
      <c r="F856" s="883" t="s">
        <v>2601</v>
      </c>
      <c r="G856" s="883" t="s">
        <v>2749</v>
      </c>
      <c r="H856" s="883" t="s">
        <v>347</v>
      </c>
      <c r="I856" s="883" t="s">
        <v>3118</v>
      </c>
      <c r="J856" s="883" t="s">
        <v>638</v>
      </c>
      <c r="K856" s="883" t="s">
        <v>698</v>
      </c>
      <c r="L856" s="878" t="s">
        <v>309</v>
      </c>
      <c r="M856" s="887" t="s">
        <v>1810</v>
      </c>
      <c r="N856" s="148" t="s">
        <v>3119</v>
      </c>
    </row>
    <row r="857" spans="1:14" x14ac:dyDescent="0.3">
      <c r="A857" s="123">
        <v>30</v>
      </c>
      <c r="B857" s="854"/>
      <c r="C857" s="989"/>
      <c r="D857" s="879"/>
      <c r="E857" s="879"/>
      <c r="F857" s="884"/>
      <c r="G857" s="884"/>
      <c r="H857" s="884"/>
      <c r="I857" s="884"/>
      <c r="J857" s="884"/>
      <c r="K857" s="884"/>
      <c r="L857" s="879"/>
      <c r="M857" s="888"/>
      <c r="N857" s="148" t="s">
        <v>3120</v>
      </c>
    </row>
    <row r="858" spans="1:14" ht="16.5" customHeight="1" x14ac:dyDescent="0.3">
      <c r="A858" s="123">
        <v>30</v>
      </c>
      <c r="B858" s="854"/>
      <c r="C858" s="988" t="s">
        <v>3117</v>
      </c>
      <c r="D858" s="878" t="s">
        <v>311</v>
      </c>
      <c r="E858" s="878" t="s">
        <v>320</v>
      </c>
      <c r="F858" s="883" t="s">
        <v>709</v>
      </c>
      <c r="G858" s="149" t="s">
        <v>3121</v>
      </c>
      <c r="H858" s="883" t="s">
        <v>640</v>
      </c>
      <c r="I858" s="883" t="s">
        <v>3122</v>
      </c>
      <c r="J858" s="883"/>
      <c r="K858" s="883" t="s">
        <v>692</v>
      </c>
      <c r="L858" s="878" t="s">
        <v>309</v>
      </c>
      <c r="M858" s="887" t="s">
        <v>1535</v>
      </c>
      <c r="N858" s="878" t="s">
        <v>1772</v>
      </c>
    </row>
    <row r="859" spans="1:14" x14ac:dyDescent="0.3">
      <c r="A859" s="123">
        <v>30</v>
      </c>
      <c r="B859" s="854"/>
      <c r="C859" s="989"/>
      <c r="D859" s="879"/>
      <c r="E859" s="879"/>
      <c r="F859" s="884"/>
      <c r="G859" s="149">
        <v>2651</v>
      </c>
      <c r="H859" s="884"/>
      <c r="I859" s="884"/>
      <c r="J859" s="884"/>
      <c r="K859" s="884"/>
      <c r="L859" s="879"/>
      <c r="M859" s="888"/>
      <c r="N859" s="879"/>
    </row>
    <row r="860" spans="1:14" x14ac:dyDescent="0.3">
      <c r="A860" s="123">
        <v>30</v>
      </c>
      <c r="B860" s="854"/>
      <c r="C860" s="988" t="s">
        <v>3123</v>
      </c>
      <c r="D860" s="878" t="s">
        <v>311</v>
      </c>
      <c r="E860" s="878" t="s">
        <v>320</v>
      </c>
      <c r="F860" s="883" t="s">
        <v>720</v>
      </c>
      <c r="G860" s="883" t="s">
        <v>1756</v>
      </c>
      <c r="H860" s="883" t="s">
        <v>347</v>
      </c>
      <c r="I860" s="149" t="s">
        <v>3124</v>
      </c>
      <c r="J860" s="883"/>
      <c r="K860" s="883" t="s">
        <v>3126</v>
      </c>
      <c r="L860" s="878" t="s">
        <v>309</v>
      </c>
      <c r="M860" s="887" t="s">
        <v>1933</v>
      </c>
      <c r="N860" s="878" t="s">
        <v>1206</v>
      </c>
    </row>
    <row r="861" spans="1:14" x14ac:dyDescent="0.3">
      <c r="A861" s="123">
        <v>30</v>
      </c>
      <c r="B861" s="854"/>
      <c r="C861" s="989"/>
      <c r="D861" s="879"/>
      <c r="E861" s="879"/>
      <c r="F861" s="884"/>
      <c r="G861" s="884"/>
      <c r="H861" s="884"/>
      <c r="I861" s="149" t="s">
        <v>3125</v>
      </c>
      <c r="J861" s="884"/>
      <c r="K861" s="884"/>
      <c r="L861" s="879"/>
      <c r="M861" s="888"/>
      <c r="N861" s="879"/>
    </row>
    <row r="862" spans="1:14" x14ac:dyDescent="0.3">
      <c r="A862" s="123">
        <v>30</v>
      </c>
      <c r="B862" s="854"/>
      <c r="C862" s="111" t="s">
        <v>3127</v>
      </c>
      <c r="D862" s="878" t="s">
        <v>311</v>
      </c>
      <c r="E862" s="878" t="s">
        <v>320</v>
      </c>
      <c r="F862" s="883" t="s">
        <v>690</v>
      </c>
      <c r="G862" s="883" t="s">
        <v>3066</v>
      </c>
      <c r="H862" s="883" t="s">
        <v>354</v>
      </c>
      <c r="I862" s="883" t="s">
        <v>3129</v>
      </c>
      <c r="J862" s="883" t="s">
        <v>638</v>
      </c>
      <c r="K862" s="883" t="s">
        <v>655</v>
      </c>
      <c r="L862" s="878" t="s">
        <v>309</v>
      </c>
      <c r="M862" s="887" t="s">
        <v>1535</v>
      </c>
      <c r="N862" s="878" t="s">
        <v>1206</v>
      </c>
    </row>
    <row r="863" spans="1:14" x14ac:dyDescent="0.3">
      <c r="A863" s="123">
        <v>30</v>
      </c>
      <c r="B863" s="854"/>
      <c r="C863" s="111" t="s">
        <v>3128</v>
      </c>
      <c r="D863" s="879"/>
      <c r="E863" s="879"/>
      <c r="F863" s="884"/>
      <c r="G863" s="884"/>
      <c r="H863" s="884"/>
      <c r="I863" s="884"/>
      <c r="J863" s="884"/>
      <c r="K863" s="884"/>
      <c r="L863" s="879"/>
      <c r="M863" s="888"/>
      <c r="N863" s="879"/>
    </row>
    <row r="864" spans="1:14" x14ac:dyDescent="0.3">
      <c r="A864" s="123">
        <v>30</v>
      </c>
      <c r="B864" s="854"/>
      <c r="C864" s="111" t="s">
        <v>3130</v>
      </c>
      <c r="D864" s="878" t="s">
        <v>311</v>
      </c>
      <c r="E864" s="878" t="s">
        <v>320</v>
      </c>
      <c r="F864" s="883" t="s">
        <v>337</v>
      </c>
      <c r="G864" s="883" t="s">
        <v>3072</v>
      </c>
      <c r="H864" s="883" t="s">
        <v>354</v>
      </c>
      <c r="I864" s="883" t="s">
        <v>3131</v>
      </c>
      <c r="J864" s="883" t="s">
        <v>638</v>
      </c>
      <c r="K864" s="883" t="s">
        <v>713</v>
      </c>
      <c r="L864" s="878" t="s">
        <v>309</v>
      </c>
      <c r="M864" s="887" t="s">
        <v>1810</v>
      </c>
      <c r="N864" s="878" t="s">
        <v>1206</v>
      </c>
    </row>
    <row r="865" spans="1:14" x14ac:dyDescent="0.3">
      <c r="A865" s="123">
        <v>30</v>
      </c>
      <c r="B865" s="854"/>
      <c r="C865" s="111" t="s">
        <v>3107</v>
      </c>
      <c r="D865" s="879"/>
      <c r="E865" s="879"/>
      <c r="F865" s="884"/>
      <c r="G865" s="884"/>
      <c r="H865" s="884"/>
      <c r="I865" s="884"/>
      <c r="J865" s="884"/>
      <c r="K865" s="884"/>
      <c r="L865" s="879"/>
      <c r="M865" s="888"/>
      <c r="N865" s="879"/>
    </row>
    <row r="866" spans="1:14" ht="25.5" x14ac:dyDescent="0.3">
      <c r="A866" s="123">
        <v>30</v>
      </c>
      <c r="B866" s="85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54"/>
      <c r="C867" s="988" t="s">
        <v>3111</v>
      </c>
      <c r="D867" s="878" t="s">
        <v>311</v>
      </c>
      <c r="E867" s="878" t="s">
        <v>675</v>
      </c>
      <c r="F867" s="883" t="s">
        <v>660</v>
      </c>
      <c r="G867" s="883" t="s">
        <v>661</v>
      </c>
      <c r="H867" s="883" t="s">
        <v>662</v>
      </c>
      <c r="I867" s="149" t="s">
        <v>3134</v>
      </c>
      <c r="J867" s="883" t="s">
        <v>638</v>
      </c>
      <c r="K867" s="883" t="s">
        <v>731</v>
      </c>
      <c r="L867" s="878" t="s">
        <v>309</v>
      </c>
      <c r="M867" s="887" t="s">
        <v>1828</v>
      </c>
      <c r="N867" s="878" t="s">
        <v>3136</v>
      </c>
    </row>
    <row r="868" spans="1:14" x14ac:dyDescent="0.3">
      <c r="A868" s="123">
        <v>30</v>
      </c>
      <c r="B868" s="855"/>
      <c r="C868" s="989"/>
      <c r="D868" s="879"/>
      <c r="E868" s="879"/>
      <c r="F868" s="884"/>
      <c r="G868" s="884"/>
      <c r="H868" s="884"/>
      <c r="I868" s="149" t="s">
        <v>3135</v>
      </c>
      <c r="J868" s="884"/>
      <c r="K868" s="884"/>
      <c r="L868" s="879"/>
      <c r="M868" s="888"/>
      <c r="N868" s="879"/>
    </row>
    <row r="869" spans="1:14" x14ac:dyDescent="0.3">
      <c r="A869" s="123">
        <v>31</v>
      </c>
      <c r="B869" s="85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54"/>
      <c r="C870" s="148" t="s">
        <v>3140</v>
      </c>
      <c r="D870" s="878" t="s">
        <v>306</v>
      </c>
      <c r="E870" s="878" t="s">
        <v>322</v>
      </c>
      <c r="F870" s="878" t="s">
        <v>307</v>
      </c>
      <c r="G870" s="883">
        <v>1566</v>
      </c>
      <c r="H870" s="878" t="s">
        <v>1911</v>
      </c>
      <c r="I870" s="883" t="s">
        <v>3142</v>
      </c>
      <c r="J870" s="878" t="s">
        <v>664</v>
      </c>
      <c r="K870" s="878" t="s">
        <v>3143</v>
      </c>
      <c r="L870" s="878"/>
      <c r="M870" s="887" t="s">
        <v>3144</v>
      </c>
      <c r="N870" s="878" t="s">
        <v>665</v>
      </c>
    </row>
    <row r="871" spans="1:14" x14ac:dyDescent="0.3">
      <c r="A871" s="123">
        <v>31</v>
      </c>
      <c r="B871" s="854"/>
      <c r="C871" s="148" t="s">
        <v>3141</v>
      </c>
      <c r="D871" s="879"/>
      <c r="E871" s="879"/>
      <c r="F871" s="879"/>
      <c r="G871" s="884"/>
      <c r="H871" s="879"/>
      <c r="I871" s="884"/>
      <c r="J871" s="879"/>
      <c r="K871" s="879"/>
      <c r="L871" s="879"/>
      <c r="M871" s="888"/>
      <c r="N871" s="879"/>
    </row>
    <row r="872" spans="1:14" x14ac:dyDescent="0.3">
      <c r="A872" s="123">
        <v>31</v>
      </c>
      <c r="B872" s="85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54"/>
      <c r="C873" s="388" t="s">
        <v>3140</v>
      </c>
      <c r="D873" s="878" t="s">
        <v>306</v>
      </c>
      <c r="E873" s="878" t="s">
        <v>322</v>
      </c>
      <c r="F873" s="878" t="s">
        <v>307</v>
      </c>
      <c r="G873" s="883" t="s">
        <v>3147</v>
      </c>
      <c r="H873" s="878" t="s">
        <v>3148</v>
      </c>
      <c r="I873" s="883" t="s">
        <v>332</v>
      </c>
      <c r="J873" s="878" t="s">
        <v>1534</v>
      </c>
      <c r="K873" s="878" t="s">
        <v>1157</v>
      </c>
      <c r="L873" s="878"/>
      <c r="M873" s="887" t="s">
        <v>3149</v>
      </c>
      <c r="N873" s="878" t="s">
        <v>425</v>
      </c>
    </row>
    <row r="874" spans="1:14" x14ac:dyDescent="0.3">
      <c r="A874" s="123">
        <v>31</v>
      </c>
      <c r="B874" s="855"/>
      <c r="C874" s="388" t="s">
        <v>3146</v>
      </c>
      <c r="D874" s="879"/>
      <c r="E874" s="879"/>
      <c r="F874" s="879"/>
      <c r="G874" s="884"/>
      <c r="H874" s="879"/>
      <c r="I874" s="884"/>
      <c r="J874" s="879"/>
      <c r="K874" s="879"/>
      <c r="L874" s="879"/>
      <c r="M874" s="888"/>
      <c r="N874" s="879"/>
    </row>
    <row r="875" spans="1:14" x14ac:dyDescent="0.3">
      <c r="A875" s="123">
        <v>31</v>
      </c>
      <c r="B875" s="85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54"/>
      <c r="C876" s="878" t="s">
        <v>3128</v>
      </c>
      <c r="D876" s="878" t="s">
        <v>311</v>
      </c>
      <c r="E876" s="878" t="s">
        <v>675</v>
      </c>
      <c r="F876" s="883" t="s">
        <v>660</v>
      </c>
      <c r="G876" s="883" t="s">
        <v>661</v>
      </c>
      <c r="H876" s="883" t="s">
        <v>662</v>
      </c>
      <c r="I876" s="149" t="s">
        <v>3134</v>
      </c>
      <c r="J876" s="883"/>
      <c r="K876" s="883" t="s">
        <v>698</v>
      </c>
      <c r="L876" s="878" t="s">
        <v>309</v>
      </c>
      <c r="M876" s="887" t="s">
        <v>3139</v>
      </c>
      <c r="N876" s="878" t="s">
        <v>3152</v>
      </c>
    </row>
    <row r="877" spans="1:14" x14ac:dyDescent="0.3">
      <c r="A877" s="123">
        <v>31</v>
      </c>
      <c r="B877" s="854"/>
      <c r="C877" s="879"/>
      <c r="D877" s="879"/>
      <c r="E877" s="879"/>
      <c r="F877" s="884"/>
      <c r="G877" s="884"/>
      <c r="H877" s="884"/>
      <c r="I877" s="149" t="s">
        <v>3135</v>
      </c>
      <c r="J877" s="884"/>
      <c r="K877" s="884"/>
      <c r="L877" s="879"/>
      <c r="M877" s="888"/>
      <c r="N877" s="879"/>
    </row>
    <row r="878" spans="1:14" ht="16.5" customHeight="1" x14ac:dyDescent="0.3">
      <c r="A878" s="123">
        <v>31</v>
      </c>
      <c r="B878" s="854"/>
      <c r="C878" s="148" t="s">
        <v>3153</v>
      </c>
      <c r="D878" s="878" t="s">
        <v>311</v>
      </c>
      <c r="E878" s="878" t="s">
        <v>320</v>
      </c>
      <c r="F878" s="883" t="s">
        <v>3068</v>
      </c>
      <c r="G878" s="883" t="s">
        <v>1919</v>
      </c>
      <c r="H878" s="883" t="s">
        <v>3069</v>
      </c>
      <c r="I878" s="883" t="s">
        <v>3154</v>
      </c>
      <c r="J878" s="883"/>
      <c r="K878" s="883" t="s">
        <v>3155</v>
      </c>
      <c r="L878" s="878" t="s">
        <v>309</v>
      </c>
      <c r="M878" s="887" t="s">
        <v>3156</v>
      </c>
      <c r="N878" s="878" t="s">
        <v>3151</v>
      </c>
    </row>
    <row r="879" spans="1:14" x14ac:dyDescent="0.3">
      <c r="A879" s="123">
        <v>31</v>
      </c>
      <c r="B879" s="854"/>
      <c r="C879" s="148" t="s">
        <v>3111</v>
      </c>
      <c r="D879" s="879"/>
      <c r="E879" s="879"/>
      <c r="F879" s="884"/>
      <c r="G879" s="884"/>
      <c r="H879" s="884"/>
      <c r="I879" s="884"/>
      <c r="J879" s="884"/>
      <c r="K879" s="884"/>
      <c r="L879" s="879"/>
      <c r="M879" s="888"/>
      <c r="N879" s="879"/>
    </row>
    <row r="880" spans="1:14" x14ac:dyDescent="0.3">
      <c r="A880" s="123">
        <v>31</v>
      </c>
      <c r="B880" s="85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5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5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54"/>
      <c r="C883" s="111" t="s">
        <v>3166</v>
      </c>
      <c r="D883" s="878" t="s">
        <v>311</v>
      </c>
      <c r="E883" s="878" t="s">
        <v>320</v>
      </c>
      <c r="F883" s="883" t="s">
        <v>337</v>
      </c>
      <c r="G883" s="883" t="s">
        <v>3168</v>
      </c>
      <c r="H883" s="883" t="s">
        <v>3169</v>
      </c>
      <c r="I883" s="883" t="s">
        <v>3170</v>
      </c>
      <c r="J883" s="883" t="s">
        <v>3171</v>
      </c>
      <c r="K883" s="883" t="s">
        <v>3172</v>
      </c>
      <c r="L883" s="878" t="s">
        <v>309</v>
      </c>
      <c r="M883" s="887" t="s">
        <v>3173</v>
      </c>
      <c r="N883" s="878" t="s">
        <v>3136</v>
      </c>
    </row>
    <row r="884" spans="1:14" x14ac:dyDescent="0.3">
      <c r="A884" s="123">
        <v>31</v>
      </c>
      <c r="B884" s="855"/>
      <c r="C884" s="111" t="s">
        <v>3167</v>
      </c>
      <c r="D884" s="879"/>
      <c r="E884" s="879"/>
      <c r="F884" s="884"/>
      <c r="G884" s="884"/>
      <c r="H884" s="884"/>
      <c r="I884" s="884"/>
      <c r="J884" s="884"/>
      <c r="K884" s="884"/>
      <c r="L884" s="879"/>
      <c r="M884" s="888"/>
      <c r="N884" s="879"/>
    </row>
    <row r="885" spans="1:14" ht="27" x14ac:dyDescent="0.3">
      <c r="A885" s="123">
        <v>32</v>
      </c>
      <c r="B885" s="99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9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9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9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94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94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9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9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93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94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5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6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6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6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6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6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6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6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6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6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6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6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6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6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6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6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6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6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6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6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6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6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6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6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6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6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6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6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6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5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5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5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5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5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52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52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52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52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52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52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5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5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5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5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5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52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52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52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52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52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52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52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52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52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52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52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52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5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52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52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52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52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52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52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52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52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52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52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52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52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52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52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52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52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52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52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52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52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5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5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5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52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52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52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52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52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52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52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5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52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52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5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5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5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5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52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52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52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5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5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52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52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52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52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52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52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52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52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5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5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5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5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5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52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52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52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52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52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52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52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52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52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52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52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5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52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5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52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5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5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52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52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52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52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52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52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52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52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52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5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52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5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52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52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52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52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52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52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52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52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52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52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52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52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52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5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52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52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52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52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52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52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52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52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52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52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52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52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52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52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52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52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52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52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52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52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52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52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52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52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52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52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52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52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52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52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52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52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52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52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52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52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52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52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52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52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52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52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52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52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52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52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52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52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52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52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52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52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52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52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52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52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52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52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52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52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52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52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52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52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52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52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52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52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52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52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52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52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52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52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52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52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52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52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52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52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52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52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52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52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52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52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52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52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52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52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52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52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52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52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52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52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52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52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52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52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52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52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52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52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52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52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52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52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52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52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52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52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52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52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52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52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52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52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52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52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52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52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52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52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52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52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52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52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52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52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52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52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52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52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52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6"/>
      <c r="C1208" s="844" t="s">
        <v>5007</v>
      </c>
      <c r="D1208" s="837" t="s">
        <v>311</v>
      </c>
      <c r="E1208" s="837" t="s">
        <v>675</v>
      </c>
      <c r="F1208" s="844" t="s">
        <v>337</v>
      </c>
      <c r="G1208" s="844" t="s">
        <v>353</v>
      </c>
      <c r="H1208" s="844" t="s">
        <v>5008</v>
      </c>
      <c r="I1208" s="476" t="s">
        <v>5009</v>
      </c>
      <c r="J1208" s="844" t="s">
        <v>638</v>
      </c>
      <c r="K1208" s="844" t="s">
        <v>713</v>
      </c>
      <c r="L1208" s="837" t="s">
        <v>309</v>
      </c>
      <c r="M1208" s="847">
        <v>250000</v>
      </c>
      <c r="N1208" s="837" t="s">
        <v>4990</v>
      </c>
    </row>
    <row r="1209" spans="1:14" x14ac:dyDescent="0.3">
      <c r="A1209" s="123">
        <v>2</v>
      </c>
      <c r="B1209" s="836"/>
      <c r="C1209" s="844"/>
      <c r="D1209" s="837"/>
      <c r="E1209" s="837"/>
      <c r="F1209" s="844"/>
      <c r="G1209" s="844"/>
      <c r="H1209" s="844"/>
      <c r="I1209" s="476" t="s">
        <v>5010</v>
      </c>
      <c r="J1209" s="844"/>
      <c r="K1209" s="844"/>
      <c r="L1209" s="837"/>
      <c r="M1209" s="847"/>
      <c r="N1209" s="837"/>
    </row>
    <row r="1210" spans="1:14" x14ac:dyDescent="0.3">
      <c r="A1210" s="123">
        <v>2</v>
      </c>
      <c r="B1210" s="83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6"/>
      <c r="C1222" s="844" t="s">
        <v>5033</v>
      </c>
      <c r="D1222" s="837" t="s">
        <v>311</v>
      </c>
      <c r="E1222" s="837" t="s">
        <v>675</v>
      </c>
      <c r="F1222" s="149" t="s">
        <v>5034</v>
      </c>
      <c r="G1222" s="149" t="s">
        <v>5036</v>
      </c>
      <c r="H1222" s="844" t="s">
        <v>347</v>
      </c>
      <c r="I1222" s="149" t="s">
        <v>5038</v>
      </c>
      <c r="J1222" s="844"/>
      <c r="K1222" s="844" t="s">
        <v>705</v>
      </c>
      <c r="L1222" s="837" t="s">
        <v>309</v>
      </c>
      <c r="M1222" s="847">
        <v>500000</v>
      </c>
      <c r="N1222" s="837" t="s">
        <v>5032</v>
      </c>
    </row>
    <row r="1223" spans="1:14" x14ac:dyDescent="0.3">
      <c r="A1223" s="123">
        <v>3</v>
      </c>
      <c r="B1223" s="836"/>
      <c r="C1223" s="844"/>
      <c r="D1223" s="837"/>
      <c r="E1223" s="837"/>
      <c r="F1223" s="149" t="s">
        <v>5035</v>
      </c>
      <c r="G1223" s="149" t="s">
        <v>5037</v>
      </c>
      <c r="H1223" s="844"/>
      <c r="I1223" s="149" t="s">
        <v>5039</v>
      </c>
      <c r="J1223" s="844"/>
      <c r="K1223" s="844"/>
      <c r="L1223" s="837"/>
      <c r="M1223" s="847"/>
      <c r="N1223" s="837"/>
    </row>
    <row r="1224" spans="1:14" x14ac:dyDescent="0.3">
      <c r="A1224" s="123">
        <v>3</v>
      </c>
      <c r="B1224" s="83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6"/>
      <c r="C1250" s="844" t="s">
        <v>5098</v>
      </c>
      <c r="D1250" s="837" t="s">
        <v>311</v>
      </c>
      <c r="E1250" s="837" t="s">
        <v>675</v>
      </c>
      <c r="F1250" s="837" t="s">
        <v>4986</v>
      </c>
      <c r="G1250" s="837">
        <v>1017</v>
      </c>
      <c r="H1250" s="837" t="s">
        <v>347</v>
      </c>
      <c r="I1250" s="149" t="s">
        <v>5099</v>
      </c>
      <c r="J1250" s="844"/>
      <c r="K1250" s="844" t="s">
        <v>692</v>
      </c>
      <c r="L1250" s="837" t="s">
        <v>309</v>
      </c>
      <c r="M1250" s="847">
        <v>500000</v>
      </c>
      <c r="N1250" s="837" t="s">
        <v>5032</v>
      </c>
    </row>
    <row r="1251" spans="1:14" x14ac:dyDescent="0.3">
      <c r="A1251" s="123">
        <v>5</v>
      </c>
      <c r="B1251" s="836"/>
      <c r="C1251" s="844"/>
      <c r="D1251" s="837"/>
      <c r="E1251" s="837"/>
      <c r="F1251" s="837"/>
      <c r="G1251" s="837"/>
      <c r="H1251" s="837"/>
      <c r="I1251" s="149" t="s">
        <v>5100</v>
      </c>
      <c r="J1251" s="844"/>
      <c r="K1251" s="844"/>
      <c r="L1251" s="837"/>
      <c r="M1251" s="847"/>
      <c r="N1251" s="837"/>
    </row>
    <row r="1252" spans="1:14" x14ac:dyDescent="0.3">
      <c r="A1252" s="123">
        <v>5</v>
      </c>
      <c r="B1252" s="83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6"/>
      <c r="C1254" s="844" t="s">
        <v>5103</v>
      </c>
      <c r="D1254" s="837" t="s">
        <v>311</v>
      </c>
      <c r="E1254" s="837" t="s">
        <v>675</v>
      </c>
      <c r="F1254" s="844" t="s">
        <v>5070</v>
      </c>
      <c r="G1254" s="844">
        <v>3006</v>
      </c>
      <c r="H1254" s="844" t="s">
        <v>347</v>
      </c>
      <c r="I1254" s="476" t="s">
        <v>5104</v>
      </c>
      <c r="J1254" s="844"/>
      <c r="K1254" s="844" t="s">
        <v>705</v>
      </c>
      <c r="L1254" s="837" t="s">
        <v>309</v>
      </c>
      <c r="M1254" s="847">
        <v>500000</v>
      </c>
      <c r="N1254" s="837" t="s">
        <v>5032</v>
      </c>
    </row>
    <row r="1255" spans="1:14" x14ac:dyDescent="0.3">
      <c r="A1255" s="123">
        <v>5</v>
      </c>
      <c r="B1255" s="836"/>
      <c r="C1255" s="844"/>
      <c r="D1255" s="837"/>
      <c r="E1255" s="837"/>
      <c r="F1255" s="844"/>
      <c r="G1255" s="844"/>
      <c r="H1255" s="844"/>
      <c r="I1255" s="476" t="s">
        <v>5105</v>
      </c>
      <c r="J1255" s="844"/>
      <c r="K1255" s="844"/>
      <c r="L1255" s="837"/>
      <c r="M1255" s="847"/>
      <c r="N1255" s="837"/>
    </row>
    <row r="1256" spans="1:14" x14ac:dyDescent="0.3">
      <c r="A1256" s="123">
        <v>5</v>
      </c>
      <c r="B1256" s="836"/>
      <c r="C1256" s="844" t="s">
        <v>5103</v>
      </c>
      <c r="D1256" s="837" t="s">
        <v>311</v>
      </c>
      <c r="E1256" s="837" t="s">
        <v>675</v>
      </c>
      <c r="F1256" s="844" t="s">
        <v>5070</v>
      </c>
      <c r="G1256" s="844">
        <v>3006</v>
      </c>
      <c r="H1256" s="844" t="s">
        <v>347</v>
      </c>
      <c r="I1256" s="476" t="s">
        <v>5104</v>
      </c>
      <c r="J1256" s="844"/>
      <c r="K1256" s="844" t="s">
        <v>4936</v>
      </c>
      <c r="L1256" s="837" t="s">
        <v>309</v>
      </c>
      <c r="M1256" s="847">
        <v>600000</v>
      </c>
      <c r="N1256" s="837" t="s">
        <v>5032</v>
      </c>
    </row>
    <row r="1257" spans="1:14" x14ac:dyDescent="0.3">
      <c r="A1257" s="123">
        <v>5</v>
      </c>
      <c r="B1257" s="836"/>
      <c r="C1257" s="844"/>
      <c r="D1257" s="837"/>
      <c r="E1257" s="837"/>
      <c r="F1257" s="844"/>
      <c r="G1257" s="844"/>
      <c r="H1257" s="844"/>
      <c r="I1257" s="476" t="s">
        <v>5105</v>
      </c>
      <c r="J1257" s="844"/>
      <c r="K1257" s="844"/>
      <c r="L1257" s="837"/>
      <c r="M1257" s="847"/>
      <c r="N1257" s="837"/>
    </row>
    <row r="1258" spans="1:14" x14ac:dyDescent="0.3">
      <c r="A1258" s="123">
        <v>5</v>
      </c>
      <c r="B1258" s="83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6"/>
      <c r="C1268" s="844" t="s">
        <v>5122</v>
      </c>
      <c r="D1268" s="837" t="s">
        <v>311</v>
      </c>
      <c r="E1268" s="837" t="s">
        <v>675</v>
      </c>
      <c r="F1268" s="149" t="s">
        <v>5123</v>
      </c>
      <c r="G1268" s="475" t="s">
        <v>5125</v>
      </c>
      <c r="H1268" s="389" t="s">
        <v>347</v>
      </c>
      <c r="I1268" s="844" t="s">
        <v>5128</v>
      </c>
      <c r="J1268" s="844" t="s">
        <v>638</v>
      </c>
      <c r="K1268" s="844" t="s">
        <v>692</v>
      </c>
      <c r="L1268" s="837" t="s">
        <v>309</v>
      </c>
      <c r="M1268" s="847">
        <v>500000</v>
      </c>
      <c r="N1268" s="837" t="s">
        <v>1772</v>
      </c>
    </row>
    <row r="1269" spans="1:14" x14ac:dyDescent="0.3">
      <c r="A1269" s="123">
        <v>6</v>
      </c>
      <c r="B1269" s="836"/>
      <c r="C1269" s="844"/>
      <c r="D1269" s="837"/>
      <c r="E1269" s="837"/>
      <c r="F1269" s="149" t="s">
        <v>5124</v>
      </c>
      <c r="G1269" s="475" t="s">
        <v>5126</v>
      </c>
      <c r="H1269" s="389" t="s">
        <v>5127</v>
      </c>
      <c r="I1269" s="844"/>
      <c r="J1269" s="844"/>
      <c r="K1269" s="844"/>
      <c r="L1269" s="837"/>
      <c r="M1269" s="847"/>
      <c r="N1269" s="837"/>
    </row>
    <row r="1270" spans="1:14" ht="24" x14ac:dyDescent="0.3">
      <c r="A1270" s="123">
        <v>6</v>
      </c>
      <c r="B1270" s="83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6"/>
      <c r="C1289" s="843" t="s">
        <v>5158</v>
      </c>
      <c r="D1289" s="845" t="s">
        <v>311</v>
      </c>
      <c r="E1289" s="845" t="s">
        <v>675</v>
      </c>
      <c r="F1289" s="506" t="s">
        <v>5123</v>
      </c>
      <c r="G1289" s="507" t="s">
        <v>5125</v>
      </c>
      <c r="H1289" s="507" t="s">
        <v>347</v>
      </c>
      <c r="I1289" s="843" t="s">
        <v>5128</v>
      </c>
      <c r="J1289" s="843"/>
      <c r="K1289" s="843" t="s">
        <v>692</v>
      </c>
      <c r="L1289" s="845" t="s">
        <v>309</v>
      </c>
      <c r="M1289" s="846">
        <v>500000</v>
      </c>
      <c r="N1289" s="837" t="s">
        <v>5032</v>
      </c>
    </row>
    <row r="1290" spans="1:14" ht="19.5" x14ac:dyDescent="0.3">
      <c r="A1290" s="123">
        <v>8</v>
      </c>
      <c r="B1290" s="836"/>
      <c r="C1290" s="844"/>
      <c r="D1290" s="837"/>
      <c r="E1290" s="837"/>
      <c r="F1290" s="149" t="s">
        <v>5124</v>
      </c>
      <c r="G1290" s="475" t="s">
        <v>5126</v>
      </c>
      <c r="H1290" s="477" t="s">
        <v>5127</v>
      </c>
      <c r="I1290" s="844"/>
      <c r="J1290" s="844"/>
      <c r="K1290" s="844"/>
      <c r="L1290" s="837"/>
      <c r="M1290" s="847"/>
      <c r="N1290" s="837"/>
    </row>
    <row r="1291" spans="1:14" x14ac:dyDescent="0.3">
      <c r="A1291" s="123">
        <v>8</v>
      </c>
      <c r="B1291" s="836"/>
      <c r="C1291" s="843" t="s">
        <v>5159</v>
      </c>
      <c r="D1291" s="845" t="s">
        <v>311</v>
      </c>
      <c r="E1291" s="845" t="s">
        <v>320</v>
      </c>
      <c r="F1291" s="850" t="s">
        <v>709</v>
      </c>
      <c r="G1291" s="843" t="s">
        <v>3098</v>
      </c>
      <c r="H1291" s="843" t="s">
        <v>3099</v>
      </c>
      <c r="I1291" s="506" t="s">
        <v>5312</v>
      </c>
      <c r="J1291" s="843" t="s">
        <v>638</v>
      </c>
      <c r="K1291" s="843" t="s">
        <v>713</v>
      </c>
      <c r="L1291" s="845" t="s">
        <v>309</v>
      </c>
      <c r="M1291" s="846">
        <v>250000</v>
      </c>
      <c r="N1291" s="837" t="s">
        <v>5032</v>
      </c>
    </row>
    <row r="1292" spans="1:14" x14ac:dyDescent="0.3">
      <c r="A1292" s="123">
        <v>8</v>
      </c>
      <c r="B1292" s="836"/>
      <c r="C1292" s="844"/>
      <c r="D1292" s="837"/>
      <c r="E1292" s="837"/>
      <c r="F1292" s="851"/>
      <c r="G1292" s="844"/>
      <c r="H1292" s="844"/>
      <c r="I1292" s="149" t="s">
        <v>5160</v>
      </c>
      <c r="J1292" s="844"/>
      <c r="K1292" s="844"/>
      <c r="L1292" s="837"/>
      <c r="M1292" s="847"/>
      <c r="N1292" s="837"/>
    </row>
    <row r="1293" spans="1:14" x14ac:dyDescent="0.3">
      <c r="A1293" s="123">
        <v>8</v>
      </c>
      <c r="B1293" s="836"/>
      <c r="C1293" s="843" t="s">
        <v>5161</v>
      </c>
      <c r="D1293" s="845" t="s">
        <v>311</v>
      </c>
      <c r="E1293" s="845" t="s">
        <v>320</v>
      </c>
      <c r="F1293" s="843" t="s">
        <v>337</v>
      </c>
      <c r="G1293" s="843" t="s">
        <v>3168</v>
      </c>
      <c r="H1293" s="843" t="s">
        <v>3057</v>
      </c>
      <c r="I1293" s="506" t="s">
        <v>5313</v>
      </c>
      <c r="J1293" s="843" t="s">
        <v>638</v>
      </c>
      <c r="K1293" s="843" t="s">
        <v>692</v>
      </c>
      <c r="L1293" s="845" t="s">
        <v>309</v>
      </c>
      <c r="M1293" s="846">
        <v>500000</v>
      </c>
      <c r="N1293" s="837" t="s">
        <v>1206</v>
      </c>
    </row>
    <row r="1294" spans="1:14" x14ac:dyDescent="0.3">
      <c r="A1294" s="123">
        <v>8</v>
      </c>
      <c r="B1294" s="836"/>
      <c r="C1294" s="844"/>
      <c r="D1294" s="837"/>
      <c r="E1294" s="837"/>
      <c r="F1294" s="844"/>
      <c r="G1294" s="844"/>
      <c r="H1294" s="844"/>
      <c r="I1294" s="149" t="s">
        <v>5162</v>
      </c>
      <c r="J1294" s="844"/>
      <c r="K1294" s="844"/>
      <c r="L1294" s="837"/>
      <c r="M1294" s="847"/>
      <c r="N1294" s="837"/>
    </row>
    <row r="1295" spans="1:14" x14ac:dyDescent="0.3">
      <c r="A1295" s="123">
        <v>9</v>
      </c>
      <c r="B1295" s="83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6"/>
      <c r="C1304" s="843" t="s">
        <v>5175</v>
      </c>
      <c r="D1304" s="845" t="s">
        <v>311</v>
      </c>
      <c r="E1304" s="845" t="s">
        <v>320</v>
      </c>
      <c r="F1304" s="843" t="s">
        <v>337</v>
      </c>
      <c r="G1304" s="843" t="s">
        <v>3168</v>
      </c>
      <c r="H1304" s="843" t="s">
        <v>3057</v>
      </c>
      <c r="I1304" s="510" t="s">
        <v>5176</v>
      </c>
      <c r="J1304" s="843" t="s">
        <v>638</v>
      </c>
      <c r="K1304" s="843" t="s">
        <v>713</v>
      </c>
      <c r="L1304" s="845" t="s">
        <v>309</v>
      </c>
      <c r="M1304" s="846">
        <v>250000</v>
      </c>
      <c r="N1304" s="837" t="s">
        <v>5032</v>
      </c>
    </row>
    <row r="1305" spans="1:14" x14ac:dyDescent="0.3">
      <c r="A1305" s="123">
        <v>9</v>
      </c>
      <c r="B1305" s="836"/>
      <c r="C1305" s="844"/>
      <c r="D1305" s="837"/>
      <c r="E1305" s="837"/>
      <c r="F1305" s="844"/>
      <c r="G1305" s="844"/>
      <c r="H1305" s="844"/>
      <c r="I1305" s="476" t="s">
        <v>5177</v>
      </c>
      <c r="J1305" s="844"/>
      <c r="K1305" s="844"/>
      <c r="L1305" s="837"/>
      <c r="M1305" s="847"/>
      <c r="N1305" s="837"/>
    </row>
    <row r="1306" spans="1:14" x14ac:dyDescent="0.3">
      <c r="A1306" s="123">
        <v>9</v>
      </c>
      <c r="B1306" s="836"/>
      <c r="C1306" s="843" t="s">
        <v>5175</v>
      </c>
      <c r="D1306" s="845" t="s">
        <v>311</v>
      </c>
      <c r="E1306" s="845" t="s">
        <v>320</v>
      </c>
      <c r="F1306" s="843" t="s">
        <v>5178</v>
      </c>
      <c r="G1306" s="506" t="s">
        <v>689</v>
      </c>
      <c r="H1306" s="843" t="s">
        <v>5180</v>
      </c>
      <c r="I1306" s="506" t="s">
        <v>5315</v>
      </c>
      <c r="J1306" s="843"/>
      <c r="K1306" s="843" t="s">
        <v>713</v>
      </c>
      <c r="L1306" s="845" t="s">
        <v>309</v>
      </c>
      <c r="M1306" s="846">
        <v>250000</v>
      </c>
      <c r="N1306" s="837" t="s">
        <v>5032</v>
      </c>
    </row>
    <row r="1307" spans="1:14" x14ac:dyDescent="0.3">
      <c r="A1307" s="123">
        <v>9</v>
      </c>
      <c r="B1307" s="836"/>
      <c r="C1307" s="844"/>
      <c r="D1307" s="837"/>
      <c r="E1307" s="837"/>
      <c r="F1307" s="844"/>
      <c r="G1307" s="149" t="s">
        <v>5179</v>
      </c>
      <c r="H1307" s="844"/>
      <c r="I1307" s="149" t="s">
        <v>5181</v>
      </c>
      <c r="J1307" s="844"/>
      <c r="K1307" s="844"/>
      <c r="L1307" s="837"/>
      <c r="M1307" s="847"/>
      <c r="N1307" s="837"/>
    </row>
    <row r="1308" spans="1:14" x14ac:dyDescent="0.3">
      <c r="A1308" s="123">
        <v>9</v>
      </c>
      <c r="B1308" s="83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6"/>
      <c r="C1309" s="843" t="s">
        <v>5183</v>
      </c>
      <c r="D1309" s="845" t="s">
        <v>311</v>
      </c>
      <c r="E1309" s="845" t="s">
        <v>320</v>
      </c>
      <c r="F1309" s="843" t="s">
        <v>337</v>
      </c>
      <c r="G1309" s="506" t="s">
        <v>3401</v>
      </c>
      <c r="H1309" s="843" t="s">
        <v>5029</v>
      </c>
      <c r="I1309" s="843" t="s">
        <v>5316</v>
      </c>
      <c r="J1309" s="843"/>
      <c r="K1309" s="843" t="s">
        <v>692</v>
      </c>
      <c r="L1309" s="845" t="s">
        <v>309</v>
      </c>
      <c r="M1309" s="846">
        <v>500000</v>
      </c>
      <c r="N1309" s="837" t="s">
        <v>5032</v>
      </c>
    </row>
    <row r="1310" spans="1:14" x14ac:dyDescent="0.3">
      <c r="A1310" s="123">
        <v>9</v>
      </c>
      <c r="B1310" s="836"/>
      <c r="C1310" s="844"/>
      <c r="D1310" s="837"/>
      <c r="E1310" s="837"/>
      <c r="F1310" s="844"/>
      <c r="G1310" s="149" t="s">
        <v>5184</v>
      </c>
      <c r="H1310" s="844"/>
      <c r="I1310" s="844"/>
      <c r="J1310" s="844"/>
      <c r="K1310" s="844"/>
      <c r="L1310" s="837"/>
      <c r="M1310" s="847"/>
      <c r="N1310" s="837"/>
    </row>
    <row r="1311" spans="1:14" ht="24" x14ac:dyDescent="0.3">
      <c r="A1311" s="123">
        <v>9</v>
      </c>
      <c r="B1311" s="83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6"/>
      <c r="C1312" s="843" t="s">
        <v>5187</v>
      </c>
      <c r="D1312" s="845" t="s">
        <v>311</v>
      </c>
      <c r="E1312" s="845" t="s">
        <v>675</v>
      </c>
      <c r="F1312" s="843" t="s">
        <v>5188</v>
      </c>
      <c r="G1312" s="507" t="s">
        <v>1919</v>
      </c>
      <c r="H1312" s="843" t="s">
        <v>347</v>
      </c>
      <c r="I1312" s="843" t="s">
        <v>5319</v>
      </c>
      <c r="J1312" s="843"/>
      <c r="K1312" s="843" t="s">
        <v>692</v>
      </c>
      <c r="L1312" s="845" t="s">
        <v>309</v>
      </c>
      <c r="M1312" s="848">
        <v>500000</v>
      </c>
      <c r="N1312" s="837" t="s">
        <v>1925</v>
      </c>
    </row>
    <row r="1313" spans="1:14" x14ac:dyDescent="0.3">
      <c r="A1313" s="123">
        <v>9</v>
      </c>
      <c r="B1313" s="836"/>
      <c r="C1313" s="844"/>
      <c r="D1313" s="837"/>
      <c r="E1313" s="837"/>
      <c r="F1313" s="844"/>
      <c r="G1313" s="475" t="s">
        <v>5189</v>
      </c>
      <c r="H1313" s="844"/>
      <c r="I1313" s="844"/>
      <c r="J1313" s="844"/>
      <c r="K1313" s="844"/>
      <c r="L1313" s="837"/>
      <c r="M1313" s="849"/>
      <c r="N1313" s="837"/>
    </row>
    <row r="1314" spans="1:14" x14ac:dyDescent="0.3">
      <c r="A1314" s="123">
        <v>10</v>
      </c>
      <c r="B1314" s="83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6"/>
      <c r="C1321" s="844" t="s">
        <v>5201</v>
      </c>
      <c r="D1321" s="837" t="s">
        <v>311</v>
      </c>
      <c r="E1321" s="837" t="s">
        <v>320</v>
      </c>
      <c r="F1321" s="844" t="s">
        <v>337</v>
      </c>
      <c r="G1321" s="844" t="s">
        <v>3168</v>
      </c>
      <c r="H1321" s="844" t="s">
        <v>3057</v>
      </c>
      <c r="I1321" s="476" t="s">
        <v>5176</v>
      </c>
      <c r="J1321" s="844" t="s">
        <v>638</v>
      </c>
      <c r="K1321" s="844" t="s">
        <v>705</v>
      </c>
      <c r="L1321" s="837" t="s">
        <v>309</v>
      </c>
      <c r="M1321" s="847">
        <v>500000</v>
      </c>
      <c r="N1321" s="837" t="s">
        <v>1206</v>
      </c>
    </row>
    <row r="1322" spans="1:14" x14ac:dyDescent="0.3">
      <c r="A1322" s="123">
        <v>10</v>
      </c>
      <c r="B1322" s="836"/>
      <c r="C1322" s="844"/>
      <c r="D1322" s="837"/>
      <c r="E1322" s="837"/>
      <c r="F1322" s="844"/>
      <c r="G1322" s="844"/>
      <c r="H1322" s="844"/>
      <c r="I1322" s="476" t="s">
        <v>5177</v>
      </c>
      <c r="J1322" s="844"/>
      <c r="K1322" s="844"/>
      <c r="L1322" s="837"/>
      <c r="M1322" s="847"/>
      <c r="N1322" s="837"/>
    </row>
    <row r="1323" spans="1:14" x14ac:dyDescent="0.3">
      <c r="A1323" s="123">
        <v>10</v>
      </c>
      <c r="B1323" s="83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6"/>
      <c r="C1326" s="844" t="s">
        <v>5202</v>
      </c>
      <c r="D1326" s="837" t="s">
        <v>311</v>
      </c>
      <c r="E1326" s="837" t="s">
        <v>320</v>
      </c>
      <c r="F1326" s="844" t="s">
        <v>337</v>
      </c>
      <c r="G1326" s="844" t="s">
        <v>3168</v>
      </c>
      <c r="H1326" s="844" t="s">
        <v>3057</v>
      </c>
      <c r="I1326" s="476" t="s">
        <v>5176</v>
      </c>
      <c r="J1326" s="844"/>
      <c r="K1326" s="844" t="s">
        <v>705</v>
      </c>
      <c r="L1326" s="837" t="s">
        <v>309</v>
      </c>
      <c r="M1326" s="847">
        <v>500000</v>
      </c>
      <c r="N1326" s="837" t="s">
        <v>1206</v>
      </c>
    </row>
    <row r="1327" spans="1:14" x14ac:dyDescent="0.3">
      <c r="A1327" s="123">
        <v>10</v>
      </c>
      <c r="B1327" s="836"/>
      <c r="C1327" s="844"/>
      <c r="D1327" s="837"/>
      <c r="E1327" s="837"/>
      <c r="F1327" s="844"/>
      <c r="G1327" s="844"/>
      <c r="H1327" s="844"/>
      <c r="I1327" s="476" t="s">
        <v>5177</v>
      </c>
      <c r="J1327" s="844"/>
      <c r="K1327" s="844"/>
      <c r="L1327" s="837"/>
      <c r="M1327" s="847"/>
      <c r="N1327" s="837"/>
    </row>
    <row r="1328" spans="1:14" ht="25.5" x14ac:dyDescent="0.3">
      <c r="A1328" s="123">
        <v>10</v>
      </c>
      <c r="B1328" s="83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6"/>
      <c r="C1329" s="843" t="s">
        <v>5209</v>
      </c>
      <c r="D1329" s="845" t="s">
        <v>311</v>
      </c>
      <c r="E1329" s="845" t="s">
        <v>675</v>
      </c>
      <c r="F1329" s="506" t="s">
        <v>5210</v>
      </c>
      <c r="G1329" s="843" t="s">
        <v>5212</v>
      </c>
      <c r="H1329" s="843" t="s">
        <v>662</v>
      </c>
      <c r="I1329" s="843" t="s">
        <v>5321</v>
      </c>
      <c r="J1329" s="843" t="s">
        <v>638</v>
      </c>
      <c r="K1329" s="843" t="s">
        <v>713</v>
      </c>
      <c r="L1329" s="845" t="s">
        <v>309</v>
      </c>
      <c r="M1329" s="846">
        <v>250000</v>
      </c>
      <c r="N1329" s="837" t="s">
        <v>5032</v>
      </c>
    </row>
    <row r="1330" spans="1:14" x14ac:dyDescent="0.3">
      <c r="A1330" s="123">
        <v>10</v>
      </c>
      <c r="B1330" s="836"/>
      <c r="C1330" s="844"/>
      <c r="D1330" s="837"/>
      <c r="E1330" s="837"/>
      <c r="F1330" s="149" t="s">
        <v>5211</v>
      </c>
      <c r="G1330" s="844"/>
      <c r="H1330" s="844"/>
      <c r="I1330" s="844"/>
      <c r="J1330" s="844"/>
      <c r="K1330" s="844"/>
      <c r="L1330" s="837"/>
      <c r="M1330" s="847"/>
      <c r="N1330" s="837"/>
    </row>
    <row r="1331" spans="1:14" x14ac:dyDescent="0.3">
      <c r="A1331" s="123">
        <v>10</v>
      </c>
      <c r="B1331" s="836"/>
      <c r="C1331" s="843" t="s">
        <v>5213</v>
      </c>
      <c r="D1331" s="845" t="s">
        <v>311</v>
      </c>
      <c r="E1331" s="845" t="s">
        <v>675</v>
      </c>
      <c r="F1331" s="843" t="s">
        <v>5214</v>
      </c>
      <c r="G1331" s="507" t="s">
        <v>5126</v>
      </c>
      <c r="H1331" s="838" t="s">
        <v>347</v>
      </c>
      <c r="I1331" s="506" t="s">
        <v>5322</v>
      </c>
      <c r="J1331" s="843"/>
      <c r="K1331" s="843" t="s">
        <v>692</v>
      </c>
      <c r="L1331" s="845" t="s">
        <v>309</v>
      </c>
      <c r="M1331" s="846">
        <v>500000</v>
      </c>
      <c r="N1331" s="837" t="s">
        <v>5032</v>
      </c>
    </row>
    <row r="1332" spans="1:14" x14ac:dyDescent="0.3">
      <c r="A1332" s="123">
        <v>10</v>
      </c>
      <c r="B1332" s="836"/>
      <c r="C1332" s="844"/>
      <c r="D1332" s="837"/>
      <c r="E1332" s="837"/>
      <c r="F1332" s="844"/>
      <c r="G1332" s="475" t="s">
        <v>5215</v>
      </c>
      <c r="H1332" s="839"/>
      <c r="I1332" s="149" t="s">
        <v>5217</v>
      </c>
      <c r="J1332" s="844"/>
      <c r="K1332" s="844"/>
      <c r="L1332" s="837"/>
      <c r="M1332" s="847"/>
      <c r="N1332" s="837"/>
    </row>
    <row r="1333" spans="1:14" x14ac:dyDescent="0.3">
      <c r="A1333" s="123">
        <v>11</v>
      </c>
      <c r="B1333" s="83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6" t="s">
        <v>5163</v>
      </c>
      <c r="C1339" s="838" t="s">
        <v>5218</v>
      </c>
      <c r="D1339" s="840" t="s">
        <v>311</v>
      </c>
      <c r="E1339" s="840" t="s">
        <v>675</v>
      </c>
      <c r="F1339" s="838" t="s">
        <v>5214</v>
      </c>
      <c r="G1339" s="510" t="s">
        <v>5126</v>
      </c>
      <c r="H1339" s="838" t="s">
        <v>347</v>
      </c>
      <c r="I1339" s="510" t="s">
        <v>5216</v>
      </c>
      <c r="J1339" s="838"/>
      <c r="K1339" s="838" t="s">
        <v>692</v>
      </c>
      <c r="L1339" s="840" t="s">
        <v>309</v>
      </c>
      <c r="M1339" s="841">
        <v>500000</v>
      </c>
      <c r="N1339" s="839" t="s">
        <v>5225</v>
      </c>
    </row>
    <row r="1340" spans="1:14" x14ac:dyDescent="0.3">
      <c r="A1340" s="123">
        <v>11</v>
      </c>
      <c r="B1340" s="836"/>
      <c r="C1340" s="839"/>
      <c r="D1340" s="834"/>
      <c r="E1340" s="834"/>
      <c r="F1340" s="839"/>
      <c r="G1340" s="476" t="s">
        <v>5215</v>
      </c>
      <c r="H1340" s="839"/>
      <c r="I1340" s="476" t="s">
        <v>5217</v>
      </c>
      <c r="J1340" s="839"/>
      <c r="K1340" s="839"/>
      <c r="L1340" s="834"/>
      <c r="M1340" s="842"/>
      <c r="N1340" s="839"/>
    </row>
    <row r="1341" spans="1:14" x14ac:dyDescent="0.3">
      <c r="A1341" s="123">
        <v>11</v>
      </c>
      <c r="B1341" s="83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3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3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34" t="s">
        <v>5443</v>
      </c>
    </row>
    <row r="1370" spans="1:14" x14ac:dyDescent="0.3">
      <c r="A1370" s="123">
        <v>14</v>
      </c>
      <c r="B1370" s="83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34"/>
    </row>
    <row r="1371" spans="1:14" x14ac:dyDescent="0.3">
      <c r="A1371" s="123">
        <v>14</v>
      </c>
      <c r="B1371" s="83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3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3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3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3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3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52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52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52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52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52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52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52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52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52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52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52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52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52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52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52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52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52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52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52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52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52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52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3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3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3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3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3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5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5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5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5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5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3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3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3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3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36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3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36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3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3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36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0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100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100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100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100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100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100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100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5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5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5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5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5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5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54"/>
      <c r="C1439" s="1009" t="s">
        <v>5860</v>
      </c>
      <c r="D1439" s="1010" t="s">
        <v>311</v>
      </c>
      <c r="E1439" s="1010" t="s">
        <v>320</v>
      </c>
      <c r="F1439" s="1011" t="s">
        <v>5188</v>
      </c>
      <c r="G1439" s="658" t="s">
        <v>1919</v>
      </c>
      <c r="H1439" s="1011" t="s">
        <v>347</v>
      </c>
      <c r="I1439" s="1011" t="s">
        <v>5870</v>
      </c>
      <c r="J1439" s="1011"/>
      <c r="K1439" s="1011" t="s">
        <v>692</v>
      </c>
      <c r="L1439" s="1010" t="s">
        <v>309</v>
      </c>
      <c r="M1439" s="1012">
        <v>500000</v>
      </c>
      <c r="N1439" s="996"/>
    </row>
    <row r="1440" spans="1:14" x14ac:dyDescent="0.3">
      <c r="A1440" s="694">
        <v>20</v>
      </c>
      <c r="B1440" s="854"/>
      <c r="C1440" s="1009"/>
      <c r="D1440" s="1010"/>
      <c r="E1440" s="1010"/>
      <c r="F1440" s="1011"/>
      <c r="G1440" s="658" t="s">
        <v>5189</v>
      </c>
      <c r="H1440" s="1011"/>
      <c r="I1440" s="1011"/>
      <c r="J1440" s="1011"/>
      <c r="K1440" s="1011"/>
      <c r="L1440" s="1010"/>
      <c r="M1440" s="1012"/>
      <c r="N1440" s="996"/>
    </row>
    <row r="1441" spans="1:14" ht="24" x14ac:dyDescent="0.3">
      <c r="A1441" s="694">
        <v>20</v>
      </c>
      <c r="B1441" s="85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2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2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2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2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2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2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2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2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2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2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2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97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99" t="s">
        <v>5942</v>
      </c>
    </row>
    <row r="1454" spans="1:14" x14ac:dyDescent="0.3">
      <c r="A1454" s="696">
        <v>22</v>
      </c>
      <c r="B1454" s="998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0"/>
    </row>
    <row r="1455" spans="1:14" x14ac:dyDescent="0.3">
      <c r="A1455" s="696">
        <v>22</v>
      </c>
      <c r="B1455" s="998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98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98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98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97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02" t="s">
        <v>3274</v>
      </c>
      <c r="K1459" s="1002" t="s">
        <v>3454</v>
      </c>
      <c r="L1459" s="646" t="s">
        <v>3265</v>
      </c>
      <c r="M1459" s="1004">
        <v>250000</v>
      </c>
      <c r="N1459" s="693" t="s">
        <v>5964</v>
      </c>
    </row>
    <row r="1460" spans="1:14" x14ac:dyDescent="0.3">
      <c r="A1460" s="696">
        <v>22</v>
      </c>
      <c r="B1460" s="998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03"/>
      <c r="K1460" s="1003"/>
      <c r="L1460" s="646" t="s">
        <v>3265</v>
      </c>
      <c r="M1460" s="1005"/>
      <c r="N1460" s="693" t="s">
        <v>5965</v>
      </c>
    </row>
    <row r="1461" spans="1:14" x14ac:dyDescent="0.3">
      <c r="A1461" s="696">
        <v>22</v>
      </c>
      <c r="B1461" s="998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98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98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98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06" t="s">
        <v>5920</v>
      </c>
      <c r="L1464" s="646" t="s">
        <v>15</v>
      </c>
      <c r="M1464" s="1004">
        <v>500000</v>
      </c>
      <c r="N1464" s="693" t="s">
        <v>5969</v>
      </c>
    </row>
    <row r="1465" spans="1:14" x14ac:dyDescent="0.3">
      <c r="A1465" s="696">
        <v>22</v>
      </c>
      <c r="B1465" s="1001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07"/>
      <c r="L1465" s="646" t="s">
        <v>15</v>
      </c>
      <c r="M1465" s="1005"/>
      <c r="N1465" s="693" t="s">
        <v>5970</v>
      </c>
    </row>
    <row r="1466" spans="1:14" x14ac:dyDescent="0.3">
      <c r="A1466" s="694">
        <v>23</v>
      </c>
      <c r="B1466" s="82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2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2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2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2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2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2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2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2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19" t="s">
        <v>90</v>
      </c>
      <c r="K1474" s="1019" t="s">
        <v>6007</v>
      </c>
      <c r="L1474" s="136" t="s">
        <v>15</v>
      </c>
      <c r="M1474" s="1020">
        <v>250000</v>
      </c>
      <c r="N1474" s="646"/>
    </row>
    <row r="1475" spans="1:14" ht="27" x14ac:dyDescent="0.3">
      <c r="A1475" s="694">
        <v>23</v>
      </c>
      <c r="B1475" s="82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19"/>
      <c r="K1475" s="1019"/>
      <c r="L1475" s="136" t="s">
        <v>15</v>
      </c>
      <c r="M1475" s="1020"/>
      <c r="N1475" s="646"/>
    </row>
    <row r="1476" spans="1:14" x14ac:dyDescent="0.3">
      <c r="A1476" s="694">
        <v>23</v>
      </c>
      <c r="B1476" s="82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2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2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2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2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2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2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2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2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2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2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2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2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2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2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2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2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2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2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2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2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2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2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2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2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2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2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2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2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2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2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2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2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101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101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101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101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101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101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101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101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101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101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101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101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101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101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101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101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101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101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101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101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101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101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101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101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2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2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2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2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2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2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2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2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28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28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28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28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28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28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2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2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2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2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2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2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2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23" t="s">
        <v>6410</v>
      </c>
      <c r="L1553" s="632" t="s">
        <v>6349</v>
      </c>
      <c r="M1553" s="1004">
        <v>250000</v>
      </c>
      <c r="N1553" s="693" t="s">
        <v>6437</v>
      </c>
    </row>
    <row r="1554" spans="1:14" x14ac:dyDescent="0.3">
      <c r="A1554" s="696">
        <v>27</v>
      </c>
      <c r="B1554" s="82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24"/>
      <c r="L1554" s="632" t="s">
        <v>15</v>
      </c>
      <c r="M1554" s="1005"/>
      <c r="N1554" s="693" t="s">
        <v>6438</v>
      </c>
    </row>
    <row r="1555" spans="1:14" x14ac:dyDescent="0.3">
      <c r="A1555" s="696">
        <v>27</v>
      </c>
      <c r="B1555" s="82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2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101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101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101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101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101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101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101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15" t="s">
        <v>686</v>
      </c>
      <c r="L1563" s="125" t="s">
        <v>15</v>
      </c>
      <c r="M1563" s="1004">
        <v>250000</v>
      </c>
      <c r="N1563" s="693" t="s">
        <v>393</v>
      </c>
    </row>
    <row r="1564" spans="1:14" x14ac:dyDescent="0.3">
      <c r="A1564" s="694">
        <v>28</v>
      </c>
      <c r="B1564" s="101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1"/>
      <c r="L1564" s="125" t="s">
        <v>15</v>
      </c>
      <c r="M1564" s="1022"/>
      <c r="N1564" s="693" t="s">
        <v>128</v>
      </c>
    </row>
    <row r="1565" spans="1:14" ht="27" x14ac:dyDescent="0.3">
      <c r="A1565" s="694">
        <v>28</v>
      </c>
      <c r="B1565" s="101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16"/>
      <c r="L1565" s="125" t="s">
        <v>15</v>
      </c>
      <c r="M1565" s="1005"/>
      <c r="N1565" s="693" t="s">
        <v>393</v>
      </c>
    </row>
    <row r="1566" spans="1:14" x14ac:dyDescent="0.3">
      <c r="A1566" s="694">
        <v>28</v>
      </c>
      <c r="B1566" s="101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101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101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101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97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15" t="s">
        <v>1113</v>
      </c>
      <c r="L1571" s="125" t="s">
        <v>15</v>
      </c>
      <c r="M1571" s="1004">
        <v>750000</v>
      </c>
      <c r="N1571" s="829" t="s">
        <v>6608</v>
      </c>
    </row>
    <row r="1572" spans="1:14" x14ac:dyDescent="0.3">
      <c r="A1572" s="694">
        <v>29</v>
      </c>
      <c r="B1572" s="998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16"/>
      <c r="L1572" s="125" t="s">
        <v>15</v>
      </c>
      <c r="M1572" s="1005"/>
      <c r="N1572" s="831"/>
    </row>
    <row r="1573" spans="1:14" ht="27" x14ac:dyDescent="0.3">
      <c r="A1573" s="694">
        <v>29</v>
      </c>
      <c r="B1573" s="998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98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98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98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17" t="s">
        <v>41</v>
      </c>
      <c r="L1576" s="136" t="s">
        <v>15</v>
      </c>
      <c r="M1576" s="1004">
        <v>250000</v>
      </c>
      <c r="N1576" s="646" t="s">
        <v>6615</v>
      </c>
    </row>
    <row r="1577" spans="1:14" x14ac:dyDescent="0.3">
      <c r="A1577" s="694">
        <v>29</v>
      </c>
      <c r="B1577" s="998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18"/>
      <c r="L1577" s="136" t="s">
        <v>15</v>
      </c>
      <c r="M1577" s="1005"/>
      <c r="N1577" s="646" t="s">
        <v>6616</v>
      </c>
    </row>
    <row r="1578" spans="1:14" x14ac:dyDescent="0.3">
      <c r="A1578" s="694">
        <v>29</v>
      </c>
      <c r="B1578" s="998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98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98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98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15" t="s">
        <v>686</v>
      </c>
      <c r="L1581" s="125" t="s">
        <v>15</v>
      </c>
      <c r="M1581" s="1004">
        <v>250000</v>
      </c>
      <c r="N1581" s="646" t="s">
        <v>6737</v>
      </c>
    </row>
    <row r="1582" spans="1:14" x14ac:dyDescent="0.3">
      <c r="A1582" s="694">
        <v>29</v>
      </c>
      <c r="B1582" s="998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16"/>
      <c r="L1582" s="125" t="s">
        <v>15</v>
      </c>
      <c r="M1582" s="1005"/>
      <c r="N1582" s="646" t="s">
        <v>6620</v>
      </c>
    </row>
    <row r="1583" spans="1:14" x14ac:dyDescent="0.3">
      <c r="A1583" s="694">
        <v>29</v>
      </c>
      <c r="B1583" s="998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15" t="s">
        <v>686</v>
      </c>
      <c r="L1583" s="125" t="s">
        <v>15</v>
      </c>
      <c r="M1583" s="1004">
        <v>250000</v>
      </c>
      <c r="N1583" s="646" t="s">
        <v>6737</v>
      </c>
    </row>
    <row r="1584" spans="1:14" x14ac:dyDescent="0.3">
      <c r="A1584" s="694">
        <v>29</v>
      </c>
      <c r="B1584" s="998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16"/>
      <c r="L1584" s="125" t="s">
        <v>15</v>
      </c>
      <c r="M1584" s="1005"/>
      <c r="N1584" s="646" t="s">
        <v>6621</v>
      </c>
    </row>
    <row r="1585" spans="1:14" x14ac:dyDescent="0.3">
      <c r="A1585" s="694">
        <v>30</v>
      </c>
      <c r="B1585" s="828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28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2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2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2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2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2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2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2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9" t="s">
        <v>6721</v>
      </c>
    </row>
    <row r="1595" spans="1:14" x14ac:dyDescent="0.3">
      <c r="A1595" s="694">
        <v>31</v>
      </c>
      <c r="B1595" s="82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30"/>
    </row>
    <row r="1596" spans="1:14" x14ac:dyDescent="0.3">
      <c r="A1596" s="694">
        <v>31</v>
      </c>
      <c r="B1596" s="82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30"/>
    </row>
    <row r="1597" spans="1:14" x14ac:dyDescent="0.3">
      <c r="A1597" s="694">
        <v>31</v>
      </c>
      <c r="B1597" s="82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30"/>
    </row>
    <row r="1598" spans="1:14" x14ac:dyDescent="0.3">
      <c r="A1598" s="694">
        <v>31</v>
      </c>
      <c r="B1598" s="82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1"/>
    </row>
    <row r="1599" spans="1:14" x14ac:dyDescent="0.3">
      <c r="A1599" s="694">
        <v>31</v>
      </c>
      <c r="B1599" s="82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810">
        <v>32</v>
      </c>
      <c r="B1600" s="828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782" t="s">
        <v>6819</v>
      </c>
      <c r="H1600" s="782" t="s">
        <v>263</v>
      </c>
      <c r="I1600" s="788" t="s">
        <v>6820</v>
      </c>
      <c r="J1600" s="633" t="s">
        <v>737</v>
      </c>
      <c r="K1600" s="788" t="s">
        <v>3035</v>
      </c>
      <c r="L1600" s="703" t="s">
        <v>6821</v>
      </c>
      <c r="M1600" s="783">
        <f>250000*5</f>
        <v>1250000</v>
      </c>
      <c r="N1600" s="26"/>
    </row>
    <row r="1601" spans="1:14" ht="27" x14ac:dyDescent="0.3">
      <c r="A1601" s="810">
        <v>32</v>
      </c>
      <c r="B1601" s="828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6822</v>
      </c>
      <c r="I1601" s="788" t="s">
        <v>6826</v>
      </c>
      <c r="J1601" s="633" t="s">
        <v>6828</v>
      </c>
      <c r="K1601" s="788" t="s">
        <v>3702</v>
      </c>
      <c r="L1601" s="703" t="s">
        <v>6821</v>
      </c>
      <c r="M1601" s="783">
        <f>250000*2</f>
        <v>500000</v>
      </c>
      <c r="N1601" s="26"/>
    </row>
    <row r="1602" spans="1:14" ht="27" x14ac:dyDescent="0.3">
      <c r="A1602" s="810">
        <v>32</v>
      </c>
      <c r="B1602" s="828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6823</v>
      </c>
      <c r="I1602" s="788" t="s">
        <v>6827</v>
      </c>
      <c r="J1602" s="633" t="s">
        <v>168</v>
      </c>
      <c r="K1602" s="788" t="s">
        <v>4943</v>
      </c>
      <c r="L1602" s="703" t="s">
        <v>6821</v>
      </c>
      <c r="M1602" s="783">
        <f>250000*3</f>
        <v>750000</v>
      </c>
      <c r="N1602" s="26"/>
    </row>
    <row r="1603" spans="1:14" ht="27" x14ac:dyDescent="0.3">
      <c r="A1603" s="810">
        <v>32</v>
      </c>
      <c r="B1603" s="828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6823</v>
      </c>
      <c r="I1603" s="788" t="s">
        <v>6832</v>
      </c>
      <c r="J1603" s="633" t="s">
        <v>90</v>
      </c>
      <c r="K1603" s="788" t="s">
        <v>6833</v>
      </c>
      <c r="L1603" s="703"/>
      <c r="M1603" s="783">
        <f>250000*3</f>
        <v>750000</v>
      </c>
      <c r="N1603" s="26"/>
    </row>
    <row r="1604" spans="1:14" x14ac:dyDescent="0.3">
      <c r="A1604" s="810">
        <v>32</v>
      </c>
      <c r="B1604" s="82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790" t="s">
        <v>6829</v>
      </c>
      <c r="J1604" s="785" t="s">
        <v>168</v>
      </c>
      <c r="K1604" s="785" t="s">
        <v>6783</v>
      </c>
      <c r="L1604" s="125" t="s">
        <v>15</v>
      </c>
      <c r="M1604" s="757">
        <v>250000</v>
      </c>
      <c r="N1604" s="26"/>
    </row>
    <row r="1605" spans="1:14" x14ac:dyDescent="0.3">
      <c r="A1605" s="810">
        <v>32</v>
      </c>
      <c r="B1605" s="82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790" t="s">
        <v>6830</v>
      </c>
      <c r="J1605" s="785" t="s">
        <v>168</v>
      </c>
      <c r="K1605" s="785" t="s">
        <v>6783</v>
      </c>
      <c r="L1605" s="125" t="s">
        <v>15</v>
      </c>
      <c r="M1605" s="757">
        <v>250000</v>
      </c>
      <c r="N1605" s="26"/>
    </row>
    <row r="1606" spans="1:14" x14ac:dyDescent="0.3">
      <c r="A1606" s="810">
        <v>32</v>
      </c>
      <c r="B1606" s="82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810">
        <v>32</v>
      </c>
      <c r="B1607" s="82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785" t="s">
        <v>6520</v>
      </c>
      <c r="K1607" s="785" t="s">
        <v>6804</v>
      </c>
      <c r="L1607" s="125" t="s">
        <v>15</v>
      </c>
      <c r="M1607" s="757">
        <v>250000</v>
      </c>
      <c r="N1607" s="26"/>
    </row>
    <row r="1608" spans="1:14" x14ac:dyDescent="0.3">
      <c r="A1608" s="810">
        <v>32</v>
      </c>
      <c r="B1608" s="828"/>
      <c r="C1608" s="399">
        <v>46247</v>
      </c>
      <c r="D1608" s="4" t="s">
        <v>21</v>
      </c>
      <c r="E1608" s="4" t="s">
        <v>6775</v>
      </c>
      <c r="F1608" s="785" t="s">
        <v>1787</v>
      </c>
      <c r="G1608" s="785" t="s">
        <v>6776</v>
      </c>
      <c r="H1608" s="16" t="s">
        <v>6780</v>
      </c>
      <c r="I1608" s="790" t="s">
        <v>6781</v>
      </c>
      <c r="J1608" s="785"/>
      <c r="K1608" s="785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810">
        <v>32</v>
      </c>
      <c r="B1609" s="828"/>
      <c r="C1609" s="399">
        <v>46248</v>
      </c>
      <c r="D1609" s="4" t="s">
        <v>21</v>
      </c>
      <c r="E1609" s="4" t="s">
        <v>6775</v>
      </c>
      <c r="F1609" s="785" t="s">
        <v>1787</v>
      </c>
      <c r="G1609" s="785" t="s">
        <v>6776</v>
      </c>
      <c r="H1609" s="16" t="s">
        <v>6777</v>
      </c>
      <c r="I1609" s="790" t="s">
        <v>6834</v>
      </c>
      <c r="J1609" s="785"/>
      <c r="K1609" s="785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810">
        <v>32</v>
      </c>
      <c r="B1610" s="828"/>
      <c r="C1610" s="369">
        <v>46249</v>
      </c>
      <c r="D1610" s="4" t="s">
        <v>21</v>
      </c>
      <c r="E1610" s="4" t="s">
        <v>14</v>
      </c>
      <c r="F1610" s="785" t="s">
        <v>6814</v>
      </c>
      <c r="G1610" s="785" t="s">
        <v>6815</v>
      </c>
      <c r="H1610" s="16" t="s">
        <v>6806</v>
      </c>
      <c r="I1610" s="790" t="s">
        <v>6817</v>
      </c>
      <c r="J1610" s="785" t="s">
        <v>6816</v>
      </c>
      <c r="K1610" s="785" t="s">
        <v>641</v>
      </c>
      <c r="L1610" s="277" t="s">
        <v>6779</v>
      </c>
      <c r="M1610" s="757">
        <v>500000</v>
      </c>
      <c r="N1610" s="26"/>
    </row>
  </sheetData>
  <autoFilter ref="A1:N1599"/>
  <mergeCells count="1079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abSelected="1" topLeftCell="A13" workbookViewId="0">
      <selection activeCell="D27" sqref="D27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25" t="s">
        <v>4857</v>
      </c>
      <c r="D10" s="1025"/>
    </row>
    <row r="11" spans="1:4" x14ac:dyDescent="0.3">
      <c r="A11" s="589" t="s">
        <v>4858</v>
      </c>
      <c r="B11" s="589">
        <v>3</v>
      </c>
      <c r="C11" s="1026">
        <f>'사전품의양식 (12)'!L7</f>
        <v>3000000</v>
      </c>
      <c r="D11" s="1026"/>
    </row>
    <row r="12" spans="1:4" x14ac:dyDescent="0.3">
      <c r="A12" s="589" t="s">
        <v>4859</v>
      </c>
      <c r="B12" s="589">
        <v>5</v>
      </c>
      <c r="C12" s="1026">
        <f>'사전품의양식 (12)'!L15</f>
        <v>3050000</v>
      </c>
      <c r="D12" s="1026"/>
    </row>
    <row r="13" spans="1:4" x14ac:dyDescent="0.3">
      <c r="A13" s="591" t="s">
        <v>53</v>
      </c>
      <c r="B13" s="591">
        <f>SUM(B11:B12)</f>
        <v>8</v>
      </c>
      <c r="C13" s="1027">
        <f>SUM(C11:C12)</f>
        <v>6050000</v>
      </c>
      <c r="D13" s="102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28" t="s">
        <v>4872</v>
      </c>
      <c r="D24" s="1029"/>
      <c r="E24" s="667"/>
    </row>
    <row r="25" spans="1:5" x14ac:dyDescent="0.3">
      <c r="A25" s="786" t="s">
        <v>4873</v>
      </c>
      <c r="B25" s="786" t="s">
        <v>4874</v>
      </c>
      <c r="C25" s="1030" t="s">
        <v>4875</v>
      </c>
      <c r="D25" s="1031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7"/>
  <sheetViews>
    <sheetView topLeftCell="A2" zoomScale="90" zoomScaleNormal="90" zoomScaleSheetLayoutView="55" workbookViewId="0">
      <selection activeCell="A28" sqref="A28:M47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32" t="s">
        <v>6918</v>
      </c>
      <c r="B2" s="1032" t="s">
        <v>1</v>
      </c>
      <c r="C2" s="1032" t="s">
        <v>2</v>
      </c>
      <c r="D2" s="1032" t="s">
        <v>3</v>
      </c>
      <c r="E2" s="787" t="s">
        <v>2623</v>
      </c>
      <c r="F2" s="1032" t="s">
        <v>5</v>
      </c>
      <c r="G2" s="1032" t="s">
        <v>6</v>
      </c>
      <c r="H2" s="1032" t="s">
        <v>2624</v>
      </c>
      <c r="I2" s="1032" t="s">
        <v>55</v>
      </c>
      <c r="J2" s="1032" t="s">
        <v>9</v>
      </c>
      <c r="K2" s="1033" t="s">
        <v>56</v>
      </c>
      <c r="L2" s="1032" t="s">
        <v>57</v>
      </c>
      <c r="M2" s="1032" t="s">
        <v>58</v>
      </c>
    </row>
    <row r="3" spans="1:13" x14ac:dyDescent="0.3">
      <c r="A3" s="1032"/>
      <c r="B3" s="1032"/>
      <c r="C3" s="1032"/>
      <c r="D3" s="1032"/>
      <c r="E3" s="787" t="s">
        <v>1724</v>
      </c>
      <c r="F3" s="1032"/>
      <c r="G3" s="1032"/>
      <c r="H3" s="1032"/>
      <c r="I3" s="1032"/>
      <c r="J3" s="1032"/>
      <c r="K3" s="1033"/>
      <c r="L3" s="1032"/>
      <c r="M3" s="1032"/>
    </row>
    <row r="4" spans="1:13" s="685" customFormat="1" ht="17.100000000000001" customHeight="1" x14ac:dyDescent="0.3">
      <c r="A4" s="828" t="s">
        <v>20</v>
      </c>
      <c r="B4" s="399" t="s">
        <v>6901</v>
      </c>
      <c r="C4" s="726" t="s">
        <v>6656</v>
      </c>
      <c r="D4" s="632" t="s">
        <v>6658</v>
      </c>
      <c r="E4" s="633" t="s">
        <v>6659</v>
      </c>
      <c r="F4" s="793">
        <v>7065</v>
      </c>
      <c r="G4" s="793" t="s">
        <v>6903</v>
      </c>
      <c r="H4" s="788" t="s">
        <v>6902</v>
      </c>
      <c r="I4" s="633" t="s">
        <v>737</v>
      </c>
      <c r="J4" s="788" t="s">
        <v>6900</v>
      </c>
      <c r="K4" s="703" t="s">
        <v>6821</v>
      </c>
      <c r="L4" s="783">
        <f>250000*5</f>
        <v>1250000</v>
      </c>
      <c r="M4" s="646"/>
    </row>
    <row r="5" spans="1:13" s="685" customFormat="1" ht="17.100000000000001" customHeight="1" x14ac:dyDescent="0.3">
      <c r="A5" s="828"/>
      <c r="B5" s="399" t="s">
        <v>6907</v>
      </c>
      <c r="C5" s="726" t="s">
        <v>5524</v>
      </c>
      <c r="D5" s="632" t="s">
        <v>385</v>
      </c>
      <c r="E5" s="633" t="s">
        <v>6659</v>
      </c>
      <c r="F5" s="793">
        <v>2688</v>
      </c>
      <c r="G5" s="793" t="s">
        <v>6904</v>
      </c>
      <c r="H5" s="795" t="s">
        <v>6905</v>
      </c>
      <c r="I5" s="633" t="s">
        <v>6906</v>
      </c>
      <c r="J5" s="795" t="s">
        <v>3004</v>
      </c>
      <c r="K5" s="703" t="s">
        <v>4875</v>
      </c>
      <c r="L5" s="794">
        <f>250000*3</f>
        <v>750000</v>
      </c>
      <c r="M5" s="646"/>
    </row>
    <row r="6" spans="1:13" s="685" customFormat="1" ht="17.100000000000001" customHeight="1" x14ac:dyDescent="0.3">
      <c r="A6" s="828"/>
      <c r="B6" s="399" t="s">
        <v>6908</v>
      </c>
      <c r="C6" s="726" t="s">
        <v>219</v>
      </c>
      <c r="D6" s="632" t="s">
        <v>151</v>
      </c>
      <c r="E6" s="633" t="s">
        <v>6659</v>
      </c>
      <c r="F6" s="782">
        <v>7062</v>
      </c>
      <c r="G6" s="782" t="s">
        <v>6909</v>
      </c>
      <c r="H6" s="788" t="s">
        <v>6910</v>
      </c>
      <c r="I6" s="633" t="s">
        <v>1354</v>
      </c>
      <c r="J6" s="788" t="s">
        <v>3716</v>
      </c>
      <c r="K6" s="703" t="s">
        <v>6821</v>
      </c>
      <c r="L6" s="783">
        <f>250000*4</f>
        <v>1000000</v>
      </c>
      <c r="M6" s="646"/>
    </row>
    <row r="7" spans="1:13" ht="17.100000000000001" customHeight="1" x14ac:dyDescent="0.3">
      <c r="A7" s="828"/>
      <c r="B7" s="828" t="s">
        <v>1136</v>
      </c>
      <c r="C7" s="828"/>
      <c r="D7" s="828"/>
      <c r="E7" s="828"/>
      <c r="F7" s="828"/>
      <c r="G7" s="828"/>
      <c r="H7" s="828"/>
      <c r="I7" s="828"/>
      <c r="J7" s="828"/>
      <c r="K7" s="828"/>
      <c r="L7" s="729">
        <f>SUM(L4:L6)</f>
        <v>3000000</v>
      </c>
      <c r="M7" s="646"/>
    </row>
    <row r="8" spans="1:13" ht="18" customHeight="1" x14ac:dyDescent="0.3">
      <c r="A8" s="828" t="s">
        <v>21</v>
      </c>
      <c r="B8" s="399">
        <v>46258</v>
      </c>
      <c r="C8" s="4" t="s">
        <v>6885</v>
      </c>
      <c r="D8" s="4" t="s">
        <v>70</v>
      </c>
      <c r="E8" s="792" t="s">
        <v>6886</v>
      </c>
      <c r="F8" s="792" t="s">
        <v>6887</v>
      </c>
      <c r="G8" s="16" t="s">
        <v>6888</v>
      </c>
      <c r="H8" s="797" t="s">
        <v>6889</v>
      </c>
      <c r="I8" s="792" t="s">
        <v>6890</v>
      </c>
      <c r="J8" s="792" t="s">
        <v>6891</v>
      </c>
      <c r="K8" s="125" t="s">
        <v>6892</v>
      </c>
      <c r="L8" s="757">
        <v>300000</v>
      </c>
      <c r="M8" s="646" t="s">
        <v>6911</v>
      </c>
    </row>
    <row r="9" spans="1:13" ht="27" x14ac:dyDescent="0.3">
      <c r="A9" s="828"/>
      <c r="B9" s="399">
        <v>46258</v>
      </c>
      <c r="C9" s="4" t="s">
        <v>21</v>
      </c>
      <c r="D9" s="4" t="s">
        <v>14</v>
      </c>
      <c r="E9" s="792" t="s">
        <v>225</v>
      </c>
      <c r="F9" s="792" t="s">
        <v>2916</v>
      </c>
      <c r="G9" s="16" t="s">
        <v>3286</v>
      </c>
      <c r="H9" s="797" t="s">
        <v>6898</v>
      </c>
      <c r="I9" s="792" t="s">
        <v>6520</v>
      </c>
      <c r="J9" s="792" t="s">
        <v>2838</v>
      </c>
      <c r="K9" s="125" t="s">
        <v>5240</v>
      </c>
      <c r="L9" s="757">
        <v>500000</v>
      </c>
      <c r="M9" s="646" t="s">
        <v>6912</v>
      </c>
    </row>
    <row r="10" spans="1:13" ht="13.5" x14ac:dyDescent="0.3">
      <c r="A10" s="828"/>
      <c r="B10" s="399">
        <v>46258</v>
      </c>
      <c r="C10" s="4" t="s">
        <v>21</v>
      </c>
      <c r="D10" s="4" t="s">
        <v>14</v>
      </c>
      <c r="E10" s="792" t="s">
        <v>149</v>
      </c>
      <c r="F10" s="792" t="s">
        <v>3415</v>
      </c>
      <c r="G10" s="16" t="s">
        <v>23</v>
      </c>
      <c r="H10" s="812" t="s">
        <v>6895</v>
      </c>
      <c r="I10" s="792"/>
      <c r="J10" s="813" t="s">
        <v>6881</v>
      </c>
      <c r="K10" s="814" t="s">
        <v>15</v>
      </c>
      <c r="L10" s="757">
        <v>500000</v>
      </c>
      <c r="M10" s="646" t="s">
        <v>6913</v>
      </c>
    </row>
    <row r="11" spans="1:13" ht="13.5" x14ac:dyDescent="0.3">
      <c r="A11" s="828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6871</v>
      </c>
      <c r="I11" s="792"/>
      <c r="J11" s="813" t="s">
        <v>6881</v>
      </c>
      <c r="K11" s="814" t="s">
        <v>15</v>
      </c>
      <c r="L11" s="757">
        <v>500000</v>
      </c>
      <c r="M11" s="646" t="s">
        <v>6914</v>
      </c>
    </row>
    <row r="12" spans="1:13" ht="13.5" x14ac:dyDescent="0.3">
      <c r="A12" s="828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6878</v>
      </c>
      <c r="I12" s="797" t="s">
        <v>6882</v>
      </c>
      <c r="J12" s="792" t="s">
        <v>3537</v>
      </c>
      <c r="K12" s="125" t="s">
        <v>15</v>
      </c>
      <c r="L12" s="757">
        <v>500000</v>
      </c>
      <c r="M12" s="646" t="s">
        <v>6915</v>
      </c>
    </row>
    <row r="13" spans="1:13" ht="13.5" x14ac:dyDescent="0.3">
      <c r="A13" s="828"/>
      <c r="B13" s="399">
        <v>46261</v>
      </c>
      <c r="C13" s="4" t="s">
        <v>21</v>
      </c>
      <c r="D13" s="4" t="s">
        <v>70</v>
      </c>
      <c r="E13" s="792" t="s">
        <v>1787</v>
      </c>
      <c r="F13" s="792" t="s">
        <v>4902</v>
      </c>
      <c r="G13" s="16" t="s">
        <v>40</v>
      </c>
      <c r="H13" s="797" t="s">
        <v>396</v>
      </c>
      <c r="I13" s="792" t="s">
        <v>3661</v>
      </c>
      <c r="J13" s="797" t="s">
        <v>1897</v>
      </c>
      <c r="K13" s="125" t="s">
        <v>69</v>
      </c>
      <c r="L13" s="757">
        <v>250000</v>
      </c>
      <c r="M13" s="646" t="s">
        <v>6916</v>
      </c>
    </row>
    <row r="14" spans="1:13" ht="13.5" x14ac:dyDescent="0.3">
      <c r="A14" s="828"/>
      <c r="B14" s="369">
        <v>46262</v>
      </c>
      <c r="C14" s="4" t="s">
        <v>64</v>
      </c>
      <c r="D14" s="4" t="s">
        <v>17</v>
      </c>
      <c r="E14" s="792" t="s">
        <v>100</v>
      </c>
      <c r="F14" s="792" t="s">
        <v>6666</v>
      </c>
      <c r="G14" s="16" t="s">
        <v>6876</v>
      </c>
      <c r="H14" s="797" t="s">
        <v>6877</v>
      </c>
      <c r="I14" s="792"/>
      <c r="J14" s="797" t="s">
        <v>3537</v>
      </c>
      <c r="K14" s="125" t="s">
        <v>69</v>
      </c>
      <c r="L14" s="757">
        <v>500000</v>
      </c>
      <c r="M14" s="646" t="s">
        <v>6917</v>
      </c>
    </row>
    <row r="15" spans="1:13" ht="17.100000000000001" customHeight="1" x14ac:dyDescent="0.3">
      <c r="A15" s="828"/>
      <c r="B15" s="828" t="s">
        <v>4879</v>
      </c>
      <c r="C15" s="828"/>
      <c r="D15" s="828"/>
      <c r="E15" s="828"/>
      <c r="F15" s="828"/>
      <c r="G15" s="828"/>
      <c r="H15" s="828"/>
      <c r="I15" s="828"/>
      <c r="J15" s="828"/>
      <c r="K15" s="828"/>
      <c r="L15" s="729">
        <f>SUM(L8:L14)</f>
        <v>3050000</v>
      </c>
      <c r="M15" s="646"/>
    </row>
    <row r="16" spans="1:13" ht="25.5" customHeight="1" x14ac:dyDescent="0.3">
      <c r="A16" s="1034" t="s">
        <v>62</v>
      </c>
      <c r="B16" s="1034"/>
      <c r="C16" s="1034"/>
      <c r="D16" s="1034"/>
      <c r="E16" s="1034"/>
      <c r="F16" s="1034"/>
      <c r="G16" s="1034"/>
      <c r="H16" s="1034"/>
      <c r="I16" s="1034"/>
      <c r="J16" s="1034"/>
      <c r="K16" s="1034"/>
      <c r="L16" s="729">
        <f>L7+L15</f>
        <v>6050000</v>
      </c>
      <c r="M16" s="649"/>
    </row>
    <row r="17" spans="1:16" ht="26.25" customHeight="1" x14ac:dyDescent="0.3"/>
    <row r="18" spans="1:16" ht="26.25" hidden="1" customHeight="1" x14ac:dyDescent="0.3"/>
    <row r="19" spans="1:16" ht="25.5" hidden="1" customHeight="1" x14ac:dyDescent="0.3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 x14ac:dyDescent="0.3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 x14ac:dyDescent="0.3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 x14ac:dyDescent="0.3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 x14ac:dyDescent="0.3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 x14ac:dyDescent="0.3"/>
    <row r="25" spans="1:16" ht="20.100000000000001" hidden="1" customHeight="1" x14ac:dyDescent="0.3">
      <c r="J25" s="687"/>
    </row>
    <row r="28" spans="1:16" ht="28.5" customHeight="1" x14ac:dyDescent="0.3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 x14ac:dyDescent="0.3">
      <c r="A29" s="799" t="s">
        <v>6332</v>
      </c>
      <c r="B29" s="399">
        <v>46258</v>
      </c>
      <c r="C29" s="4" t="s">
        <v>6724</v>
      </c>
      <c r="D29" s="4" t="s">
        <v>6723</v>
      </c>
      <c r="E29" s="792" t="s">
        <v>6897</v>
      </c>
      <c r="F29" s="792">
        <v>3006</v>
      </c>
      <c r="G29" s="16" t="s">
        <v>6722</v>
      </c>
      <c r="H29" s="797" t="s">
        <v>6857</v>
      </c>
      <c r="I29" s="792" t="s">
        <v>6862</v>
      </c>
      <c r="J29" s="792" t="s">
        <v>3075</v>
      </c>
      <c r="K29" s="125" t="s">
        <v>69</v>
      </c>
      <c r="L29" s="8">
        <v>2</v>
      </c>
      <c r="M29" s="8"/>
      <c r="N29" s="792"/>
      <c r="O29" s="431"/>
      <c r="P29" s="792"/>
    </row>
    <row r="30" spans="1:16" s="17" customFormat="1" ht="33" customHeight="1" x14ac:dyDescent="0.3">
      <c r="A30" s="798"/>
      <c r="B30" s="399">
        <v>46258</v>
      </c>
      <c r="C30" s="4" t="s">
        <v>6885</v>
      </c>
      <c r="D30" s="4" t="s">
        <v>70</v>
      </c>
      <c r="E30" s="792" t="s">
        <v>6886</v>
      </c>
      <c r="F30" s="792" t="s">
        <v>6887</v>
      </c>
      <c r="G30" s="16" t="s">
        <v>6888</v>
      </c>
      <c r="H30" s="797" t="s">
        <v>6889</v>
      </c>
      <c r="I30" s="792" t="s">
        <v>6890</v>
      </c>
      <c r="J30" s="792" t="s">
        <v>6891</v>
      </c>
      <c r="K30" s="125" t="s">
        <v>6892</v>
      </c>
      <c r="L30" s="8">
        <v>2</v>
      </c>
      <c r="M30" s="8"/>
      <c r="N30" s="792"/>
      <c r="O30" s="431"/>
      <c r="P30" s="792"/>
    </row>
    <row r="31" spans="1:16" s="17" customFormat="1" ht="33" customHeight="1" x14ac:dyDescent="0.3">
      <c r="A31" s="798"/>
      <c r="B31" s="399">
        <v>46258</v>
      </c>
      <c r="C31" s="4" t="s">
        <v>21</v>
      </c>
      <c r="D31" s="4" t="s">
        <v>14</v>
      </c>
      <c r="E31" s="792" t="s">
        <v>225</v>
      </c>
      <c r="F31" s="792" t="s">
        <v>2916</v>
      </c>
      <c r="G31" s="16" t="s">
        <v>3286</v>
      </c>
      <c r="H31" s="797" t="s">
        <v>6898</v>
      </c>
      <c r="I31" s="792" t="s">
        <v>6520</v>
      </c>
      <c r="J31" s="792" t="s">
        <v>2838</v>
      </c>
      <c r="K31" s="125" t="s">
        <v>5240</v>
      </c>
      <c r="L31" s="8">
        <v>4</v>
      </c>
      <c r="M31" s="8"/>
      <c r="N31" s="792"/>
      <c r="O31" s="431"/>
      <c r="P31" s="792"/>
    </row>
    <row r="32" spans="1:16" s="817" customFormat="1" ht="33" customHeight="1" x14ac:dyDescent="0.3">
      <c r="A32" s="811"/>
      <c r="B32" s="399">
        <v>46258</v>
      </c>
      <c r="C32" s="4" t="s">
        <v>21</v>
      </c>
      <c r="D32" s="4" t="s">
        <v>14</v>
      </c>
      <c r="E32" s="792" t="s">
        <v>149</v>
      </c>
      <c r="F32" s="792" t="s">
        <v>3415</v>
      </c>
      <c r="G32" s="16" t="s">
        <v>23</v>
      </c>
      <c r="H32" s="812" t="s">
        <v>6895</v>
      </c>
      <c r="I32" s="792"/>
      <c r="J32" s="813" t="s">
        <v>6881</v>
      </c>
      <c r="K32" s="814" t="s">
        <v>15</v>
      </c>
      <c r="L32" s="815">
        <v>3</v>
      </c>
      <c r="M32" s="815"/>
      <c r="N32" s="813"/>
      <c r="O32" s="816"/>
      <c r="P32" s="813"/>
    </row>
    <row r="33" spans="1:17" s="817" customFormat="1" ht="33" customHeight="1" x14ac:dyDescent="0.3">
      <c r="A33" s="811"/>
      <c r="B33" s="399">
        <v>46258</v>
      </c>
      <c r="C33" s="4" t="s">
        <v>6707</v>
      </c>
      <c r="D33" s="4" t="s">
        <v>151</v>
      </c>
      <c r="E33" s="792" t="s">
        <v>6920</v>
      </c>
      <c r="F33" s="792" t="s">
        <v>6919</v>
      </c>
      <c r="G33" s="16" t="s">
        <v>145</v>
      </c>
      <c r="H33" s="812" t="s">
        <v>6921</v>
      </c>
      <c r="I33" s="792" t="s">
        <v>6922</v>
      </c>
      <c r="J33" s="813"/>
      <c r="K33" s="1117" t="s">
        <v>6923</v>
      </c>
      <c r="L33" s="815">
        <v>2</v>
      </c>
      <c r="M33" s="815"/>
      <c r="N33" s="813"/>
      <c r="O33" s="816"/>
      <c r="P33" s="813"/>
    </row>
    <row r="34" spans="1:17" s="17" customFormat="1" ht="33" customHeight="1" x14ac:dyDescent="0.3">
      <c r="A34" s="798"/>
      <c r="B34" s="399">
        <v>46259</v>
      </c>
      <c r="C34" s="4" t="s">
        <v>6707</v>
      </c>
      <c r="D34" s="4" t="s">
        <v>151</v>
      </c>
      <c r="E34" s="792" t="s">
        <v>6709</v>
      </c>
      <c r="F34" s="792">
        <v>7065</v>
      </c>
      <c r="G34" s="16" t="s">
        <v>145</v>
      </c>
      <c r="H34" s="797" t="s">
        <v>6706</v>
      </c>
      <c r="I34" s="792" t="s">
        <v>6312</v>
      </c>
      <c r="J34" s="792"/>
      <c r="K34" s="277" t="s">
        <v>209</v>
      </c>
      <c r="L34" s="8">
        <v>1</v>
      </c>
      <c r="M34" s="8"/>
      <c r="N34" s="792"/>
      <c r="O34" s="431"/>
      <c r="P34" s="792"/>
    </row>
    <row r="35" spans="1:17" s="17" customFormat="1" ht="33" customHeight="1" x14ac:dyDescent="0.3">
      <c r="A35" s="798"/>
      <c r="B35" s="399">
        <v>46259</v>
      </c>
      <c r="C35" s="3" t="s">
        <v>6707</v>
      </c>
      <c r="D35" s="3" t="s">
        <v>151</v>
      </c>
      <c r="E35" s="454" t="s">
        <v>6920</v>
      </c>
      <c r="F35" s="454" t="s">
        <v>6919</v>
      </c>
      <c r="G35" s="459" t="s">
        <v>145</v>
      </c>
      <c r="H35" s="453" t="s">
        <v>6921</v>
      </c>
      <c r="I35" s="454" t="s">
        <v>6922</v>
      </c>
      <c r="J35" s="454"/>
      <c r="K35" s="1117" t="s">
        <v>6923</v>
      </c>
      <c r="L35" s="815">
        <v>2</v>
      </c>
      <c r="M35" s="815"/>
      <c r="N35" s="792"/>
      <c r="O35" s="431"/>
      <c r="P35" s="792"/>
    </row>
    <row r="36" spans="1:17" s="17" customFormat="1" ht="33" customHeight="1" x14ac:dyDescent="0.3">
      <c r="A36" s="798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6870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792"/>
      <c r="O36" s="759" t="s">
        <v>6575</v>
      </c>
      <c r="P36" s="792"/>
    </row>
    <row r="37" spans="1:17" s="17" customFormat="1" ht="33" customHeight="1" x14ac:dyDescent="0.3">
      <c r="A37" s="798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6871</v>
      </c>
      <c r="I37" s="454"/>
      <c r="J37" s="454" t="s">
        <v>6881</v>
      </c>
      <c r="K37" s="814" t="s">
        <v>15</v>
      </c>
      <c r="L37" s="815">
        <v>3</v>
      </c>
      <c r="M37" s="815"/>
      <c r="N37" s="792"/>
      <c r="O37" s="809"/>
      <c r="P37" s="792"/>
    </row>
    <row r="38" spans="1:17" s="17" customFormat="1" ht="33" customHeight="1" x14ac:dyDescent="0.3">
      <c r="A38" s="798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792"/>
      <c r="O38" s="431"/>
      <c r="P38" s="792"/>
    </row>
    <row r="39" spans="1:17" s="17" customFormat="1" ht="33" customHeight="1" x14ac:dyDescent="0.3">
      <c r="A39" s="798"/>
      <c r="B39" s="399">
        <v>46260</v>
      </c>
      <c r="C39" s="3" t="s">
        <v>6707</v>
      </c>
      <c r="D39" s="3" t="s">
        <v>151</v>
      </c>
      <c r="E39" s="454" t="s">
        <v>6920</v>
      </c>
      <c r="F39" s="454" t="s">
        <v>6919</v>
      </c>
      <c r="G39" s="459" t="s">
        <v>145</v>
      </c>
      <c r="H39" s="453" t="s">
        <v>6921</v>
      </c>
      <c r="I39" s="454" t="s">
        <v>6922</v>
      </c>
      <c r="J39" s="454"/>
      <c r="K39" s="1117" t="s">
        <v>6923</v>
      </c>
      <c r="L39" s="815">
        <v>2</v>
      </c>
      <c r="M39" s="815"/>
      <c r="N39" s="792"/>
      <c r="O39" s="431"/>
      <c r="P39" s="792"/>
    </row>
    <row r="40" spans="1:17" s="17" customFormat="1" ht="33" customHeight="1" x14ac:dyDescent="0.3">
      <c r="A40" s="798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792"/>
      <c r="O40" s="759" t="s">
        <v>6575</v>
      </c>
      <c r="P40" s="792"/>
    </row>
    <row r="41" spans="1:17" s="17" customFormat="1" ht="33" customHeight="1" x14ac:dyDescent="0.3">
      <c r="A41" s="798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6878</v>
      </c>
      <c r="I41" s="453" t="s">
        <v>6882</v>
      </c>
      <c r="J41" s="454" t="s">
        <v>3537</v>
      </c>
      <c r="K41" s="125" t="s">
        <v>15</v>
      </c>
      <c r="L41" s="8">
        <v>3</v>
      </c>
      <c r="M41" s="8"/>
      <c r="N41" s="796"/>
      <c r="O41" s="430" t="s">
        <v>6843</v>
      </c>
      <c r="P41" s="792"/>
      <c r="Q41" s="17" t="s">
        <v>6729</v>
      </c>
    </row>
    <row r="42" spans="1:17" s="17" customFormat="1" ht="33" customHeight="1" x14ac:dyDescent="0.3">
      <c r="A42" s="798"/>
      <c r="B42" s="399">
        <v>46261</v>
      </c>
      <c r="C42" s="4" t="s">
        <v>6707</v>
      </c>
      <c r="D42" s="4" t="s">
        <v>151</v>
      </c>
      <c r="E42" s="792" t="s">
        <v>6709</v>
      </c>
      <c r="F42" s="792">
        <v>7065</v>
      </c>
      <c r="G42" s="16" t="s">
        <v>145</v>
      </c>
      <c r="H42" s="797" t="s">
        <v>6706</v>
      </c>
      <c r="I42" s="792" t="s">
        <v>6312</v>
      </c>
      <c r="J42" s="792"/>
      <c r="K42" s="277" t="s">
        <v>209</v>
      </c>
      <c r="L42" s="8">
        <v>1</v>
      </c>
      <c r="M42" s="8"/>
      <c r="N42" s="796"/>
      <c r="O42" s="430"/>
      <c r="P42" s="792"/>
    </row>
    <row r="43" spans="1:17" s="17" customFormat="1" ht="33" customHeight="1" x14ac:dyDescent="0.3">
      <c r="A43" s="798"/>
      <c r="B43" s="399">
        <v>46261</v>
      </c>
      <c r="C43" s="4" t="s">
        <v>21</v>
      </c>
      <c r="D43" s="4" t="s">
        <v>70</v>
      </c>
      <c r="E43" s="792" t="s">
        <v>1787</v>
      </c>
      <c r="F43" s="792" t="s">
        <v>4902</v>
      </c>
      <c r="G43" s="16" t="s">
        <v>40</v>
      </c>
      <c r="H43" s="797" t="s">
        <v>396</v>
      </c>
      <c r="I43" s="792" t="s">
        <v>3661</v>
      </c>
      <c r="J43" s="797" t="s">
        <v>1897</v>
      </c>
      <c r="K43" s="125" t="s">
        <v>69</v>
      </c>
      <c r="L43" s="8">
        <v>2</v>
      </c>
      <c r="M43" s="8"/>
      <c r="N43" s="796"/>
      <c r="O43" s="430" t="s">
        <v>6899</v>
      </c>
      <c r="P43" s="792"/>
      <c r="Q43" s="17" t="s">
        <v>6729</v>
      </c>
    </row>
    <row r="44" spans="1:17" s="17" customFormat="1" ht="33" customHeight="1" x14ac:dyDescent="0.3">
      <c r="A44" s="798"/>
      <c r="B44" s="399">
        <v>46261</v>
      </c>
      <c r="C44" s="4" t="s">
        <v>6707</v>
      </c>
      <c r="D44" s="4" t="s">
        <v>151</v>
      </c>
      <c r="E44" s="792" t="s">
        <v>6920</v>
      </c>
      <c r="F44" s="792" t="s">
        <v>6919</v>
      </c>
      <c r="G44" s="16" t="s">
        <v>145</v>
      </c>
      <c r="H44" s="812" t="s">
        <v>6921</v>
      </c>
      <c r="I44" s="792" t="s">
        <v>6922</v>
      </c>
      <c r="J44" s="813"/>
      <c r="K44" s="1117" t="s">
        <v>6923</v>
      </c>
      <c r="L44" s="815">
        <v>2</v>
      </c>
      <c r="M44" s="815"/>
      <c r="N44" s="796"/>
      <c r="O44" s="430"/>
      <c r="P44" s="792"/>
    </row>
    <row r="45" spans="1:17" s="17" customFormat="1" ht="33" customHeight="1" x14ac:dyDescent="0.3">
      <c r="A45" s="798"/>
      <c r="B45" s="399">
        <v>46262</v>
      </c>
      <c r="C45" s="4" t="s">
        <v>6707</v>
      </c>
      <c r="D45" s="4" t="s">
        <v>151</v>
      </c>
      <c r="E45" s="792" t="s">
        <v>6709</v>
      </c>
      <c r="F45" s="792">
        <v>7065</v>
      </c>
      <c r="G45" s="16" t="s">
        <v>145</v>
      </c>
      <c r="H45" s="797" t="s">
        <v>6706</v>
      </c>
      <c r="I45" s="792" t="s">
        <v>6312</v>
      </c>
      <c r="J45" s="792"/>
      <c r="K45" s="277" t="s">
        <v>209</v>
      </c>
      <c r="L45" s="8">
        <v>1</v>
      </c>
      <c r="M45" s="8"/>
      <c r="N45" s="796"/>
      <c r="O45" s="430"/>
      <c r="P45" s="792"/>
    </row>
    <row r="46" spans="1:17" s="17" customFormat="1" ht="33" customHeight="1" x14ac:dyDescent="0.3">
      <c r="A46" s="798"/>
      <c r="B46" s="399">
        <v>46262</v>
      </c>
      <c r="C46" s="4" t="s">
        <v>6707</v>
      </c>
      <c r="D46" s="4" t="s">
        <v>151</v>
      </c>
      <c r="E46" s="792" t="s">
        <v>6920</v>
      </c>
      <c r="F46" s="792" t="s">
        <v>6919</v>
      </c>
      <c r="G46" s="16" t="s">
        <v>145</v>
      </c>
      <c r="H46" s="812" t="s">
        <v>6921</v>
      </c>
      <c r="I46" s="792" t="s">
        <v>6922</v>
      </c>
      <c r="J46" s="813"/>
      <c r="K46" s="1117" t="s">
        <v>6923</v>
      </c>
      <c r="L46" s="815">
        <v>2</v>
      </c>
      <c r="M46" s="815"/>
      <c r="N46" s="796"/>
      <c r="O46" s="430"/>
      <c r="P46" s="792"/>
    </row>
    <row r="47" spans="1:17" s="17" customFormat="1" ht="33" customHeight="1" x14ac:dyDescent="0.3">
      <c r="A47" s="800"/>
      <c r="B47" s="369">
        <v>46262</v>
      </c>
      <c r="C47" s="4" t="s">
        <v>64</v>
      </c>
      <c r="D47" s="4" t="s">
        <v>17</v>
      </c>
      <c r="E47" s="792" t="s">
        <v>100</v>
      </c>
      <c r="F47" s="792" t="s">
        <v>6666</v>
      </c>
      <c r="G47" s="16" t="s">
        <v>6876</v>
      </c>
      <c r="H47" s="797" t="s">
        <v>6877</v>
      </c>
      <c r="I47" s="792"/>
      <c r="J47" s="797" t="s">
        <v>3537</v>
      </c>
      <c r="K47" s="125"/>
      <c r="L47" s="8">
        <v>2</v>
      </c>
      <c r="M47" s="8"/>
      <c r="N47" s="796"/>
      <c r="O47" s="430" t="s">
        <v>6894</v>
      </c>
      <c r="P47" s="792"/>
      <c r="Q47" s="17" t="s">
        <v>6729</v>
      </c>
    </row>
  </sheetData>
  <mergeCells count="17">
    <mergeCell ref="B7:K7"/>
    <mergeCell ref="A16:K16"/>
    <mergeCell ref="B15:K15"/>
    <mergeCell ref="A8:A15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5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6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6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6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6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6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6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6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6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6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6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6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6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6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6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6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6" t="s">
        <v>53</v>
      </c>
      <c r="B21" s="836"/>
      <c r="C21" s="836"/>
      <c r="D21" s="836"/>
      <c r="E21" s="836"/>
      <c r="F21" s="836"/>
      <c r="G21" s="836"/>
      <c r="H21" s="836"/>
      <c r="I21" s="836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54" t="s">
        <v>53</v>
      </c>
      <c r="B26" s="1055"/>
      <c r="C26" s="1055"/>
      <c r="D26" s="1055"/>
      <c r="E26" s="1055"/>
      <c r="F26" s="1055"/>
      <c r="G26" s="1055"/>
      <c r="H26" s="1055"/>
      <c r="I26" s="1056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6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6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6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6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6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54" t="s">
        <v>53</v>
      </c>
      <c r="B35" s="1055"/>
      <c r="C35" s="1055"/>
      <c r="D35" s="1055"/>
      <c r="E35" s="1055"/>
      <c r="F35" s="1055"/>
      <c r="G35" s="1055"/>
      <c r="H35" s="1055"/>
      <c r="I35" s="1056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5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6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6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54" t="s">
        <v>53</v>
      </c>
      <c r="B42" s="1055"/>
      <c r="C42" s="1055"/>
      <c r="D42" s="1055"/>
      <c r="E42" s="1055"/>
      <c r="F42" s="1055"/>
      <c r="G42" s="1055"/>
      <c r="H42" s="1055"/>
      <c r="I42" s="1056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54" t="s">
        <v>53</v>
      </c>
      <c r="B48" s="1055"/>
      <c r="C48" s="1055"/>
      <c r="D48" s="1055"/>
      <c r="E48" s="1055"/>
      <c r="F48" s="1055"/>
      <c r="G48" s="1055"/>
      <c r="H48" s="1055"/>
      <c r="I48" s="1056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6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6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54" t="s">
        <v>53</v>
      </c>
      <c r="B54" s="1055"/>
      <c r="C54" s="1055"/>
      <c r="D54" s="1055"/>
      <c r="E54" s="1055"/>
      <c r="F54" s="1055"/>
      <c r="G54" s="1055"/>
      <c r="H54" s="1055"/>
      <c r="I54" s="1056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5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6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6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69"/>
      <c r="B61" s="107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69"/>
      <c r="B62" s="107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69"/>
      <c r="B63" s="107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54" t="s">
        <v>53</v>
      </c>
      <c r="B64" s="1055"/>
      <c r="C64" s="1055"/>
      <c r="D64" s="1055"/>
      <c r="E64" s="1055"/>
      <c r="F64" s="1055"/>
      <c r="G64" s="1055"/>
      <c r="H64" s="1055"/>
      <c r="I64" s="1056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8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8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54" t="s">
        <v>53</v>
      </c>
      <c r="B70" s="1055"/>
      <c r="C70" s="1055"/>
      <c r="D70" s="1055"/>
      <c r="E70" s="1055"/>
      <c r="F70" s="1055"/>
      <c r="G70" s="1055"/>
      <c r="H70" s="1055"/>
      <c r="I70" s="1056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5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6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6" t="s">
        <v>53</v>
      </c>
      <c r="B78" s="836"/>
      <c r="C78" s="836"/>
      <c r="D78" s="836"/>
      <c r="E78" s="836"/>
      <c r="F78" s="836"/>
      <c r="G78" s="836"/>
      <c r="H78" s="836"/>
      <c r="I78" s="836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6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6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6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6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54" t="s">
        <v>53</v>
      </c>
      <c r="B86" s="1055"/>
      <c r="C86" s="1055"/>
      <c r="D86" s="1055"/>
      <c r="E86" s="1055"/>
      <c r="F86" s="1055"/>
      <c r="G86" s="1055"/>
      <c r="H86" s="1055"/>
      <c r="I86" s="1056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54" t="s">
        <v>53</v>
      </c>
      <c r="B92" s="1055"/>
      <c r="C92" s="1055"/>
      <c r="D92" s="1055"/>
      <c r="E92" s="1055"/>
      <c r="F92" s="1055"/>
      <c r="G92" s="1055"/>
      <c r="H92" s="1055"/>
      <c r="I92" s="1056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6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6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6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6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54" t="s">
        <v>53</v>
      </c>
      <c r="B101" s="1055"/>
      <c r="C101" s="1055"/>
      <c r="D101" s="1055"/>
      <c r="E101" s="1055"/>
      <c r="F101" s="1055"/>
      <c r="G101" s="1055"/>
      <c r="H101" s="1055"/>
      <c r="I101" s="1056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5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69"/>
      <c r="B107" s="107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69"/>
      <c r="B108" s="107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6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6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6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6" t="s">
        <v>53</v>
      </c>
      <c r="B112" s="836"/>
      <c r="C112" s="836"/>
      <c r="D112" s="836"/>
      <c r="E112" s="836"/>
      <c r="F112" s="836"/>
      <c r="G112" s="836"/>
      <c r="H112" s="836"/>
      <c r="I112" s="836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53" t="s">
        <v>954</v>
      </c>
      <c r="B119" s="85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54"/>
      <c r="B120" s="85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6" t="s">
        <v>53</v>
      </c>
      <c r="B121" s="836"/>
      <c r="C121" s="836"/>
      <c r="D121" s="836"/>
      <c r="E121" s="836"/>
      <c r="F121" s="836"/>
      <c r="G121" s="836"/>
      <c r="H121" s="836"/>
      <c r="I121" s="836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5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5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5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54"/>
      <c r="B129" s="107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8" t="s">
        <v>90</v>
      </c>
      <c r="J129" s="1071">
        <v>2</v>
      </c>
      <c r="K129" s="25" t="s">
        <v>52</v>
      </c>
      <c r="L129" s="25" t="s">
        <v>51</v>
      </c>
    </row>
    <row r="130" spans="1:12" x14ac:dyDescent="0.3">
      <c r="A130" s="854"/>
      <c r="B130" s="107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8"/>
      <c r="J130" s="1073"/>
      <c r="K130" s="25" t="s">
        <v>52</v>
      </c>
      <c r="L130" s="25" t="s">
        <v>51</v>
      </c>
    </row>
    <row r="131" spans="1:12" x14ac:dyDescent="0.3">
      <c r="A131" s="85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5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54"/>
      <c r="B133" s="88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9" t="s">
        <v>1277</v>
      </c>
      <c r="J133" s="1071">
        <v>1</v>
      </c>
      <c r="K133" s="25" t="s">
        <v>52</v>
      </c>
      <c r="L133" s="25" t="s">
        <v>51</v>
      </c>
    </row>
    <row r="134" spans="1:12" x14ac:dyDescent="0.3">
      <c r="A134" s="854"/>
      <c r="B134" s="89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9"/>
      <c r="J134" s="1073"/>
      <c r="K134" s="25" t="s">
        <v>52</v>
      </c>
      <c r="L134" s="25" t="s">
        <v>51</v>
      </c>
    </row>
    <row r="135" spans="1:12" x14ac:dyDescent="0.3">
      <c r="A135" s="85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5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6" t="s">
        <v>53</v>
      </c>
      <c r="B137" s="836"/>
      <c r="C137" s="836"/>
      <c r="D137" s="836"/>
      <c r="E137" s="836"/>
      <c r="F137" s="836"/>
      <c r="G137" s="836"/>
      <c r="H137" s="836"/>
      <c r="I137" s="836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54" t="s">
        <v>1007</v>
      </c>
      <c r="B142" s="88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54"/>
      <c r="B143" s="89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5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6" t="s">
        <v>53</v>
      </c>
      <c r="B145" s="836"/>
      <c r="C145" s="836"/>
      <c r="D145" s="836"/>
      <c r="E145" s="836"/>
      <c r="F145" s="836"/>
      <c r="G145" s="836"/>
      <c r="H145" s="836"/>
      <c r="I145" s="836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5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58"/>
      <c r="B150" s="85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58"/>
      <c r="B151" s="85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5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5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19" t="s">
        <v>53</v>
      </c>
      <c r="B154" s="1019"/>
      <c r="C154" s="1019"/>
      <c r="D154" s="1019"/>
      <c r="E154" s="1019"/>
      <c r="F154" s="1019"/>
      <c r="G154" s="1019"/>
      <c r="H154" s="1019"/>
      <c r="I154" s="101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5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5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5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5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5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6" t="s">
        <v>53</v>
      </c>
      <c r="B163" s="836"/>
      <c r="C163" s="836"/>
      <c r="D163" s="836"/>
      <c r="E163" s="836"/>
      <c r="F163" s="836"/>
      <c r="G163" s="836"/>
      <c r="H163" s="836"/>
      <c r="I163" s="836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19" t="s">
        <v>53</v>
      </c>
      <c r="B167" s="1019"/>
      <c r="C167" s="1019"/>
      <c r="D167" s="1019"/>
      <c r="E167" s="1019"/>
      <c r="F167" s="1019"/>
      <c r="G167" s="1019"/>
      <c r="H167" s="1019"/>
      <c r="I167" s="101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5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5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5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5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5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5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5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5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5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5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6" t="s">
        <v>53</v>
      </c>
      <c r="B183" s="836"/>
      <c r="C183" s="836"/>
      <c r="D183" s="836"/>
      <c r="E183" s="836"/>
      <c r="F183" s="836"/>
      <c r="G183" s="836"/>
      <c r="H183" s="836"/>
      <c r="I183" s="836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69" t="s">
        <v>1061</v>
      </c>
      <c r="B189" s="85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0"/>
      <c r="B190" s="85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0"/>
      <c r="B191" s="85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0"/>
      <c r="B192" s="85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6" t="s">
        <v>53</v>
      </c>
      <c r="B193" s="836"/>
      <c r="C193" s="836"/>
      <c r="D193" s="836"/>
      <c r="E193" s="836"/>
      <c r="F193" s="836"/>
      <c r="G193" s="836"/>
      <c r="H193" s="836"/>
      <c r="I193" s="836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6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6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6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19" t="s">
        <v>53</v>
      </c>
      <c r="B203" s="1019"/>
      <c r="C203" s="1019"/>
      <c r="D203" s="1019"/>
      <c r="E203" s="1019"/>
      <c r="F203" s="1019"/>
      <c r="G203" s="1019"/>
      <c r="H203" s="1019"/>
      <c r="I203" s="101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1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1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1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1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1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1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1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19" t="s">
        <v>53</v>
      </c>
      <c r="B214" s="1019"/>
      <c r="C214" s="1019"/>
      <c r="D214" s="1019"/>
      <c r="E214" s="1019"/>
      <c r="F214" s="1019"/>
      <c r="G214" s="1019"/>
      <c r="H214" s="1019"/>
      <c r="I214" s="101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1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1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1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1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1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1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19" t="s">
        <v>1458</v>
      </c>
      <c r="B226" s="1019"/>
      <c r="C226" s="1019"/>
      <c r="D226" s="1019"/>
      <c r="E226" s="1019"/>
      <c r="F226" s="1019"/>
      <c r="G226" s="1019"/>
      <c r="H226" s="1019"/>
      <c r="I226" s="101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1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1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1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1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1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1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1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19" t="s">
        <v>1499</v>
      </c>
      <c r="B236" s="1019"/>
      <c r="C236" s="1019"/>
      <c r="D236" s="1019"/>
      <c r="E236" s="1019"/>
      <c r="F236" s="1019"/>
      <c r="G236" s="1019"/>
      <c r="H236" s="1019"/>
      <c r="I236" s="101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6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6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6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6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54" t="s">
        <v>53</v>
      </c>
      <c r="B244" s="1055"/>
      <c r="C244" s="1055"/>
      <c r="D244" s="1055"/>
      <c r="E244" s="1055"/>
      <c r="F244" s="1055"/>
      <c r="G244" s="1055"/>
      <c r="H244" s="1055"/>
      <c r="I244" s="1056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6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6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6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54" t="s">
        <v>53</v>
      </c>
      <c r="B250" s="1055"/>
      <c r="C250" s="1055"/>
      <c r="D250" s="1055"/>
      <c r="E250" s="1055"/>
      <c r="F250" s="1055"/>
      <c r="G250" s="1055"/>
      <c r="H250" s="1055"/>
      <c r="I250" s="1056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6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6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6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6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54" t="s">
        <v>53</v>
      </c>
      <c r="B257" s="1055"/>
      <c r="C257" s="1055"/>
      <c r="D257" s="1055"/>
      <c r="E257" s="1055"/>
      <c r="F257" s="1055"/>
      <c r="G257" s="1055"/>
      <c r="H257" s="1055"/>
      <c r="I257" s="1056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7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7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54" t="s">
        <v>53</v>
      </c>
      <c r="B262" s="1055"/>
      <c r="C262" s="1055"/>
      <c r="D262" s="1055"/>
      <c r="E262" s="1055"/>
      <c r="F262" s="1055"/>
      <c r="G262" s="1055"/>
      <c r="H262" s="1055"/>
      <c r="I262" s="1056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5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6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6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2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6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3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6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6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54" t="s">
        <v>53</v>
      </c>
      <c r="B271" s="1055"/>
      <c r="C271" s="1055"/>
      <c r="D271" s="1055"/>
      <c r="E271" s="1055"/>
      <c r="F271" s="1055"/>
      <c r="G271" s="1055"/>
      <c r="H271" s="1055"/>
      <c r="I271" s="1056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54" t="s">
        <v>53</v>
      </c>
      <c r="B275" s="1055"/>
      <c r="C275" s="1055"/>
      <c r="D275" s="1055"/>
      <c r="E275" s="1055"/>
      <c r="F275" s="1055"/>
      <c r="G275" s="1055"/>
      <c r="H275" s="1055"/>
      <c r="I275" s="1056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6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6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6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6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6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5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5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5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5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5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5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5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54" t="s">
        <v>1646</v>
      </c>
      <c r="B296" s="1055"/>
      <c r="C296" s="1055"/>
      <c r="D296" s="1055"/>
      <c r="E296" s="1055"/>
      <c r="F296" s="1055"/>
      <c r="G296" s="1055"/>
      <c r="H296" s="1055"/>
      <c r="I296" s="1055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1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1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1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1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19" t="s">
        <v>1659</v>
      </c>
      <c r="B305" s="1019"/>
      <c r="C305" s="1019"/>
      <c r="D305" s="1019"/>
      <c r="E305" s="1019"/>
      <c r="F305" s="1019"/>
      <c r="G305" s="1019"/>
      <c r="H305" s="1019"/>
      <c r="I305" s="101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19" t="s">
        <v>53</v>
      </c>
      <c r="B309" s="1019"/>
      <c r="C309" s="1019"/>
      <c r="D309" s="1019"/>
      <c r="E309" s="1019"/>
      <c r="F309" s="1019"/>
      <c r="G309" s="1019"/>
      <c r="H309" s="1019"/>
      <c r="I309" s="101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1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1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19" t="s">
        <v>1659</v>
      </c>
      <c r="B314" s="1019"/>
      <c r="C314" s="1019"/>
      <c r="D314" s="1019"/>
      <c r="E314" s="1019"/>
      <c r="F314" s="1019"/>
      <c r="G314" s="1019"/>
      <c r="H314" s="1019"/>
      <c r="I314" s="101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1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1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1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19" t="s">
        <v>1659</v>
      </c>
      <c r="B321" s="1019"/>
      <c r="C321" s="1019"/>
      <c r="D321" s="1019"/>
      <c r="E321" s="1019"/>
      <c r="F321" s="1019"/>
      <c r="G321" s="1019"/>
      <c r="H321" s="1019"/>
      <c r="I321" s="101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1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1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1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1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1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19" t="s">
        <v>1659</v>
      </c>
      <c r="B330" s="1019"/>
      <c r="C330" s="1019"/>
      <c r="D330" s="1019"/>
      <c r="E330" s="1019"/>
      <c r="F330" s="1019"/>
      <c r="G330" s="1019"/>
      <c r="H330" s="1019"/>
      <c r="I330" s="101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6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6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6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6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6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19" t="s">
        <v>1659</v>
      </c>
      <c r="B338" s="1019"/>
      <c r="C338" s="1019"/>
      <c r="D338" s="1019"/>
      <c r="E338" s="1019"/>
      <c r="F338" s="1019"/>
      <c r="G338" s="1019"/>
      <c r="H338" s="1019"/>
      <c r="I338" s="101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62" t="s">
        <v>1521</v>
      </c>
      <c r="B343" s="128" t="s">
        <v>1531</v>
      </c>
      <c r="C343" s="896" t="s">
        <v>306</v>
      </c>
      <c r="D343" s="896" t="s">
        <v>322</v>
      </c>
      <c r="E343" s="878" t="s">
        <v>307</v>
      </c>
      <c r="F343" s="1061">
        <v>4266</v>
      </c>
      <c r="G343" s="896" t="s">
        <v>640</v>
      </c>
      <c r="H343" s="1061" t="s">
        <v>1533</v>
      </c>
      <c r="I343" s="896" t="s">
        <v>1534</v>
      </c>
      <c r="J343" s="878">
        <v>2</v>
      </c>
      <c r="K343" s="1059" t="s">
        <v>50</v>
      </c>
      <c r="L343" s="1059" t="s">
        <v>51</v>
      </c>
    </row>
    <row r="344" spans="1:13" x14ac:dyDescent="0.3">
      <c r="A344" s="1063"/>
      <c r="B344" s="129" t="s">
        <v>1532</v>
      </c>
      <c r="C344" s="879"/>
      <c r="D344" s="879"/>
      <c r="E344" s="879"/>
      <c r="F344" s="884"/>
      <c r="G344" s="879"/>
      <c r="H344" s="884"/>
      <c r="I344" s="879"/>
      <c r="J344" s="879"/>
      <c r="K344" s="1060"/>
      <c r="L344" s="1060"/>
    </row>
    <row r="345" spans="1:13" x14ac:dyDescent="0.3">
      <c r="A345" s="1063"/>
      <c r="B345" s="128" t="s">
        <v>1536</v>
      </c>
      <c r="C345" s="878" t="s">
        <v>306</v>
      </c>
      <c r="D345" s="878" t="s">
        <v>322</v>
      </c>
      <c r="E345" s="878" t="s">
        <v>307</v>
      </c>
      <c r="F345" s="883">
        <v>3306</v>
      </c>
      <c r="G345" s="878" t="s">
        <v>1153</v>
      </c>
      <c r="H345" s="883" t="s">
        <v>1538</v>
      </c>
      <c r="I345" s="878" t="s">
        <v>1534</v>
      </c>
      <c r="J345" s="878">
        <v>2</v>
      </c>
      <c r="K345" s="1059" t="s">
        <v>50</v>
      </c>
      <c r="L345" s="1059" t="s">
        <v>51</v>
      </c>
    </row>
    <row r="346" spans="1:13" x14ac:dyDescent="0.3">
      <c r="A346" s="1064"/>
      <c r="B346" s="129" t="s">
        <v>1537</v>
      </c>
      <c r="C346" s="879"/>
      <c r="D346" s="879"/>
      <c r="E346" s="879"/>
      <c r="F346" s="884"/>
      <c r="G346" s="879"/>
      <c r="H346" s="884"/>
      <c r="I346" s="879"/>
      <c r="J346" s="879"/>
      <c r="K346" s="1060"/>
      <c r="L346" s="1060"/>
    </row>
    <row r="347" spans="1:13" x14ac:dyDescent="0.3">
      <c r="A347" s="1054" t="s">
        <v>53</v>
      </c>
      <c r="B347" s="1055"/>
      <c r="C347" s="1055"/>
      <c r="D347" s="1055"/>
      <c r="E347" s="1055"/>
      <c r="F347" s="1055"/>
      <c r="G347" s="1055"/>
      <c r="H347" s="1055"/>
      <c r="I347" s="1056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5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5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5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5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5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5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5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6" t="s">
        <v>53</v>
      </c>
      <c r="B357" s="836"/>
      <c r="C357" s="836"/>
      <c r="D357" s="836"/>
      <c r="E357" s="836"/>
      <c r="F357" s="836"/>
      <c r="G357" s="836"/>
      <c r="H357" s="836"/>
      <c r="I357" s="836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19" t="s">
        <v>1458</v>
      </c>
      <c r="B361" s="1019"/>
      <c r="C361" s="1019"/>
      <c r="D361" s="1019"/>
      <c r="E361" s="1019"/>
      <c r="F361" s="1019"/>
      <c r="G361" s="1019"/>
      <c r="H361" s="1019"/>
      <c r="I361" s="101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5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1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1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1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1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1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19" t="s">
        <v>1659</v>
      </c>
      <c r="B370" s="1019"/>
      <c r="C370" s="1019"/>
      <c r="D370" s="1019"/>
      <c r="E370" s="1019"/>
      <c r="F370" s="1019"/>
      <c r="G370" s="1019"/>
      <c r="H370" s="1019"/>
      <c r="I370" s="101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6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6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6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6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6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6" t="s">
        <v>1646</v>
      </c>
      <c r="B378" s="836"/>
      <c r="C378" s="836"/>
      <c r="D378" s="836"/>
      <c r="E378" s="836"/>
      <c r="F378" s="836"/>
      <c r="G378" s="836"/>
      <c r="H378" s="836"/>
      <c r="I378" s="836"/>
      <c r="J378" s="836"/>
      <c r="K378" s="4">
        <v>25</v>
      </c>
      <c r="L378" s="55"/>
    </row>
    <row r="381" spans="1:12" x14ac:dyDescent="0.3">
      <c r="B381" s="1082" t="s">
        <v>1</v>
      </c>
      <c r="C381" s="1082" t="s">
        <v>2</v>
      </c>
      <c r="D381" s="1082" t="s">
        <v>3</v>
      </c>
      <c r="E381" s="36" t="s">
        <v>54</v>
      </c>
      <c r="F381" s="1082" t="s">
        <v>5</v>
      </c>
      <c r="G381" s="1082" t="s">
        <v>6</v>
      </c>
      <c r="H381" s="1082" t="s">
        <v>7</v>
      </c>
      <c r="I381" s="1082" t="s">
        <v>55</v>
      </c>
      <c r="J381" s="1082" t="s">
        <v>9</v>
      </c>
      <c r="K381" s="1084" t="s">
        <v>56</v>
      </c>
      <c r="L381" s="1082" t="s">
        <v>57</v>
      </c>
    </row>
    <row r="382" spans="1:12" x14ac:dyDescent="0.3">
      <c r="B382" s="1083"/>
      <c r="C382" s="1083"/>
      <c r="D382" s="1083"/>
      <c r="E382" s="37" t="s">
        <v>59</v>
      </c>
      <c r="F382" s="1083"/>
      <c r="G382" s="1083"/>
      <c r="H382" s="1083"/>
      <c r="I382" s="1083"/>
      <c r="J382" s="1083"/>
      <c r="K382" s="1085"/>
      <c r="L382" s="1083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19" t="s">
        <v>53</v>
      </c>
      <c r="B394" s="1019"/>
      <c r="C394" s="1019"/>
      <c r="D394" s="1019"/>
      <c r="E394" s="1019"/>
      <c r="F394" s="1019"/>
      <c r="G394" s="1019"/>
      <c r="H394" s="1019"/>
      <c r="I394" s="101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6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6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6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6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19" t="s">
        <v>53</v>
      </c>
      <c r="B401" s="1019"/>
      <c r="C401" s="1019"/>
      <c r="D401" s="1019"/>
      <c r="E401" s="1019"/>
      <c r="F401" s="1019"/>
      <c r="G401" s="1019"/>
      <c r="H401" s="1019"/>
      <c r="I401" s="101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50" t="s">
        <v>229</v>
      </c>
      <c r="B405" s="1057" t="s">
        <v>1805</v>
      </c>
      <c r="C405" s="1057" t="s">
        <v>700</v>
      </c>
      <c r="D405" s="1086" t="s">
        <v>675</v>
      </c>
      <c r="E405" s="1057" t="s">
        <v>1806</v>
      </c>
      <c r="F405" s="1057" t="s">
        <v>1807</v>
      </c>
      <c r="G405" s="1057" t="s">
        <v>662</v>
      </c>
      <c r="H405" s="1087" t="s">
        <v>1808</v>
      </c>
      <c r="I405" s="1086"/>
      <c r="J405" s="1087">
        <v>1</v>
      </c>
      <c r="K405" s="1059" t="s">
        <v>631</v>
      </c>
      <c r="L405" s="993" t="s">
        <v>51</v>
      </c>
    </row>
    <row r="406" spans="1:12" ht="13.5" customHeight="1" x14ac:dyDescent="0.3">
      <c r="A406" s="1050"/>
      <c r="B406" s="1057"/>
      <c r="C406" s="1057"/>
      <c r="D406" s="1086"/>
      <c r="E406" s="1057"/>
      <c r="F406" s="1057"/>
      <c r="G406" s="1057"/>
      <c r="H406" s="1087"/>
      <c r="I406" s="1086"/>
      <c r="J406" s="1087"/>
      <c r="K406" s="1060"/>
      <c r="L406" s="995"/>
    </row>
    <row r="407" spans="1:12" ht="27" customHeight="1" x14ac:dyDescent="0.3">
      <c r="A407" s="105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5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50" t="s">
        <v>1646</v>
      </c>
      <c r="B409" s="1050"/>
      <c r="C409" s="1050"/>
      <c r="D409" s="1050"/>
      <c r="E409" s="1050"/>
      <c r="F409" s="1050"/>
      <c r="G409" s="1050"/>
      <c r="H409" s="1050"/>
      <c r="I409" s="105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50" t="s">
        <v>2008</v>
      </c>
      <c r="B412" s="1088" t="s">
        <v>2009</v>
      </c>
      <c r="C412" s="1059" t="s">
        <v>21</v>
      </c>
      <c r="D412" s="891" t="s">
        <v>14</v>
      </c>
      <c r="E412" s="1059" t="s">
        <v>78</v>
      </c>
      <c r="F412" s="1057" t="s">
        <v>2010</v>
      </c>
      <c r="G412" s="1057" t="s">
        <v>40</v>
      </c>
      <c r="H412" s="1087" t="s">
        <v>614</v>
      </c>
      <c r="I412" s="1086"/>
      <c r="J412" s="1087">
        <v>1</v>
      </c>
      <c r="K412" s="1059" t="s">
        <v>2011</v>
      </c>
      <c r="L412" s="993" t="s">
        <v>1997</v>
      </c>
    </row>
    <row r="413" spans="1:12" ht="20.100000000000001" customHeight="1" x14ac:dyDescent="0.3">
      <c r="A413" s="1050"/>
      <c r="B413" s="1057"/>
      <c r="C413" s="1060"/>
      <c r="D413" s="892"/>
      <c r="E413" s="1060"/>
      <c r="F413" s="1057"/>
      <c r="G413" s="1057"/>
      <c r="H413" s="1087"/>
      <c r="I413" s="1086"/>
      <c r="J413" s="1087"/>
      <c r="K413" s="1060"/>
      <c r="L413" s="995"/>
    </row>
    <row r="414" spans="1:12" ht="20.100000000000001" customHeight="1" x14ac:dyDescent="0.3">
      <c r="A414" s="1050" t="s">
        <v>1646</v>
      </c>
      <c r="B414" s="1050"/>
      <c r="C414" s="1050"/>
      <c r="D414" s="1050"/>
      <c r="E414" s="1050"/>
      <c r="F414" s="1050"/>
      <c r="G414" s="1050"/>
      <c r="H414" s="1050"/>
      <c r="I414" s="105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9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94"/>
      <c r="B418" s="78" t="s">
        <v>1748</v>
      </c>
      <c r="C418" s="1086" t="s">
        <v>306</v>
      </c>
      <c r="D418" s="1086" t="s">
        <v>322</v>
      </c>
      <c r="E418" s="1086" t="s">
        <v>307</v>
      </c>
      <c r="F418" s="1087">
        <v>3306</v>
      </c>
      <c r="G418" s="1086" t="s">
        <v>1153</v>
      </c>
      <c r="H418" s="1087" t="s">
        <v>1749</v>
      </c>
      <c r="I418" s="1086" t="s">
        <v>664</v>
      </c>
      <c r="J418" s="1086">
        <v>4</v>
      </c>
      <c r="K418" s="1059" t="s">
        <v>631</v>
      </c>
      <c r="L418" s="993" t="s">
        <v>51</v>
      </c>
    </row>
    <row r="419" spans="1:12" ht="13.5" customHeight="1" x14ac:dyDescent="0.3">
      <c r="A419" s="994"/>
      <c r="B419" s="79" t="s">
        <v>1751</v>
      </c>
      <c r="C419" s="1086"/>
      <c r="D419" s="1086"/>
      <c r="E419" s="1086"/>
      <c r="F419" s="1087"/>
      <c r="G419" s="1086"/>
      <c r="H419" s="1087"/>
      <c r="I419" s="1086"/>
      <c r="J419" s="1086"/>
      <c r="K419" s="1060"/>
      <c r="L419" s="995"/>
    </row>
    <row r="420" spans="1:12" ht="13.5" customHeight="1" x14ac:dyDescent="0.3">
      <c r="A420" s="994"/>
      <c r="B420" s="78" t="s">
        <v>1800</v>
      </c>
      <c r="C420" s="1086" t="s">
        <v>306</v>
      </c>
      <c r="D420" s="1086" t="s">
        <v>322</v>
      </c>
      <c r="E420" s="1086" t="s">
        <v>307</v>
      </c>
      <c r="F420" s="1087" t="s">
        <v>1801</v>
      </c>
      <c r="G420" s="1086" t="s">
        <v>1802</v>
      </c>
      <c r="H420" s="1087" t="s">
        <v>1803</v>
      </c>
      <c r="I420" s="1086" t="s">
        <v>664</v>
      </c>
      <c r="J420" s="1086">
        <v>5</v>
      </c>
      <c r="K420" s="1059" t="s">
        <v>631</v>
      </c>
      <c r="L420" s="993" t="s">
        <v>51</v>
      </c>
    </row>
    <row r="421" spans="1:12" ht="13.5" customHeight="1" x14ac:dyDescent="0.3">
      <c r="A421" s="994"/>
      <c r="B421" s="79" t="s">
        <v>1795</v>
      </c>
      <c r="C421" s="1086"/>
      <c r="D421" s="1086"/>
      <c r="E421" s="1086"/>
      <c r="F421" s="1087"/>
      <c r="G421" s="1086"/>
      <c r="H421" s="1087"/>
      <c r="I421" s="1086"/>
      <c r="J421" s="1086"/>
      <c r="K421" s="1060"/>
      <c r="L421" s="995"/>
    </row>
    <row r="422" spans="1:12" ht="27" customHeight="1" x14ac:dyDescent="0.3">
      <c r="A422" s="99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50" t="s">
        <v>1646</v>
      </c>
      <c r="B423" s="1050"/>
      <c r="C423" s="1050"/>
      <c r="D423" s="1050"/>
      <c r="E423" s="1050"/>
      <c r="F423" s="1050"/>
      <c r="G423" s="1050"/>
      <c r="H423" s="1050"/>
      <c r="I423" s="105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2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2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2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19" t="s">
        <v>1646</v>
      </c>
      <c r="B431" s="1019"/>
      <c r="C431" s="1019"/>
      <c r="D431" s="1019"/>
      <c r="E431" s="1019"/>
      <c r="F431" s="1019"/>
      <c r="G431" s="1019"/>
      <c r="H431" s="1019"/>
      <c r="I431" s="101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2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1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19" t="s">
        <v>1646</v>
      </c>
      <c r="B435" s="1019"/>
      <c r="C435" s="1019"/>
      <c r="D435" s="1019"/>
      <c r="E435" s="1019"/>
      <c r="F435" s="1019"/>
      <c r="G435" s="1019"/>
      <c r="H435" s="1019"/>
      <c r="I435" s="101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56" t="s">
        <v>2027</v>
      </c>
      <c r="B438" s="252" t="s">
        <v>1760</v>
      </c>
      <c r="C438" s="949" t="s">
        <v>306</v>
      </c>
      <c r="D438" s="949" t="s">
        <v>322</v>
      </c>
      <c r="E438" s="949" t="s">
        <v>307</v>
      </c>
      <c r="F438" s="1089" t="s">
        <v>1761</v>
      </c>
      <c r="G438" s="949" t="s">
        <v>329</v>
      </c>
      <c r="H438" s="1071" t="s">
        <v>1762</v>
      </c>
      <c r="I438" s="897" t="s">
        <v>664</v>
      </c>
      <c r="J438" s="1091">
        <v>2</v>
      </c>
      <c r="K438" s="1059" t="s">
        <v>1996</v>
      </c>
      <c r="L438" s="1059" t="s">
        <v>51</v>
      </c>
    </row>
    <row r="439" spans="1:12" ht="13.5" customHeight="1" x14ac:dyDescent="0.3">
      <c r="A439" s="857"/>
      <c r="B439" s="253" t="s">
        <v>2028</v>
      </c>
      <c r="C439" s="950"/>
      <c r="D439" s="950"/>
      <c r="E439" s="950"/>
      <c r="F439" s="1090"/>
      <c r="G439" s="950"/>
      <c r="H439" s="1073"/>
      <c r="I439" s="898"/>
      <c r="J439" s="1092"/>
      <c r="K439" s="1060"/>
      <c r="L439" s="1060"/>
    </row>
    <row r="440" spans="1:12" ht="13.5" customHeight="1" x14ac:dyDescent="0.3">
      <c r="A440" s="857"/>
      <c r="B440" s="254" t="s">
        <v>1794</v>
      </c>
      <c r="C440" s="837" t="s">
        <v>306</v>
      </c>
      <c r="D440" s="837" t="s">
        <v>322</v>
      </c>
      <c r="E440" s="837" t="s">
        <v>307</v>
      </c>
      <c r="F440" s="844" t="s">
        <v>1796</v>
      </c>
      <c r="G440" s="837" t="s">
        <v>1797</v>
      </c>
      <c r="H440" s="844" t="s">
        <v>1792</v>
      </c>
      <c r="I440" s="837" t="s">
        <v>664</v>
      </c>
      <c r="J440" s="878">
        <v>4</v>
      </c>
      <c r="K440" s="1059" t="s">
        <v>631</v>
      </c>
      <c r="L440" s="1059" t="s">
        <v>1997</v>
      </c>
    </row>
    <row r="441" spans="1:12" ht="13.5" customHeight="1" x14ac:dyDescent="0.3">
      <c r="A441" s="857"/>
      <c r="B441" s="255" t="s">
        <v>1795</v>
      </c>
      <c r="C441" s="837"/>
      <c r="D441" s="837"/>
      <c r="E441" s="837"/>
      <c r="F441" s="844"/>
      <c r="G441" s="837"/>
      <c r="H441" s="844"/>
      <c r="I441" s="837"/>
      <c r="J441" s="879"/>
      <c r="K441" s="1060"/>
      <c r="L441" s="1060"/>
    </row>
    <row r="442" spans="1:12" ht="20.100000000000001" customHeight="1" x14ac:dyDescent="0.3">
      <c r="A442" s="85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5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5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5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5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5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5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54" t="s">
        <v>1646</v>
      </c>
      <c r="B450" s="1055"/>
      <c r="C450" s="1055"/>
      <c r="D450" s="1055"/>
      <c r="E450" s="1055"/>
      <c r="F450" s="1055"/>
      <c r="G450" s="1055"/>
      <c r="H450" s="1055"/>
      <c r="I450" s="1055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5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5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5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6" t="s">
        <v>2059</v>
      </c>
      <c r="B459" s="836"/>
      <c r="C459" s="836"/>
      <c r="D459" s="836"/>
      <c r="E459" s="836"/>
      <c r="F459" s="836"/>
      <c r="G459" s="836"/>
      <c r="H459" s="836"/>
      <c r="I459" s="836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21"/>
      <c r="B463" s="1093" t="s">
        <v>1767</v>
      </c>
      <c r="C463" s="1094" t="s">
        <v>311</v>
      </c>
      <c r="D463" s="1094" t="s">
        <v>320</v>
      </c>
      <c r="E463" s="1094" t="s">
        <v>709</v>
      </c>
      <c r="F463" s="1094" t="s">
        <v>1768</v>
      </c>
      <c r="G463" s="1093" t="s">
        <v>1769</v>
      </c>
      <c r="H463" s="258" t="s">
        <v>1770</v>
      </c>
      <c r="I463" s="1094"/>
      <c r="J463" s="1094">
        <v>1</v>
      </c>
      <c r="K463" s="891" t="s">
        <v>631</v>
      </c>
      <c r="L463" s="921" t="s">
        <v>51</v>
      </c>
    </row>
    <row r="464" spans="1:12" ht="13.5" customHeight="1" x14ac:dyDescent="0.3">
      <c r="A464" s="1021"/>
      <c r="B464" s="1093"/>
      <c r="C464" s="1094"/>
      <c r="D464" s="1094"/>
      <c r="E464" s="1094"/>
      <c r="F464" s="1094"/>
      <c r="G464" s="1093"/>
      <c r="H464" s="259" t="s">
        <v>1773</v>
      </c>
      <c r="I464" s="1094"/>
      <c r="J464" s="1094"/>
      <c r="K464" s="892"/>
      <c r="L464" s="922"/>
    </row>
    <row r="465" spans="1:12" ht="13.5" customHeight="1" x14ac:dyDescent="0.3">
      <c r="A465" s="1021"/>
      <c r="B465" s="1095" t="s">
        <v>1813</v>
      </c>
      <c r="C465" s="1057" t="s">
        <v>700</v>
      </c>
      <c r="D465" s="1086" t="s">
        <v>320</v>
      </c>
      <c r="E465" s="1086" t="s">
        <v>337</v>
      </c>
      <c r="F465" s="1057" t="s">
        <v>353</v>
      </c>
      <c r="G465" s="1057" t="s">
        <v>1814</v>
      </c>
      <c r="H465" s="1087" t="s">
        <v>1815</v>
      </c>
      <c r="I465" s="1086" t="s">
        <v>638</v>
      </c>
      <c r="J465" s="1087">
        <v>2</v>
      </c>
      <c r="K465" s="1059" t="s">
        <v>631</v>
      </c>
      <c r="L465" s="1059" t="s">
        <v>51</v>
      </c>
    </row>
    <row r="466" spans="1:12" ht="13.5" customHeight="1" x14ac:dyDescent="0.3">
      <c r="A466" s="1021"/>
      <c r="B466" s="1095"/>
      <c r="C466" s="1057"/>
      <c r="D466" s="1086"/>
      <c r="E466" s="1086"/>
      <c r="F466" s="1057"/>
      <c r="G466" s="1057"/>
      <c r="H466" s="1087"/>
      <c r="I466" s="1086"/>
      <c r="J466" s="1087"/>
      <c r="K466" s="1060"/>
      <c r="L466" s="1060"/>
    </row>
    <row r="467" spans="1:12" ht="27" customHeight="1" x14ac:dyDescent="0.3">
      <c r="A467" s="102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21"/>
      <c r="B468" s="1057" t="s">
        <v>1820</v>
      </c>
      <c r="C468" s="1057" t="s">
        <v>700</v>
      </c>
      <c r="D468" s="1086" t="s">
        <v>320</v>
      </c>
      <c r="E468" s="1086" t="s">
        <v>709</v>
      </c>
      <c r="F468" s="1086" t="s">
        <v>1768</v>
      </c>
      <c r="G468" s="1057" t="s">
        <v>1821</v>
      </c>
      <c r="H468" s="261" t="s">
        <v>1822</v>
      </c>
      <c r="I468" s="1086" t="s">
        <v>638</v>
      </c>
      <c r="J468" s="1086">
        <v>2</v>
      </c>
      <c r="K468" s="1059" t="s">
        <v>631</v>
      </c>
      <c r="L468" s="1059" t="s">
        <v>51</v>
      </c>
    </row>
    <row r="469" spans="1:12" ht="13.5" customHeight="1" x14ac:dyDescent="0.3">
      <c r="A469" s="1021"/>
      <c r="B469" s="1057"/>
      <c r="C469" s="1057"/>
      <c r="D469" s="1086"/>
      <c r="E469" s="1086"/>
      <c r="F469" s="1086"/>
      <c r="G469" s="1057"/>
      <c r="H469" s="262" t="s">
        <v>1823</v>
      </c>
      <c r="I469" s="1086"/>
      <c r="J469" s="1086"/>
      <c r="K469" s="1060"/>
      <c r="L469" s="1060"/>
    </row>
    <row r="470" spans="1:12" ht="27" customHeight="1" x14ac:dyDescent="0.3">
      <c r="A470" s="102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1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19" t="s">
        <v>53</v>
      </c>
      <c r="B472" s="1019"/>
      <c r="C472" s="1019"/>
      <c r="D472" s="1019"/>
      <c r="E472" s="1019"/>
      <c r="F472" s="1019"/>
      <c r="G472" s="1019"/>
      <c r="H472" s="1019"/>
      <c r="I472" s="101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19" t="s">
        <v>228</v>
      </c>
      <c r="B476" s="1093" t="s">
        <v>1767</v>
      </c>
      <c r="C476" s="1094" t="s">
        <v>311</v>
      </c>
      <c r="D476" s="1094" t="s">
        <v>320</v>
      </c>
      <c r="E476" s="1094" t="s">
        <v>709</v>
      </c>
      <c r="F476" s="1094" t="s">
        <v>1768</v>
      </c>
      <c r="G476" s="1093" t="s">
        <v>1769</v>
      </c>
      <c r="H476" s="258" t="s">
        <v>1770</v>
      </c>
      <c r="I476" s="1094"/>
      <c r="J476" s="1094">
        <v>1</v>
      </c>
      <c r="K476" s="891" t="s">
        <v>631</v>
      </c>
      <c r="L476" s="921" t="s">
        <v>51</v>
      </c>
    </row>
    <row r="477" spans="1:12" ht="13.5" customHeight="1" x14ac:dyDescent="0.3">
      <c r="A477" s="1019"/>
      <c r="B477" s="1093"/>
      <c r="C477" s="1094"/>
      <c r="D477" s="1094"/>
      <c r="E477" s="1094"/>
      <c r="F477" s="1094"/>
      <c r="G477" s="1093"/>
      <c r="H477" s="259" t="s">
        <v>1773</v>
      </c>
      <c r="I477" s="1094"/>
      <c r="J477" s="1094"/>
      <c r="K477" s="892"/>
      <c r="L477" s="922"/>
    </row>
    <row r="478" spans="1:12" ht="27" customHeight="1" x14ac:dyDescent="0.3">
      <c r="A478" s="101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19" t="s">
        <v>1646</v>
      </c>
      <c r="B479" s="1019"/>
      <c r="C479" s="1019"/>
      <c r="D479" s="1019"/>
      <c r="E479" s="1019"/>
      <c r="F479" s="1019"/>
      <c r="G479" s="1019"/>
      <c r="H479" s="1019"/>
      <c r="I479" s="101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5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6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6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6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6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54" t="s">
        <v>53</v>
      </c>
      <c r="B487" s="1055"/>
      <c r="C487" s="1055"/>
      <c r="D487" s="1055"/>
      <c r="E487" s="1055"/>
      <c r="F487" s="1055"/>
      <c r="G487" s="1055"/>
      <c r="H487" s="1055"/>
      <c r="I487" s="1056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5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53"/>
      <c r="B494" s="1096" t="s">
        <v>2182</v>
      </c>
      <c r="C494" s="1096" t="s">
        <v>306</v>
      </c>
      <c r="D494" s="1096" t="s">
        <v>322</v>
      </c>
      <c r="E494" s="1096" t="s">
        <v>307</v>
      </c>
      <c r="F494" s="1097" t="s">
        <v>1919</v>
      </c>
      <c r="G494" s="1096" t="s">
        <v>662</v>
      </c>
      <c r="H494" s="1097" t="s">
        <v>1920</v>
      </c>
      <c r="I494" s="1096" t="s">
        <v>349</v>
      </c>
      <c r="J494" s="1096">
        <v>2</v>
      </c>
      <c r="K494" s="1057" t="s">
        <v>50</v>
      </c>
      <c r="L494" s="222">
        <v>23</v>
      </c>
    </row>
    <row r="495" spans="1:12" ht="12.6" customHeight="1" x14ac:dyDescent="0.3">
      <c r="A495" s="1053"/>
      <c r="B495" s="1096"/>
      <c r="C495" s="1096"/>
      <c r="D495" s="1096"/>
      <c r="E495" s="1096"/>
      <c r="F495" s="1097"/>
      <c r="G495" s="1096"/>
      <c r="H495" s="1097"/>
      <c r="I495" s="1096"/>
      <c r="J495" s="1096"/>
      <c r="K495" s="1057"/>
    </row>
    <row r="496" spans="1:12" ht="24.95" customHeight="1" x14ac:dyDescent="0.3">
      <c r="A496" s="105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5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5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5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19" t="s">
        <v>53</v>
      </c>
      <c r="B500" s="1019"/>
      <c r="C500" s="1019"/>
      <c r="D500" s="1019"/>
      <c r="E500" s="1019"/>
      <c r="F500" s="1019"/>
      <c r="G500" s="1019"/>
      <c r="H500" s="1019"/>
      <c r="I500" s="101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19" t="s">
        <v>2217</v>
      </c>
      <c r="B511" s="1019"/>
      <c r="C511" s="1019"/>
      <c r="D511" s="1019"/>
      <c r="E511" s="1019"/>
      <c r="F511" s="1019"/>
      <c r="G511" s="1019"/>
      <c r="H511" s="1019"/>
      <c r="I511" s="101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6" t="s">
        <v>2233</v>
      </c>
      <c r="B522" s="836"/>
      <c r="C522" s="836"/>
      <c r="D522" s="836"/>
      <c r="E522" s="836"/>
      <c r="F522" s="836"/>
      <c r="G522" s="836"/>
      <c r="H522" s="836"/>
      <c r="I522" s="836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19" t="s">
        <v>2238</v>
      </c>
      <c r="B528" s="1019"/>
      <c r="C528" s="1019"/>
      <c r="D528" s="1019"/>
      <c r="E528" s="1019"/>
      <c r="F528" s="1019"/>
      <c r="G528" s="1019"/>
      <c r="H528" s="1019"/>
      <c r="I528" s="101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19" t="s">
        <v>2233</v>
      </c>
      <c r="B535" s="1019"/>
      <c r="C535" s="1019"/>
      <c r="D535" s="1019"/>
      <c r="E535" s="1019"/>
      <c r="F535" s="1019"/>
      <c r="G535" s="1019"/>
      <c r="H535" s="1019"/>
      <c r="I535" s="101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54" t="s">
        <v>2238</v>
      </c>
      <c r="B540" s="1055"/>
      <c r="C540" s="1055"/>
      <c r="D540" s="1055"/>
      <c r="E540" s="1055"/>
      <c r="F540" s="1055"/>
      <c r="G540" s="1055"/>
      <c r="H540" s="1055"/>
      <c r="I540" s="1056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1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1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50" t="s">
        <v>2233</v>
      </c>
      <c r="B546" s="1050"/>
      <c r="C546" s="1050"/>
      <c r="D546" s="1050"/>
      <c r="E546" s="1050"/>
      <c r="F546" s="1050"/>
      <c r="G546" s="1050"/>
      <c r="H546" s="1050"/>
      <c r="I546" s="105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19" t="s">
        <v>2233</v>
      </c>
      <c r="B550" s="1019"/>
      <c r="C550" s="1019"/>
      <c r="D550" s="1019"/>
      <c r="E550" s="1019"/>
      <c r="F550" s="1019"/>
      <c r="G550" s="1019"/>
      <c r="H550" s="1019"/>
      <c r="I550" s="101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5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5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5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5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5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5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5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5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5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5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5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19" t="s">
        <v>2233</v>
      </c>
      <c r="B565" s="1019"/>
      <c r="C565" s="1019"/>
      <c r="D565" s="1019"/>
      <c r="E565" s="1019"/>
      <c r="F565" s="1019"/>
      <c r="G565" s="1019"/>
      <c r="H565" s="1019"/>
      <c r="I565" s="101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9" t="s">
        <v>306</v>
      </c>
      <c r="D569" s="859" t="s">
        <v>322</v>
      </c>
      <c r="E569" s="859" t="s">
        <v>307</v>
      </c>
      <c r="F569" s="859">
        <v>3306</v>
      </c>
      <c r="G569" s="859" t="s">
        <v>1153</v>
      </c>
      <c r="H569" s="859" t="s">
        <v>1907</v>
      </c>
      <c r="I569" s="859" t="s">
        <v>1111</v>
      </c>
      <c r="J569" s="859" t="s">
        <v>692</v>
      </c>
      <c r="K569" s="1048" t="s">
        <v>2291</v>
      </c>
    </row>
    <row r="570" spans="1:12" x14ac:dyDescent="0.3">
      <c r="B570" s="243" t="s">
        <v>1909</v>
      </c>
      <c r="C570" s="860"/>
      <c r="D570" s="860"/>
      <c r="E570" s="860"/>
      <c r="F570" s="860"/>
      <c r="G570" s="860"/>
      <c r="H570" s="860"/>
      <c r="I570" s="860"/>
      <c r="J570" s="860"/>
      <c r="K570" s="104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5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5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5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5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5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5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5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19" t="s">
        <v>1458</v>
      </c>
      <c r="B582" s="1019"/>
      <c r="C582" s="1019"/>
      <c r="D582" s="1019"/>
      <c r="E582" s="1019"/>
      <c r="F582" s="1019"/>
      <c r="G582" s="1019"/>
      <c r="H582" s="1019"/>
      <c r="I582" s="101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19" t="s">
        <v>2393</v>
      </c>
      <c r="B588" s="1019"/>
      <c r="C588" s="1019"/>
      <c r="D588" s="1019"/>
      <c r="E588" s="1019"/>
      <c r="F588" s="1019"/>
      <c r="G588" s="1019"/>
      <c r="H588" s="1019"/>
      <c r="I588" s="101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6" t="s">
        <v>2406</v>
      </c>
      <c r="B592" s="836"/>
      <c r="C592" s="836"/>
      <c r="D592" s="836"/>
      <c r="E592" s="836"/>
      <c r="F592" s="836"/>
      <c r="G592" s="836"/>
      <c r="H592" s="836"/>
      <c r="I592" s="836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6" t="s">
        <v>2406</v>
      </c>
      <c r="B601" s="836"/>
      <c r="C601" s="836"/>
      <c r="D601" s="836"/>
      <c r="E601" s="836"/>
      <c r="F601" s="836"/>
      <c r="G601" s="836"/>
      <c r="H601" s="836"/>
      <c r="I601" s="836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19" t="s">
        <v>2437</v>
      </c>
      <c r="B606" s="1019"/>
      <c r="C606" s="1019"/>
      <c r="D606" s="1019"/>
      <c r="E606" s="1019"/>
      <c r="F606" s="1019"/>
      <c r="G606" s="1019"/>
      <c r="H606" s="1019"/>
      <c r="I606" s="101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19" t="s">
        <v>2406</v>
      </c>
      <c r="B613" s="1019"/>
      <c r="C613" s="1019"/>
      <c r="D613" s="1019"/>
      <c r="E613" s="1019"/>
      <c r="F613" s="1019"/>
      <c r="G613" s="1019"/>
      <c r="H613" s="1019"/>
      <c r="I613" s="101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5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5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5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5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5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5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5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5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5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5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19" t="s">
        <v>2406</v>
      </c>
      <c r="B627" s="1019"/>
      <c r="C627" s="1019"/>
      <c r="D627" s="1019"/>
      <c r="E627" s="1019"/>
      <c r="F627" s="1019"/>
      <c r="G627" s="1019"/>
      <c r="H627" s="1019"/>
      <c r="I627" s="101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0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0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0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0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0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0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03" t="s">
        <v>1646</v>
      </c>
      <c r="B655" s="1103"/>
      <c r="C655" s="1103"/>
      <c r="D655" s="1103"/>
      <c r="E655" s="1103"/>
      <c r="F655" s="1103"/>
      <c r="G655" s="1103"/>
      <c r="H655" s="1103"/>
      <c r="I655" s="110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0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0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0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0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0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0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0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0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0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0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0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0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0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0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03" t="s">
        <v>1646</v>
      </c>
      <c r="B674" s="1103"/>
      <c r="C674" s="1103"/>
      <c r="D674" s="1103"/>
      <c r="E674" s="1103"/>
      <c r="F674" s="1103"/>
      <c r="G674" s="1103"/>
      <c r="H674" s="1103"/>
      <c r="I674" s="110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0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0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0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0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03" t="s">
        <v>1646</v>
      </c>
      <c r="B681" s="1103"/>
      <c r="C681" s="1103"/>
      <c r="D681" s="1103"/>
      <c r="E681" s="1103"/>
      <c r="F681" s="1103"/>
      <c r="G681" s="1103"/>
      <c r="H681" s="1103"/>
      <c r="I681" s="110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8" t="s">
        <v>1646</v>
      </c>
      <c r="B688" s="1098"/>
      <c r="C688" s="1098"/>
      <c r="D688" s="1098"/>
      <c r="E688" s="1098"/>
      <c r="F688" s="1098"/>
      <c r="G688" s="1098"/>
      <c r="H688" s="1098"/>
      <c r="I688" s="1098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8" t="s">
        <v>1646</v>
      </c>
      <c r="B699" s="1098"/>
      <c r="C699" s="1098"/>
      <c r="D699" s="1098"/>
      <c r="E699" s="1098"/>
      <c r="F699" s="1098"/>
      <c r="G699" s="1098"/>
      <c r="H699" s="1098"/>
      <c r="I699" s="1098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4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4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4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4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4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4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4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4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4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4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4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4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4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4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47" t="s">
        <v>1646</v>
      </c>
      <c r="B717" s="1047"/>
      <c r="C717" s="1047"/>
      <c r="D717" s="1047"/>
      <c r="E717" s="1047"/>
      <c r="F717" s="1047"/>
      <c r="G717" s="1047"/>
      <c r="H717" s="1047"/>
      <c r="I717" s="1047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4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4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4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4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4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4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4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4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47" t="s">
        <v>1646</v>
      </c>
      <c r="B731" s="1047"/>
      <c r="C731" s="1047"/>
      <c r="D731" s="1047"/>
      <c r="E731" s="1047"/>
      <c r="F731" s="1047"/>
      <c r="G731" s="1047"/>
      <c r="H731" s="1047"/>
      <c r="I731" s="1047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0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0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0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0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0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0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0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0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0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0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0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0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0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47" t="s">
        <v>1646</v>
      </c>
      <c r="B749" s="1047"/>
      <c r="C749" s="1047"/>
      <c r="D749" s="1047"/>
      <c r="E749" s="1047"/>
      <c r="F749" s="1047"/>
      <c r="G749" s="1047"/>
      <c r="H749" s="1047"/>
      <c r="I749" s="1047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0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0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0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0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0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0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0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0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0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35" t="s">
        <v>1646</v>
      </c>
      <c r="B762" s="1035"/>
      <c r="C762" s="1035"/>
      <c r="D762" s="1035"/>
      <c r="E762" s="1035"/>
      <c r="F762" s="1035"/>
      <c r="G762" s="1035"/>
      <c r="H762" s="1035"/>
      <c r="I762" s="103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1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1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1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35" t="s">
        <v>1646</v>
      </c>
      <c r="B770" s="1035"/>
      <c r="C770" s="1035"/>
      <c r="D770" s="1035"/>
      <c r="E770" s="1035"/>
      <c r="F770" s="1035"/>
      <c r="G770" s="1035"/>
      <c r="H770" s="1035"/>
      <c r="I770" s="103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0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0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0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0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0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35" t="s">
        <v>1646</v>
      </c>
      <c r="B778" s="1035"/>
      <c r="C778" s="1035"/>
      <c r="D778" s="1035"/>
      <c r="E778" s="1035"/>
      <c r="F778" s="1035"/>
      <c r="G778" s="1035"/>
      <c r="H778" s="1035"/>
      <c r="I778" s="103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0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0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0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0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0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0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0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0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35" t="s">
        <v>1646</v>
      </c>
      <c r="B790" s="1035"/>
      <c r="C790" s="1035"/>
      <c r="D790" s="1035"/>
      <c r="E790" s="1035"/>
      <c r="F790" s="1035"/>
      <c r="G790" s="1035"/>
      <c r="H790" s="1035"/>
      <c r="I790" s="103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0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10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10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0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0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0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0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0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35" t="s">
        <v>1646</v>
      </c>
      <c r="B802" s="1035"/>
      <c r="C802" s="1035"/>
      <c r="D802" s="1035"/>
      <c r="E802" s="1035"/>
      <c r="F802" s="1035"/>
      <c r="G802" s="1035"/>
      <c r="H802" s="1035"/>
      <c r="I802" s="103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1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1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1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1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1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1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35" t="s">
        <v>1646</v>
      </c>
      <c r="B812" s="1035"/>
      <c r="C812" s="1035"/>
      <c r="D812" s="1035"/>
      <c r="E812" s="1035"/>
      <c r="F812" s="1035"/>
      <c r="G812" s="1035"/>
      <c r="H812" s="1035"/>
      <c r="I812" s="103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36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36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35" t="s">
        <v>1646</v>
      </c>
      <c r="B819" s="1035"/>
      <c r="C819" s="1035"/>
      <c r="D819" s="1035"/>
      <c r="E819" s="1035"/>
      <c r="F819" s="1035"/>
      <c r="G819" s="1035"/>
      <c r="H819" s="1035"/>
      <c r="I819" s="1035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35" t="s">
        <v>1646</v>
      </c>
      <c r="B834" s="1035"/>
      <c r="C834" s="1035"/>
      <c r="D834" s="1035"/>
      <c r="E834" s="1035"/>
      <c r="F834" s="1035"/>
      <c r="G834" s="1035"/>
      <c r="H834" s="1035"/>
      <c r="I834" s="1035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35" t="s">
        <v>1646</v>
      </c>
      <c r="B841" s="1035"/>
      <c r="C841" s="1035"/>
      <c r="D841" s="1035"/>
      <c r="E841" s="1035"/>
      <c r="F841" s="1035"/>
      <c r="G841" s="1035"/>
      <c r="H841" s="1035"/>
      <c r="I841" s="1035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0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10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0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0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0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0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0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0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35" t="s">
        <v>1646</v>
      </c>
      <c r="B853" s="1035"/>
      <c r="C853" s="1035"/>
      <c r="D853" s="1035"/>
      <c r="E853" s="1035"/>
      <c r="F853" s="1035"/>
      <c r="G853" s="1035"/>
      <c r="H853" s="1035"/>
      <c r="I853" s="103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1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1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1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35" t="s">
        <v>1646</v>
      </c>
      <c r="B876" s="1035"/>
      <c r="C876" s="1035"/>
      <c r="D876" s="1035"/>
      <c r="E876" s="1035"/>
      <c r="F876" s="1035"/>
      <c r="G876" s="1035"/>
      <c r="H876" s="1035"/>
      <c r="I876" s="103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11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11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35" t="s">
        <v>1646</v>
      </c>
      <c r="B887" s="1035"/>
      <c r="C887" s="1035"/>
      <c r="D887" s="1035"/>
      <c r="E887" s="1035"/>
      <c r="F887" s="1035"/>
      <c r="G887" s="1035"/>
      <c r="H887" s="1035"/>
      <c r="I887" s="103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1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1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1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1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11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11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1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11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1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1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1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35" t="s">
        <v>1646</v>
      </c>
      <c r="B904" s="1035"/>
      <c r="C904" s="1035"/>
      <c r="D904" s="1035"/>
      <c r="E904" s="1035"/>
      <c r="F904" s="1035"/>
      <c r="G904" s="1035"/>
      <c r="H904" s="1035"/>
      <c r="I904" s="103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1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11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11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11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1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1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1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1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1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1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1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35" t="s">
        <v>1646</v>
      </c>
      <c r="B919" s="1035"/>
      <c r="C919" s="1035"/>
      <c r="D919" s="1035"/>
      <c r="E919" s="1035"/>
      <c r="F919" s="1035"/>
      <c r="G919" s="1035"/>
      <c r="H919" s="1035"/>
      <c r="I919" s="103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35" t="s">
        <v>1646</v>
      </c>
      <c r="B930" s="1035"/>
      <c r="C930" s="1035"/>
      <c r="D930" s="1035"/>
      <c r="E930" s="1035"/>
      <c r="F930" s="1035"/>
      <c r="G930" s="1035"/>
      <c r="H930" s="1035"/>
      <c r="I930" s="103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1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1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1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1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1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1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1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1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1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1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1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35" t="s">
        <v>1646</v>
      </c>
      <c r="B944" s="1035"/>
      <c r="C944" s="1035"/>
      <c r="D944" s="1035"/>
      <c r="E944" s="1035"/>
      <c r="F944" s="1035"/>
      <c r="G944" s="1035"/>
      <c r="H944" s="1035"/>
      <c r="I944" s="1035"/>
      <c r="J944" s="618">
        <f>SUM(J933:J943)</f>
        <v>11</v>
      </c>
      <c r="K944" s="654"/>
    </row>
    <row r="947" spans="1:12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802" customFormat="1" x14ac:dyDescent="0.3">
      <c r="A948" s="103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8" t="s">
        <v>6319</v>
      </c>
      <c r="I948" s="633" t="s">
        <v>168</v>
      </c>
      <c r="J948" s="788">
        <v>2</v>
      </c>
      <c r="K948" s="618" t="s">
        <v>50</v>
      </c>
      <c r="L948" s="801"/>
    </row>
    <row r="949" spans="1:12" x14ac:dyDescent="0.3">
      <c r="A949" s="104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8" t="s">
        <v>6456</v>
      </c>
      <c r="I949" s="633" t="s">
        <v>3661</v>
      </c>
      <c r="J949" s="788">
        <v>2</v>
      </c>
      <c r="K949" s="618" t="s">
        <v>50</v>
      </c>
    </row>
    <row r="950" spans="1:12" x14ac:dyDescent="0.3">
      <c r="A950" s="104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8" t="s">
        <v>3425</v>
      </c>
      <c r="I950" s="633" t="s">
        <v>737</v>
      </c>
      <c r="J950" s="788">
        <v>3</v>
      </c>
      <c r="K950" s="618" t="s">
        <v>50</v>
      </c>
    </row>
    <row r="951" spans="1:12" x14ac:dyDescent="0.3">
      <c r="A951" s="104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8" t="s">
        <v>378</v>
      </c>
      <c r="I951" s="633" t="s">
        <v>737</v>
      </c>
      <c r="J951" s="788">
        <v>2</v>
      </c>
      <c r="K951" s="618" t="s">
        <v>50</v>
      </c>
    </row>
    <row r="952" spans="1:12" x14ac:dyDescent="0.3">
      <c r="A952" s="1035" t="s">
        <v>1646</v>
      </c>
      <c r="B952" s="1035"/>
      <c r="C952" s="1035"/>
      <c r="D952" s="1035"/>
      <c r="E952" s="1035"/>
      <c r="F952" s="1035"/>
      <c r="G952" s="1035"/>
      <c r="H952" s="1035"/>
      <c r="I952" s="1035"/>
      <c r="J952" s="618">
        <f>SUM(J948:J951)</f>
        <v>9</v>
      </c>
      <c r="K952" s="654"/>
    </row>
    <row r="954" spans="1:12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 x14ac:dyDescent="0.3">
      <c r="A955" s="803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788" t="s">
        <v>1105</v>
      </c>
      <c r="I955" s="633" t="s">
        <v>2381</v>
      </c>
      <c r="J955" s="788">
        <v>1</v>
      </c>
      <c r="K955" s="618" t="s">
        <v>50</v>
      </c>
    </row>
    <row r="956" spans="1:12" x14ac:dyDescent="0.3">
      <c r="A956" s="1035" t="s">
        <v>1646</v>
      </c>
      <c r="B956" s="1035"/>
      <c r="C956" s="1035"/>
      <c r="D956" s="1035"/>
      <c r="E956" s="1035"/>
      <c r="F956" s="1035"/>
      <c r="G956" s="1035"/>
      <c r="H956" s="1035"/>
      <c r="I956" s="1035"/>
      <c r="J956" s="618">
        <f>SUM(J955)</f>
        <v>1</v>
      </c>
      <c r="K956" s="654"/>
    </row>
    <row r="959" spans="1:12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 x14ac:dyDescent="0.3">
      <c r="A960" s="836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90" t="s">
        <v>1279</v>
      </c>
      <c r="I960" s="785" t="s">
        <v>202</v>
      </c>
      <c r="J960" s="784">
        <v>2</v>
      </c>
      <c r="K960" s="618" t="s">
        <v>50</v>
      </c>
    </row>
    <row r="961" spans="1:11" x14ac:dyDescent="0.3">
      <c r="A961" s="836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90" t="s">
        <v>1279</v>
      </c>
      <c r="I961" s="785" t="s">
        <v>202</v>
      </c>
      <c r="J961" s="785">
        <v>2</v>
      </c>
      <c r="K961" s="618" t="s">
        <v>50</v>
      </c>
    </row>
    <row r="962" spans="1:11" x14ac:dyDescent="0.3">
      <c r="A962" s="836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785" t="s">
        <v>202</v>
      </c>
      <c r="J962" s="454">
        <v>1</v>
      </c>
      <c r="K962" s="618" t="s">
        <v>50</v>
      </c>
    </row>
    <row r="963" spans="1:11" ht="27" x14ac:dyDescent="0.3">
      <c r="A963" s="836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785" t="s">
        <v>202</v>
      </c>
      <c r="J963" s="454">
        <v>1</v>
      </c>
      <c r="K963" s="618" t="s">
        <v>50</v>
      </c>
    </row>
    <row r="964" spans="1:11" x14ac:dyDescent="0.3">
      <c r="A964" s="1035" t="s">
        <v>1646</v>
      </c>
      <c r="B964" s="1035"/>
      <c r="C964" s="1035"/>
      <c r="D964" s="1035"/>
      <c r="E964" s="1035"/>
      <c r="F964" s="1035"/>
      <c r="G964" s="1035"/>
      <c r="H964" s="1035"/>
      <c r="I964" s="103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4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8" t="s">
        <v>6222</v>
      </c>
      <c r="I967" s="755"/>
      <c r="J967" s="632">
        <v>2</v>
      </c>
      <c r="K967" s="618" t="s">
        <v>50</v>
      </c>
    </row>
    <row r="968" spans="1:11" x14ac:dyDescent="0.3">
      <c r="A968" s="104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8" t="s">
        <v>4005</v>
      </c>
      <c r="I968" s="755"/>
      <c r="J968" s="632">
        <v>2</v>
      </c>
      <c r="K968" s="618" t="s">
        <v>50</v>
      </c>
    </row>
    <row r="969" spans="1:11" x14ac:dyDescent="0.3">
      <c r="A969" s="104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8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4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8" t="s">
        <v>6422</v>
      </c>
      <c r="I970" s="755"/>
      <c r="J970" s="632">
        <v>2</v>
      </c>
      <c r="K970" s="618" t="s">
        <v>50</v>
      </c>
    </row>
    <row r="971" spans="1:11" x14ac:dyDescent="0.3">
      <c r="A971" s="104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8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4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4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4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4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35" t="s">
        <v>1646</v>
      </c>
      <c r="B976" s="1035"/>
      <c r="C976" s="1035"/>
      <c r="D976" s="1035"/>
      <c r="E976" s="1035"/>
      <c r="F976" s="1035"/>
      <c r="G976" s="1035"/>
      <c r="H976" s="1035"/>
      <c r="I976" s="103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5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54"/>
      <c r="B980" s="369">
        <v>46224</v>
      </c>
      <c r="C980" s="4" t="s">
        <v>138</v>
      </c>
      <c r="D980" s="4" t="s">
        <v>17</v>
      </c>
      <c r="E980" s="790" t="s">
        <v>6095</v>
      </c>
      <c r="F980" s="785" t="s">
        <v>2713</v>
      </c>
      <c r="G980" s="16" t="s">
        <v>23</v>
      </c>
      <c r="H980" s="790" t="s">
        <v>6473</v>
      </c>
      <c r="I980" s="785" t="s">
        <v>168</v>
      </c>
      <c r="J980" s="790">
        <v>1</v>
      </c>
      <c r="K980" s="618" t="s">
        <v>50</v>
      </c>
    </row>
    <row r="981" spans="1:11" ht="27" x14ac:dyDescent="0.3">
      <c r="A981" s="855"/>
      <c r="B981" s="369">
        <v>46225</v>
      </c>
      <c r="C981" s="4" t="s">
        <v>138</v>
      </c>
      <c r="D981" s="4" t="s">
        <v>17</v>
      </c>
      <c r="E981" s="790" t="s">
        <v>6095</v>
      </c>
      <c r="F981" s="785" t="s">
        <v>2713</v>
      </c>
      <c r="G981" s="16" t="s">
        <v>23</v>
      </c>
      <c r="H981" s="790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35" t="s">
        <v>1646</v>
      </c>
      <c r="B982" s="1035"/>
      <c r="C982" s="1035"/>
      <c r="D982" s="1035"/>
      <c r="E982" s="1035"/>
      <c r="F982" s="1035"/>
      <c r="G982" s="1035"/>
      <c r="H982" s="1035"/>
      <c r="I982" s="103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36" t="s">
        <v>6798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90" t="s">
        <v>1279</v>
      </c>
      <c r="I987" s="785" t="s">
        <v>202</v>
      </c>
      <c r="J987" s="785">
        <v>1</v>
      </c>
      <c r="K987" s="618" t="s">
        <v>50</v>
      </c>
    </row>
    <row r="988" spans="1:11" x14ac:dyDescent="0.3">
      <c r="A988" s="836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6797</v>
      </c>
      <c r="H988" s="790" t="s">
        <v>1279</v>
      </c>
      <c r="I988" s="785" t="s">
        <v>202</v>
      </c>
      <c r="J988" s="785">
        <v>1</v>
      </c>
      <c r="K988" s="618" t="s">
        <v>50</v>
      </c>
    </row>
    <row r="989" spans="1:11" x14ac:dyDescent="0.3">
      <c r="A989" s="1035" t="s">
        <v>1646</v>
      </c>
      <c r="B989" s="1035"/>
      <c r="C989" s="1035"/>
      <c r="D989" s="1035"/>
      <c r="E989" s="1035"/>
      <c r="F989" s="1035"/>
      <c r="G989" s="1035"/>
      <c r="H989" s="1035"/>
      <c r="I989" s="103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69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8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70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8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7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7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7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804">
        <v>1</v>
      </c>
      <c r="K998" s="618" t="s">
        <v>50</v>
      </c>
    </row>
    <row r="999" spans="1:11" ht="24" x14ac:dyDescent="0.3">
      <c r="A999" s="97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7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90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70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90" t="s">
        <v>6529</v>
      </c>
      <c r="I1001" s="785" t="s">
        <v>6312</v>
      </c>
      <c r="J1001" s="6">
        <v>1</v>
      </c>
      <c r="K1001" s="618" t="s">
        <v>50</v>
      </c>
    </row>
    <row r="1002" spans="1:11" ht="22.5" x14ac:dyDescent="0.3">
      <c r="A1002" s="971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90" t="s">
        <v>146</v>
      </c>
      <c r="I1002" s="785" t="s">
        <v>90</v>
      </c>
      <c r="J1002" s="6">
        <v>1</v>
      </c>
      <c r="K1002" s="618" t="s">
        <v>6799</v>
      </c>
    </row>
    <row r="1003" spans="1:11" x14ac:dyDescent="0.3">
      <c r="A1003" s="1035" t="s">
        <v>1646</v>
      </c>
      <c r="B1003" s="1035"/>
      <c r="C1003" s="1035"/>
      <c r="D1003" s="1035"/>
      <c r="E1003" s="1035"/>
      <c r="F1003" s="1035"/>
      <c r="G1003" s="1035"/>
      <c r="H1003" s="1035"/>
      <c r="I1003" s="103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36" t="s">
        <v>6800</v>
      </c>
      <c r="B1007" s="805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37"/>
      <c r="B1008" s="805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37"/>
      <c r="B1009" s="805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37"/>
      <c r="B1010" s="806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807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37"/>
      <c r="B1011" s="805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37"/>
      <c r="B1012" s="805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37"/>
      <c r="B1013" s="806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807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37"/>
      <c r="B1014" s="805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37"/>
      <c r="B1015" s="805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37"/>
      <c r="B1016" s="805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38"/>
      <c r="B1017" s="805" t="s">
        <v>6607</v>
      </c>
      <c r="C1017" s="726" t="s">
        <v>19</v>
      </c>
      <c r="D1017" s="632" t="s">
        <v>25</v>
      </c>
      <c r="E1017" s="755" t="s">
        <v>5254</v>
      </c>
      <c r="F1017" s="808" t="s">
        <v>6250</v>
      </c>
      <c r="G1017" s="808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35" t="s">
        <v>1646</v>
      </c>
      <c r="B1018" s="1035"/>
      <c r="C1018" s="1035"/>
      <c r="D1018" s="1035"/>
      <c r="E1018" s="1035"/>
      <c r="F1018" s="1035"/>
      <c r="G1018" s="1035"/>
      <c r="H1018" s="1035"/>
      <c r="I1018" s="1035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6" t="s">
        <v>5385</v>
      </c>
      <c r="I12" s="836"/>
      <c r="J12" s="836"/>
      <c r="K12" s="836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6" t="s">
        <v>5386</v>
      </c>
      <c r="I20" s="836"/>
      <c r="J20" s="836"/>
      <c r="K20" s="836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2026-08-21T02:40:23Z</dcterms:modified>
</cp:coreProperties>
</file>