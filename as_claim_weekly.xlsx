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4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<sst xmlns="http://schemas.openxmlformats.org/spreadsheetml/2006/main" count="23140" uniqueCount="6152">
  <si>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</si>
  <si>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</si>
  <si>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</si>
  <si>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</si>
  <si>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</si>
  <si>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</si>
  <si>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</si>
  <si>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</si>
  <si>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</si>
  <si>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</si>
  <si>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</si>
  <si>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</si>
  <si>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</si>
  <si>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</si>
  <si>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</si>
  <si>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</si>
  <si>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</si>
  <si>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</si>
  <si>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</si>
  <si>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</si>
  <si>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</si>
  <si>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</si>
  <si>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</si>
  <si>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</si>
  <si>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</si>
  <si>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</si>
  <si>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</si>
  <si>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</si>
  <si>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</si>
  <si>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</si>
  <si>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</si>
  <si>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</si>
  <si>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</si>
  <si>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</si>
  <si>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</si>
  <si>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</si>
  <si>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</si>
  <si>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</si>
  <si>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</si>
  <si>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</si>
  <si>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</si>
  <si>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</si>
  <si>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</si>
  <si>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</si>
  <si>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</si>
  <si>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</si>
  <si>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</si>
  <si>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</si>
  <si>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</si>
  <si>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</si>
  <si>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</si>
  <si>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</si>
  <si>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</si>
  <si>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</si>
  <si>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</si>
  <si>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</si>
  <si>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</si>
  <si>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</si>
  <si>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</si>
  <si>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</si>
  <si>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</si>
  <si>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</si>
  <si>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</si>
  <si>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</si>
  <si>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</si>
  <si>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</si>
  <si>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</si>
  <si>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</si>
  <si>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</si>
  <si>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</si>
  <si>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</si>
  <si>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</si>
  <si>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</si>
  <si>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</si>
  <si>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</si>
  <si>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</si>
  <si>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</si>
  <si>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</si>
  <si>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</si>
  <si>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</si>
  <si>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</si>
  <si>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</si>
  <si>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</si>
  <si>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</si>
  <si>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</si>
  <si>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</si>
  <si>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</si>
  <si>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</si>
  <si>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</si>
  <si>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</si>
  <si>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</si>
  <si>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</si>
  <si>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</si>
  <si>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</si>
  <si>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</si>
  <si>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</si>
  <si>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</si>
  <si>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</si>
  <si>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</si>
  <si>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</si>
  <si>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</si>
  <si>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</si>
  <si>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</si>
  <si>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</si>
  <si>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</si>
  <si>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</si>
  <si>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</si>
  <si>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</si>
  <si>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</si>
  <si>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</si>
  <si>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</si>
  <si>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</si>
  <si>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</si>
  <si>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</si>
  <si>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</si>
  <si>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</si>
  <si>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</si>
  <si>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</si>
  <si>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</si>
  <si>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</si>
  <si>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</si>
  <si>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</si>
  <si>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</si>
  <si>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</si>
  <si>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</si>
  <si>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</si>
  <si>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</si>
  <si>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</si>
  <si>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</si>
  <si>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</si>
  <si>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</si>
  <si>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</si>
  <si>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</si>
  <si>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</si>
  <si>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</si>
  <si>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</si>
  <si>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</si>
  <si>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</si>
  <si>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</si>
  <si>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</si>
  <si>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</si>
  <si>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</si>
  <si>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</si>
  <si>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</si>
  <si>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</si>
  <si>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</si>
  <si>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</si>
  <si>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</si>
  <si>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</si>
  <si>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</si>
  <si>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</si>
  <si>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</si>
  <si>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</si>
  <si>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</si>
  <si>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</si>
  <si>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</si>
  <si>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</si>
  <si>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</si>
  <si>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</si>
  <si>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</si>
  <si>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</si>
  <si>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</si>
  <si>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</si>
  <si>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</si>
  <si>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</si>
  <si>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</si>
  <si>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</si>
  <si>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</si>
  <si>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</si>
  <si>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</si>
  <si>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</si>
  <si>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</si>
  <si>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</si>
  <si>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</si>
  <si>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</si>
  <si>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</si>
  <si>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</si>
  <si>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</si>
  <si>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</si>
  <si>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</si>
  <si>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</si>
  <si>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</si>
  <si>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</si>
  <si>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</si>
  <si>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</si>
  <si>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</si>
  <si>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</si>
  <si>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</si>
  <si>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</si>
  <si>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</si>
  <si>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</si>
  <si>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</si>
  <si>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</si>
  <si>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</si>
  <si>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</si>
  <si>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</si>
  <si>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</si>
  <si>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</si>
  <si>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</si>
  <si>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</si>
  <si>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</si>
  <si>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</si>
  <si>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</si>
  <si>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</si>
  <si>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</si>
  <si>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</si>
  <si>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</si>
  <si>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</si>
  <si>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</si>
  <si>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</si>
  <si>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</si>
  <si>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</si>
  <si>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</si>
  <si>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</si>
  <si>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</si>
  <si>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</si>
  <si>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</si>
  <si>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</si>
  <si>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</si>
  <si>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</si>
  <si>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</si>
  <si>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</si>
  <si>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</si>
  <si>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</si>
  <si>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</si>
  <si>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</si>
  <si>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</si>
  <si>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</si>
  <si>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</si>
  <si>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</si>
  <si>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</si>
  <si>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</si>
  <si>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</si>
  <si>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</si>
  <si>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</si>
  <si>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</si>
  <si>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</si>
  <si>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</si>
  <si>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</si>
  <si>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</si>
  <si>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</si>
  <si>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</si>
  <si>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</si>
  <si>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</si>
  <si>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</si>
  <si>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</si>
  <si>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</si>
  <si>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</si>
  <si>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</si>
  <si>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</si>
  <si>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</si>
  <si>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</si>
  <si>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</si>
  <si>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</si>
  <si>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</si>
  <si>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</si>
  <si>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</si>
  <si>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</si>
  <si>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</si>
  <si>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</si>
  <si>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</si>
  <si>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</si>
  <si>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</si>
  <si>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</si>
  <si>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</si>
  <si>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</si>
  <si>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</si>
  <si>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</si>
  <si>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</si>
  <si>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</si>
  <si>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</si>
  <si>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</si>
  <si>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</si>
  <si>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</si>
  <si>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</si>
  <si>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</si>
  <si>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</si>
  <si>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</si>
  <si>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</si>
  <si>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</si>
  <si>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</si>
  <si>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</si>
  <si>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</si>
  <si>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</si>
  <si>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</si>
  <si>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</si>
  <si>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</si>
  <si>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</si>
  <si>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</si>
  <si>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</si>
  <si>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</si>
  <si>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</si>
  <si>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</si>
  <si>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</si>
  <si>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</si>
  <si>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</si>
  <si>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</si>
  <si>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</si>
  <si>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</si>
  <si>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</si>
  <si>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</si>
  <si>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</si>
  <si>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</si>
  <si>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</si>
  <si>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</si>
  <si>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</si>
  <si>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</si>
  <si>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</si>
  <si>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</si>
  <si>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</si>
  <si>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</si>
  <si>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</si>
  <si>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</si>
  <si>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</si>
  <si>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</si>
  <si>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</si>
  <si>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</si>
  <si>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</si>
  <si>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</si>
  <si>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</si>
  <si>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</si>
  <si>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</si>
  <si>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</si>
  <si>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</si>
  <si>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</si>
  <si>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</si>
  <si>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</si>
  <si>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</si>
  <si>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</si>
  <si>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</si>
  <si>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</si>
  <si>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</si>
  <si>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</si>
  <si>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</si>
  <si>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</si>
  <si>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</si>
  <si>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</si>
  <si>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</si>
  <si>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</si>
  <si>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</si>
  <si>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</si>
  <si>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</si>
  <si>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</si>
  <si>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</si>
  <si>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</si>
  <si>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</si>
  <si>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</si>
  <si>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</si>
  <si>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</si>
  <si>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</si>
  <si>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</si>
  <si>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</si>
  <si>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</si>
  <si>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</si>
  <si>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</si>
  <si>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</si>
  <si>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</si>
  <si>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</si>
  <si>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</si>
  <si>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</si>
  <si>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</si>
  <si>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</si>
  <si>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</si>
  <si>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</si>
  <si>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</si>
  <si>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</si>
  <si>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</si>
  <si>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</si>
  <si>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</si>
  <si>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</si>
  <si>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</si>
  <si>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</si>
  <si>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</si>
  <si>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</si>
  <si>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</si>
  <si>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</si>
  <si>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</si>
  <si>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</si>
  <si>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</si>
  <si>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</si>
  <si>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</si>
  <si>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</si>
  <si>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</si>
  <si>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</si>
  <si>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</si>
  <si>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</si>
  <si>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</si>
  <si>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</si>
  <si>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</si>
  <si>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</si>
  <si>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</si>
  <si>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</si>
  <si>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</si>
  <si>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</si>
  <si>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</si>
  <si>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</si>
  <si>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</si>
  <si>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</si>
  <si>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</si>
  <si>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</si>
  <si>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</si>
  <si>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</si>
  <si>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</si>
  <si>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</si>
  <si>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</si>
  <si>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</si>
  <si>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</si>
  <si>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</si>
  <si>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</si>
  <si>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</si>
  <si>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</si>
  <si>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</si>
  <si>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</si>
  <si>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</si>
  <si>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</si>
  <si>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</si>
  <si>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</si>
  <si>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</si>
  <si>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</si>
  <si>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</si>
  <si>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</si>
  <si>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</si>
  <si>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</si>
  <si>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</si>
  <si>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</si>
  <si>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</si>
  <si>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</si>
  <si>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</si>
  <si>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</si>
  <si>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</si>
  <si>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</si>
  <si>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</si>
  <si>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</si>
  <si>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</si>
  <si>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</si>
  <si>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</si>
  <si>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</si>
  <si>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</si>
  <si>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</si>
  <si>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</si>
  <si>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</si>
  <si>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</si>
  <si>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</si>
  <si>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</si>
  <si>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</si>
  <si>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</si>
  <si>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</si>
  <si>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</si>
  <si>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</si>
  <si>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</si>
  <si>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</si>
  <si>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</si>
  <si>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</si>
  <si>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</si>
  <si>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</si>
  <si>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</si>
  <si>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</si>
  <si>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</si>
  <si>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</si>
  <si>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</si>
  <si>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</si>
  <si>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</si>
  <si>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</si>
  <si>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</si>
  <si>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</si>
  <si>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</si>
  <si>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</si>
  <si>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</si>
  <si>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</si>
  <si>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</si>
  <si>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</si>
  <si>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</si>
  <si>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</si>
  <si>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</si>
  <si>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</si>
  <si>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</si>
  <si>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</si>
  <si>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</si>
  <si>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</si>
  <si>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</si>
  <si>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</si>
  <si>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</si>
  <si>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</si>
  <si>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</si>
  <si>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</si>
  <si>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</si>
  <si>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</si>
  <si>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</si>
  <si>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</si>
  <si>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</si>
  <si>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</si>
  <si>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</si>
  <si>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</si>
  <si>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</si>
  <si>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</si>
  <si>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</si>
  <si>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</si>
  <si>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</si>
  <si>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</si>
  <si>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</si>
  <si>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</si>
  <si>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</si>
  <si>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</si>
  <si>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</si>
  <si>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</si>
  <si>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</si>
  <si>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</si>
  <si>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</si>
  <si>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</si>
  <si>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</si>
  <si>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</si>
  <si>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</si>
  <si>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</si>
  <si>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</si>
  <si>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</si>
  <si>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</si>
  <si>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</si>
  <si>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</si>
  <si>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</si>
  <si>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</si>
  <si>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</si>
  <si>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</si>
  <si>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</si>
  <si>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</si>
  <si>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</si>
  <si>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</si>
  <si>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</si>
  <si>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</si>
  <si>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</si>
  <si>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</si>
  <si>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</si>
  <si>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</si>
  <si>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</si>
  <si>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</si>
  <si>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</si>
  <si>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</si>
  <si>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</si>
  <si>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</si>
  <si>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</si>
  <si>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</si>
  <si>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</si>
  <si>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</si>
  <si>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</si>
  <si>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</si>
  <si>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</si>
  <si>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</si>
  <si>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</si>
  <si>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</si>
  <si>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</si>
  <si>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</si>
  <si>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</si>
  <si>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</si>
  <si>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</si>
  <si>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</si>
  <si>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</si>
  <si>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</si>
  <si>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</si>
  <si>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</si>
  <si>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</si>
  <si>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</si>
  <si>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</si>
  <si>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</si>
  <si>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</si>
  <si>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</si>
  <si>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</si>
  <si>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</si>
  <si>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</si>
  <si>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</si>
  <si>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</si>
  <si>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</si>
  <si>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</si>
  <si>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</si>
  <si>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</si>
  <si>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</si>
  <si>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</si>
  <si>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</si>
  <si>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</si>
  <si>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</si>
  <si>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</si>
  <si>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</si>
  <si>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</si>
  <si>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</si>
  <si>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</si>
  <si>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</si>
  <si>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</si>
  <si>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</si>
  <si>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</si>
  <si>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</si>
  <si>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</si>
  <si>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</si>
  <si>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</si>
  <si>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</si>
  <si>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</si>
  <si>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</si>
  <si>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</si>
  <si>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</si>
  <si>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</si>
  <si>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</si>
  <si>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</si>
  <si>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</si>
  <si>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</si>
  <si>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</si>
  <si>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</si>
  <si>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</si>
  <si>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</si>
  <si>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</si>
  <si>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</si>
  <si>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</si>
  <si>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</si>
  <si>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</si>
  <si>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</si>
  <si>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</si>
  <si>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</si>
  <si>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</si>
  <si>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</si>
  <si>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</si>
  <si>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</si>
  <si>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</si>
  <si>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</si>
  <si>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</si>
  <si>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</si>
  <si>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</si>
  <si>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</si>
  <si>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</si>
  <si>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</si>
  <si>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</si>
  <si>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</si>
  <si>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</si>
  <si>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</si>
  <si>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</si>
  <si>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</si>
  <si>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</si>
  <si>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</si>
  <si>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</si>
  <si>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</si>
  <si>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</si>
  <si>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</si>
  <si>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</si>
  <si>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</si>
  <si>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</si>
  <si>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</si>
  <si>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</si>
  <si>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</si>
  <si>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</si>
  <si>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</si>
  <si>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</si>
  <si>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</si>
  <si>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</si>
  <si>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</si>
  <si>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</si>
  <si>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</si>
  <si>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</si>
  <si>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</si>
  <si>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</si>
  <si>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</si>
  <si>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</si>
  <si>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</si>
  <si>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</si>
  <si>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</si>
  <si>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</si>
  <si>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</si>
  <si>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</si>
  <si>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</si>
  <si>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</si>
  <si>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</si>
  <si>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</si>
  <si>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</si>
  <si>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</si>
  <si>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</si>
  <si>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</si>
  <si>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</si>
  <si>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</si>
  <si>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</si>
  <si>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</si>
  <si>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</si>
  <si>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</si>
  <si>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</si>
  <si>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</si>
  <si>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</si>
  <si>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</si>
  <si>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</si>
  <si>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</si>
  <si>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</si>
  <si>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</si>
  <si>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</si>
  <si>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</si>
  <si>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</si>
  <si>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</si>
  <si>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</si>
  <si>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</si>
  <si>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</si>
  <si>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</si>
  <si>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</si>
  <si>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</si>
  <si>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</si>
  <si>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</si>
  <si>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</si>
  <si>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</si>
  <si>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</si>
  <si>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</si>
  <si>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</si>
  <si>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</si>
  <si>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</si>
  <si>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</si>
  <si>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</si>
  <si>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</si>
  <si>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</si>
  <si>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</si>
  <si>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</si>
  <si>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</si>
  <si>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</si>
  <si>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</si>
  <si>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</si>
  <si>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</si>
  <si>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</si>
  <si>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</si>
  <si>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</si>
  <si>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</si>
  <si>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</si>
  <si>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</si>
  <si>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</si>
  <si>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</si>
  <si>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</si>
  <si>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</si>
  <si>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</si>
  <si>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</si>
  <si>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</si>
  <si>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</si>
  <si>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</si>
  <si>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</si>
  <si>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</si>
  <si>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</si>
  <si>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</si>
  <si>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</si>
  <si>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</si>
  <si>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</si>
  <si>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</si>
  <si>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</si>
  <si>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</si>
  <si>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</si>
  <si>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</si>
  <si>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</si>
  <si>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</si>
  <si>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</si>
  <si>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</si>
  <si>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</si>
  <si>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</si>
  <si>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</si>
  <si>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</si>
  <si>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</si>
  <si>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</si>
  <si>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</si>
  <si>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</si>
  <si>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</si>
  <si>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</si>
  <si>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</si>
  <si>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</si>
  <si>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</si>
  <si>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</si>
  <si>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</si>
  <si>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</si>
  <si>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</si>
  <si>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</si>
  <si>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</si>
  <si>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</si>
  <si>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</si>
  <si>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</si>
  <si>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</si>
  <si>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</si>
  <si>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</si>
  <si>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</si>
  <si>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</si>
  <si>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</si>
  <si>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</si>
  <si>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</si>
  <si>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</si>
  <si>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</si>
  <si>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</si>
  <si>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</si>
  <si>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</si>
  <si>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</si>
  <si>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</si>
  <si>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</si>
  <si>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</si>
  <si>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</si>
  <si>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</si>
  <si>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</si>
  <si>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</si>
  <si>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</si>
  <si>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</si>
  <si>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</si>
  <si>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</si>
  <si>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</si>
  <si>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</si>
  <si>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</si>
  <si>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</si>
  <si>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</si>
  <si>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</si>
  <si>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</si>
  <si>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</si>
  <si>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</si>
  <si>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</si>
  <si>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</si>
  <si>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</si>
  <si>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</si>
  <si>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</si>
  <si>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</si>
  <si>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</si>
  <si>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</si>
  <si>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</si>
  <si>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</si>
  <si>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</si>
  <si>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</si>
  <si>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</si>
  <si>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</si>
  <si>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</si>
  <si>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</si>
  <si>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</si>
  <si>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</si>
  <si>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</si>
  <si>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</si>
  <si>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</si>
  <si>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</si>
  <si>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</si>
  <si>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</si>
  <si>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</si>
  <si>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</si>
  <si>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</si>
  <si>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</si>
  <si>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</si>
  <si>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</si>
  <si>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</si>
  <si>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</si>
  <si>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</si>
  <si>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</si>
  <si>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</si>
  <si>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</si>
  <si>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</si>
  <si>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</si>
  <si>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</si>
  <si>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</si>
  <si>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</si>
  <si>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</si>
  <si>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</si>
  <si>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</si>
  <si>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</si>
  <si>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</si>
  <si>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</si>
  <si>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</si>
  <si>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</si>
  <si>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</si>
  <si>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</si>
  <si>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</si>
  <si>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</si>
  <si>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</si>
  <si>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</si>
  <si>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</si>
  <si>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</si>
  <si>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</si>
  <si>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</si>
  <si>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</si>
  <si>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</si>
  <si>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</si>
  <si>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</si>
  <si>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</si>
  <si>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</si>
  <si>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</si>
  <si>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</si>
  <si>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</si>
  <si>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</si>
  <si>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</si>
  <si>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</si>
  <si>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</si>
  <si>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</si>
  <si>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</si>
  <si>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</si>
  <si>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</si>
  <si>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</si>
  <si>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</si>
  <si>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</si>
  <si>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</si>
  <si>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</si>
  <si>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</si>
  <si>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</si>
  <si>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</si>
  <si>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</si>
  <si>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</si>
  <si>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</si>
  <si>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</si>
  <si>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</si>
  <si>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</si>
  <si>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</si>
  <si>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</si>
  <si>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</si>
  <si>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</si>
  <si>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</si>
  <si>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</si>
  <si>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</si>
  <si>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</si>
  <si>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</si>
  <si>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</si>
  <si>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</si>
  <si>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</si>
  <si>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</si>
  <si>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</si>
  <si>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</si>
  <si>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</si>
  <si>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</si>
  <si>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</si>
  <si>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</si>
  <si>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</si>
  <si>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</si>
  <si>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</si>
  <si>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</si>
  <si>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</si>
  <si>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</si>
  <si>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</si>
  <si>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</si>
  <si>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</si>
  <si>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</si>
  <si>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</si>
  <si>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</si>
  <si>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</si>
  <si>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</si>
  <si>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</si>
  <si>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</si>
  <si>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</si>
  <si>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</si>
  <si>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</si>
  <si>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</si>
  <si>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</si>
  <si>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</si>
  <si>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</si>
  <si>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</si>
  <si>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</si>
  <si>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</si>
  <si>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</si>
  <si>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</si>
  <si>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</si>
  <si>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</si>
  <si>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</si>
  <si>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</si>
  <si>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</si>
  <si>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</si>
  <si>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</si>
  <si>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</si>
  <si>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</si>
  <si>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</si>
  <si>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</si>
  <si>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</si>
  <si>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</si>
  <si>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</si>
  <si>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</si>
  <si>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</si>
  <si>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</si>
  <si>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</si>
  <si>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</si>
  <si>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</si>
  <si>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</si>
  <si>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</si>
  <si>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</si>
  <si>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</si>
  <si>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</si>
  <si>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</si>
  <si>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</si>
  <si>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</si>
  <si>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</si>
  <si>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</si>
  <si>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</si>
  <si>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</si>
  <si>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</si>
  <si>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</si>
  <si>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</si>
  <si>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</si>
  <si>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</si>
  <si>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</si>
  <si>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</si>
  <si>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</si>
  <si>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</si>
  <si>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</si>
  <si>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</si>
  <si>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</si>
  <si>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</si>
  <si>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</si>
  <si>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</si>
  <si>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</si>
  <si>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</si>
  <si>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</si>
  <si>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</si>
  <si>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</si>
  <si>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</si>
  <si>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</si>
  <si>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</si>
  <si>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</si>
  <si>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</si>
  <si>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</si>
  <si>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</si>
  <si>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</si>
  <si>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</si>
  <si>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</si>
  <si>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</si>
  <si>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</si>
  <si>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</si>
  <si>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</si>
  <si>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</si>
  <si>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</si>
  <si>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</si>
  <si>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</si>
  <si>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</si>
  <si>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</si>
  <si>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</si>
  <si>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</si>
  <si>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</si>
  <si>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</si>
  <si>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</si>
  <si>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</si>
  <si>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</si>
  <si>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</si>
  <si>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</si>
  <si>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</si>
  <si>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</si>
  <si>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</si>
  <si>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</si>
  <si>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</si>
  <si>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</si>
  <si>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</si>
  <si>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</si>
  <si>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</si>
  <si>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</si>
  <si>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</si>
  <si>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</si>
  <si>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</si>
  <si>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</si>
  <si>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</si>
  <si>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</si>
  <si>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</si>
  <si>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</si>
  <si>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</si>
  <si>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</si>
  <si>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</si>
  <si>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</si>
  <si>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</si>
  <si>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</si>
  <si>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</si>
  <si>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</si>
  <si>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</si>
  <si>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</si>
  <si>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</si>
  <si>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</si>
  <si>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</si>
  <si>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</si>
  <si>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</si>
  <si>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</si>
  <si>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</si>
  <si>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</si>
  <si>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</si>
  <si>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</si>
  <si>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</si>
  <si>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</si>
  <si>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</si>
  <si>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</si>
  <si>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</si>
  <si>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</si>
  <si>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</si>
  <si>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</si>
  <si>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</si>
  <si>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</si>
  <si>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</si>
  <si>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</si>
  <si>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</si>
  <si>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</si>
  <si>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</si>
  <si>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</si>
  <si>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</si>
  <si>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</si>
  <si>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</si>
  <si>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</si>
  <si>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</si>
  <si>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</si>
  <si>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</si>
  <si>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</si>
  <si>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</si>
  <si>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</si>
  <si>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</si>
  <si>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</si>
  <si>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</si>
  <si>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</si>
  <si>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</si>
  <si>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</si>
  <si>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</si>
  <si>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</si>
  <si>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</si>
  <si>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</si>
  <si>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</si>
  <si>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</si>
  <si>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</si>
  <si>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</si>
  <si>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</si>
  <si>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</si>
  <si>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</si>
  <si>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</si>
  <si>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</si>
  <si>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</si>
  <si>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</si>
  <si>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</si>
  <si>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</si>
  <si>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</si>
  <si>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</si>
  <si>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</si>
  <si>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</si>
  <si>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</si>
  <si>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</si>
  <si>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</si>
  <si>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</si>
  <si>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</si>
  <si>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</si>
  <si>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</si>
  <si>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</si>
  <si>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</si>
  <si>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</si>
  <si>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</si>
  <si>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</si>
  <si>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</si>
  <si>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</si>
  <si>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</si>
  <si>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</si>
  <si>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</si>
  <si>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</si>
  <si>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</si>
  <si>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</si>
  <si>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</si>
  <si>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</si>
  <si>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</si>
  <si>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</si>
  <si>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</si>
  <si>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</si>
  <si>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</si>
  <si>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</si>
  <si>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</si>
  <si>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</si>
  <si>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</si>
  <si>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</si>
  <si>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</si>
  <si>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</si>
  <si>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</si>
  <si>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</si>
  <si>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</si>
  <si>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</si>
  <si>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</si>
  <si>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</si>
  <si>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</si>
  <si>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</si>
  <si>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</si>
  <si>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</si>
  <si>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</si>
  <si>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</si>
  <si>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</si>
  <si>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</si>
  <si>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</si>
  <si>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</si>
  <si>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</si>
  <si>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</si>
  <si>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</si>
  <si>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</si>
  <si>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</si>
  <si>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</si>
  <si>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</si>
  <si>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</si>
  <si>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</si>
  <si>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</si>
  <si>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</si>
  <si>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</si>
  <si>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</si>
  <si>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</si>
  <si>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</si>
  <si>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</si>
  <si>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</si>
  <si>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</si>
  <si>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</si>
  <si>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</si>
  <si>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</si>
  <si>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</si>
  <si>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</si>
  <si>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</si>
  <si>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</si>
  <si>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</si>
  <si>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</si>
  <si>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</si>
  <si>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</si>
  <si>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</si>
  <si>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</si>
  <si>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</si>
  <si>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</si>
  <si>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</si>
  <si>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</si>
  <si>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</si>
  <si>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</si>
  <si>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</si>
  <si>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</si>
  <si>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</si>
  <si>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</si>
  <si>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</si>
  <si>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</si>
  <si>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</si>
  <si>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</si>
  <si>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</si>
  <si>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</si>
  <si>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</si>
  <si>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</si>
  <si>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</si>
  <si>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</si>
  <si>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</si>
  <si>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</si>
  <si>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</si>
  <si>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</si>
  <si>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</si>
  <si>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</si>
  <si>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</si>
  <si>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</si>
  <si>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</si>
  <si>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</si>
  <si>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</si>
  <si>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</si>
  <si>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</si>
  <si>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</si>
  <si>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</si>
  <si>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</si>
  <si>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</si>
  <si>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</si>
  <si>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</si>
  <si>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</si>
  <si>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</si>
  <si>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</si>
  <si>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</si>
  <si>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</si>
  <si>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</si>
  <si>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</si>
  <si>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</si>
  <si>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</si>
  <si>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</si>
  <si>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</si>
  <si>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</si>
  <si>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</si>
  <si>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</si>
  <si>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</si>
  <si>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</si>
  <si>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</si>
  <si>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</si>
  <si>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</si>
  <si>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</si>
  <si>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</si>
  <si>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</si>
  <si>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</si>
  <si>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</si>
  <si>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</si>
  <si>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</si>
  <si>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</si>
  <si>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</si>
  <si>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</si>
  <si>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</si>
  <si>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</si>
  <si>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</si>
  <si>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</si>
  <si>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</si>
  <si>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</si>
  <si>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</si>
  <si>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</si>
  <si>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</si>
  <si>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</si>
  <si>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</si>
  <si>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</si>
  <si>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</si>
  <si>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</si>
  <si>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</si>
  <si>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</si>
  <si>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</si>
  <si>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</si>
  <si>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</si>
  <si>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</si>
  <si>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</si>
  <si>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</si>
  <si>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</si>
  <si>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</si>
  <si>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</si>
  <si>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</si>
  <si>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</si>
  <si>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</si>
  <si>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</si>
  <si>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</si>
  <si>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</si>
  <si>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</si>
  <si>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</si>
  <si>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</si>
  <si>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</si>
  <si>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</si>
  <si>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</si>
  <si>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</si>
  <si>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</si>
  <si>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</si>
  <si>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</si>
  <si>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</si>
  <si>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</si>
  <si>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</si>
  <si>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</si>
  <si>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</si>
  <si>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</si>
  <si>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</si>
  <si>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</si>
  <si>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</si>
  <si>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</si>
  <si>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</si>
  <si>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</si>
  <si>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</si>
  <si>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</si>
  <si>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</si>
  <si>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</si>
  <si>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</si>
  <si>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</si>
  <si>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</si>
  <si>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</si>
  <si>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</si>
  <si>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</si>
  <si>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</si>
  <si>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</si>
  <si>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</si>
  <si>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</si>
  <si>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</si>
  <si>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</si>
  <si>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</si>
  <si>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</si>
  <si>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</si>
  <si>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</si>
  <si>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</si>
  <si>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</si>
  <si>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</si>
  <si>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</si>
  <si>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</si>
  <si>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</si>
  <si>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</si>
  <si>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</si>
  <si>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</si>
  <si>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</si>
  <si>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</si>
  <si>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</si>
  <si>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</si>
  <si>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</si>
  <si>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</si>
  <si>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</si>
  <si>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</si>
  <si>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</si>
  <si>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</si>
  <si>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</si>
  <si>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</si>
  <si>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</si>
  <si>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</si>
  <si>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</si>
  <si>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</si>
  <si>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</si>
  <si>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</si>
  <si>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</si>
  <si>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</si>
  <si>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</si>
  <si>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</si>
  <si>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</si>
  <si>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</si>
  <si>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</si>
  <si>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</si>
  <si>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</si>
  <si>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</si>
  <si>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</si>
  <si>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</si>
  <si>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</si>
  <si>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</si>
  <si>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</si>
  <si>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</si>
  <si>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</si>
  <si>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</si>
  <si>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</si>
  <si>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</si>
  <si>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</si>
  <si>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</si>
  <si>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</si>
  <si>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</si>
  <si>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</si>
  <si>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</si>
  <si>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</si>
  <si>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</si>
  <si>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</si>
  <si>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</si>
  <si>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</si>
  <si>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</si>
  <si>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</si>
  <si>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</si>
  <si>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</si>
  <si>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</si>
  <si>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</si>
  <si>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</si>
  <si>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</si>
  <si>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</si>
  <si>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</si>
  <si>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</si>
  <si>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</si>
  <si>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</si>
  <si>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</si>
  <si>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</si>
  <si>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</si>
  <si>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</si>
  <si>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</si>
  <si>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</si>
  <si>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</si>
  <si>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</si>
  <si>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</si>
  <si>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</si>
  <si>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</si>
  <si>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</si>
  <si>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</si>
  <si>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</si>
  <si>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</si>
  <si>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</si>
  <si>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</si>
  <si>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</si>
  <si>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</si>
  <si>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</si>
  <si>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</si>
  <si>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</si>
  <si>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</si>
  <si>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</si>
  <si>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</si>
  <si>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</si>
  <si>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</si>
  <si>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</si>
  <si>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</si>
  <si>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</si>
  <si>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</si>
  <si>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</si>
  <si>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</si>
  <si>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</si>
  <si>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</si>
  <si>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</si>
  <si>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</si>
  <si>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</si>
  <si>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</si>
  <si>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</si>
  <si>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</si>
  <si>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</si>
  <si>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</si>
  <si>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</si>
  <si>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</si>
  <si>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</si>
  <si>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</si>
  <si>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</si>
  <si>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</si>
  <si>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</si>
  <si>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</si>
  <si>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</si>
  <si>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</si>
  <si>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</si>
  <si>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</si>
  <si>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</si>
  <si>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</si>
  <si>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</si>
  <si>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</si>
  <si>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</si>
  <si>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</si>
  <si>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</si>
  <si>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</si>
  <si>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</si>
  <si>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</si>
  <si>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</si>
  <si>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</si>
  <si>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</si>
  <si>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</si>
  <si>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</si>
  <si>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</si>
  <si>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</si>
  <si>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</si>
  <si>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</si>
  <si>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</si>
  <si>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</si>
  <si>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</si>
  <si>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</si>
  <si>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</si>
  <si>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</si>
  <si>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</si>
  <si>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</si>
  <si>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</si>
  <si>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</si>
  <si>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</si>
  <si>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</si>
  <si>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</si>
  <si>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</si>
  <si>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</si>
  <si>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</si>
  <si>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</si>
  <si>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</si>
  <si>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</si>
  <si>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</si>
  <si>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</si>
  <si>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</si>
  <si>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</si>
  <si>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</si>
  <si>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</si>
  <si>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</si>
  <si>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</si>
  <si>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</si>
  <si>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</si>
  <si>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</si>
  <si>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</si>
  <si>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</si>
  <si>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</si>
  <si>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</si>
  <si>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</si>
  <si>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</si>
  <si>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</si>
  <si>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</si>
  <si>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</si>
  <si>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</si>
  <si>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</si>
  <si>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</si>
  <si>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</si>
  <si>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</si>
  <si>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</si>
  <si>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</si>
  <si>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</si>
  <si>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</si>
  <si>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</si>
  <si>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</si>
  <si>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</si>
  <si>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</si>
  <si>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</si>
  <si>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</si>
  <si>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</si>
  <si>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</si>
  <si>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</si>
  <si>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</si>
  <si>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</si>
  <si>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</si>
  <si>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</si>
  <si>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</si>
  <si>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</si>
  <si>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</si>
  <si>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</si>
  <si>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</si>
  <si>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</si>
  <si>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</si>
  <si>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</si>
  <si>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</si>
  <si>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</si>
  <si>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</si>
  <si>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</si>
  <si>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</si>
  <si>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</si>
  <si>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</si>
  <si>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</si>
  <si>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</si>
  <si>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</si>
  <si>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</si>
  <si>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</si>
  <si>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</si>
  <si>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</si>
  <si>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</si>
  <si>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</si>
  <si>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</si>
  <si>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</si>
  <si>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</si>
  <si>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</si>
  <si>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</si>
  <si>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</si>
  <si>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</si>
  <si>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</si>
  <si>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</si>
  <si>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</si>
  <si>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</si>
  <si>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</si>
  <si>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</si>
  <si>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</si>
  <si>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</si>
  <si>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</si>
  <si>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</si>
  <si>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</si>
  <si>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</si>
  <si>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</si>
  <si>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</si>
  <si>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</si>
  <si>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</si>
  <si>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</si>
  <si>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</si>
  <si>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</si>
  <si>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</si>
  <si>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</si>
  <si>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</si>
  <si>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</si>
  <si>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</si>
  <si>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</si>
  <si>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</si>
  <si>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</si>
  <si>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</si>
  <si>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</si>
  <si>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</si>
  <si>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</si>
  <si>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</si>
  <si>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</si>
  <si>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</si>
  <si>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</si>
  <si>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</si>
  <si>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</si>
  <si>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</si>
  <si>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</si>
  <si>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</si>
  <si>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</si>
  <si>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</si>
  <si>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</si>
  <si>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</si>
  <si>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</si>
  <si>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</si>
  <si>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</si>
  <si>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</si>
  <si>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</si>
  <si>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</si>
  <si>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</si>
  <si>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</si>
  <si>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</si>
  <si>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</si>
  <si>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</si>
  <si>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</si>
  <si>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</si>
  <si>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</si>
  <si>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</si>
  <si>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</si>
  <si>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</si>
  <si>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</si>
  <si>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</si>
  <si>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</si>
  <si>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</si>
  <si>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</si>
  <si>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</si>
  <si>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</si>
  <si>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</si>
  <si>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</si>
  <si>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</si>
  <si>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</si>
  <si>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</si>
  <si>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</si>
  <si>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</si>
  <si>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</si>
  <si>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</si>
  <si>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</si>
  <si>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</si>
  <si>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</si>
  <si>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</si>
  <si>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</si>
  <si>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</si>
  <si>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</si>
  <si>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</si>
  <si>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</si>
  <si>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</si>
  <si>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</si>
  <si>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</si>
  <si>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</si>
  <si>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</si>
  <si>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</si>
  <si>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</si>
  <si>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</si>
  <si>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</si>
  <si>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</si>
  <si>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</si>
  <si>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</si>
  <si>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</si>
  <si>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</si>
  <si>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</si>
  <si>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</si>
  <si>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</si>
  <si>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</si>
  <si>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</si>
  <si>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</si>
  <si>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</si>
  <si>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</si>
  <si>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</si>
  <si>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</si>
  <si>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</si>
  <si>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</si>
  <si>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</si>
  <si>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</si>
  <si>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</si>
  <si>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</si>
  <si>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</si>
  <si>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</si>
  <si>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</si>
  <si>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</si>
  <si>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</si>
  <si>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</si>
  <si>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</si>
  <si>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</si>
  <si>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</si>
  <si>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</si>
  <si>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</si>
  <si>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</si>
  <si>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</si>
  <si>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</si>
  <si>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</si>
  <si>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</si>
  <si>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</si>
  <si>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</si>
  <si>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</si>
  <si>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</si>
  <si>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</si>
  <si>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</si>
  <si>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</si>
  <si>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</si>
  <si>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</si>
  <si>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</si>
  <si>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</si>
  <si>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</si>
  <si>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</si>
  <si>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</si>
  <si>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</si>
  <si>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</si>
  <si>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</si>
  <si>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</si>
  <si>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</si>
  <si>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</si>
  <si>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</si>
  <si>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</si>
  <si>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</si>
  <si>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</si>
  <si>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</si>
  <si>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</si>
  <si>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</si>
  <si>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</si>
  <si>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</si>
  <si>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</si>
  <si>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</si>
  <si>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</si>
  <si>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</si>
  <si>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</si>
  <si>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</si>
  <si>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</si>
  <si>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</si>
  <si>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</si>
  <si>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</si>
  <si>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</si>
  <si>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</si>
  <si>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</si>
  <si>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</si>
  <si>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</si>
  <si>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</si>
  <si>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</si>
  <si>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</si>
  <si>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</si>
  <si>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</si>
  <si>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</si>
  <si>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</si>
  <si>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</si>
  <si>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</si>
  <si>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</si>
  <si>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</si>
  <si>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</si>
  <si>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</si>
  <si>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</si>
  <si>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</si>
  <si>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</si>
  <si>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</si>
  <si>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</si>
  <si>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</si>
  <si>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</si>
  <si>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</si>
  <si>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</si>
  <si>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</si>
  <si>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</si>
  <si>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</si>
  <si>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</si>
  <si>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</si>
  <si>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</si>
  <si>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</si>
  <si>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</si>
  <si>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</si>
  <si>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</si>
  <si>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</si>
  <si>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</si>
  <si>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</si>
  <si>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</si>
  <si>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</si>
  <si>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</si>
  <si>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</si>
  <si>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</si>
  <si>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</si>
  <si>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</si>
  <si>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</si>
  <si>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</si>
  <si>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</si>
  <si>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</si>
  <si>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</si>
  <si>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</si>
  <si>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</si>
  <si>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</si>
  <si>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</si>
  <si>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</si>
  <si>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</si>
  <si>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</si>
  <si>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</si>
  <si>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</si>
  <si>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</si>
  <si>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</si>
  <si>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</si>
  <si>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</si>
  <si>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</si>
  <si>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</si>
  <si>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</si>
  <si>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</si>
  <si>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</si>
  <si>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</si>
  <si>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</si>
  <si>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</si>
  <si>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</si>
  <si>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</si>
  <si>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</si>
  <si>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</si>
  <si>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</si>
  <si>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</si>
  <si>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</si>
  <si>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</si>
  <si>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</si>
  <si>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</si>
  <si>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</si>
  <si>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</si>
  <si>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</si>
  <si>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</si>
  <si>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</si>
  <si>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</si>
  <si>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</si>
  <si>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</si>
  <si>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</si>
  <si>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</si>
  <si>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</si>
  <si>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</si>
  <si>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</si>
  <si>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</si>
  <si>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</si>
  <si>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</si>
  <si>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</si>
  <si>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</si>
  <si>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</si>
  <si>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</si>
  <si>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</si>
  <si>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</si>
  <si>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</si>
  <si>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</si>
  <si>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</si>
  <si>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</si>
  <si>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</si>
  <si>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</si>
  <si>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</si>
  <si>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</si>
  <si>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</si>
  <si>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</si>
  <si>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</si>
  <si>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</si>
  <si>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</si>
  <si>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</si>
  <si>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</si>
  <si>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</si>
  <si>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</si>
  <si>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</si>
  <si>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</si>
  <si>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</si>
  <si>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</si>
  <si>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</si>
  <si>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</si>
  <si>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</si>
  <si>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</si>
  <si>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</si>
  <si>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</si>
  <si>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</si>
  <si>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</si>
  <si>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</si>
  <si>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</si>
  <si>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</si>
  <si>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</si>
  <si>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</si>
  <si>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</si>
  <si>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</si>
  <si>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</si>
  <si>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</si>
  <si>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</si>
  <si>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</si>
  <si>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</si>
  <si>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</si>
  <si>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</si>
  <si>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</si>
  <si>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</si>
  <si>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</si>
  <si>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</si>
  <si>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</si>
  <si>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</si>
  <si>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</si>
  <si>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</si>
  <si>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</si>
  <si>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</si>
  <si>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</si>
  <si>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</si>
  <si>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</si>
  <si>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</si>
  <si>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</si>
  <si>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</si>
  <si>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</si>
  <si>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</si>
  <si>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</si>
  <si>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</si>
  <si>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</si>
  <si>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</si>
  <si>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</si>
  <si>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</si>
  <si>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</si>
  <si>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</si>
  <si>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</si>
  <si>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</si>
  <si>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</si>
  <si>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</si>
  <si>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</si>
  <si>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</si>
  <si>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</si>
  <si>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</si>
  <si>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</si>
  <si>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</si>
  <si>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</si>
  <si>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</si>
  <si>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</si>
  <si>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</si>
  <si>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</si>
  <si>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</si>
  <si>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</si>
  <si>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</si>
  <si>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</si>
  <si>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</si>
  <si>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</si>
  <si>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</si>
  <si>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</si>
  <si>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</si>
  <si>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</si>
  <si>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</si>
  <si>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</si>
  <si>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</si>
  <si>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</si>
  <si>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</si>
  <si>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</si>
  <si>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</si>
  <si>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</si>
  <si>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</si>
  <si>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</si>
  <si>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</si>
  <si>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</si>
  <si>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</si>
  <si>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</si>
  <si>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</si>
  <si>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</si>
  <si>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</si>
  <si>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</si>
  <si>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</si>
  <si>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</si>
  <si>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</si>
  <si>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</si>
  <si>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</si>
  <si>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</si>
  <si>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</si>
  <si>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</si>
  <si>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</si>
  <si>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</si>
  <si>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</si>
  <si>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</si>
  <si>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</si>
  <si>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</si>
  <si>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</si>
  <si>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</si>
  <si>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</si>
  <si>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</si>
  <si>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</si>
  <si>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</si>
  <si>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</si>
  <si>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</si>
  <si>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</si>
  <si>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</si>
  <si>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</si>
  <si>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</si>
  <si>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</si>
  <si>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</si>
  <si>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</si>
  <si>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</si>
  <si>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</si>
  <si>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</si>
  <si>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</si>
  <si>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</si>
  <si>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</si>
  <si>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</si>
  <si>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</si>
  <si>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</si>
  <si>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</si>
  <si>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</si>
  <si>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</si>
  <si>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</si>
  <si>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</si>
  <si>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</si>
  <si>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</si>
  <si>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</si>
  <si>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</si>
  <si>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</si>
  <si>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</si>
  <si>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</si>
  <si>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</si>
  <si>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</si>
  <si>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</si>
  <si>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</si>
  <si>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</si>
  <si>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</si>
  <si>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</si>
  <si>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</si>
  <si>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</si>
  <si>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</si>
  <si>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</si>
  <si>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</si>
  <si>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</si>
  <si>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</si>
  <si>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</si>
  <si>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</si>
  <si>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</si>
  <si>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</si>
  <si>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</si>
  <si>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</si>
  <si>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</si>
  <si>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</si>
  <si>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</si>
  <si>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</si>
  <si>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</si>
  <si>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</si>
  <si>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</si>
  <si>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</si>
  <si>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</si>
  <si>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</si>
  <si>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</si>
  <si>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</si>
  <si>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</si>
  <si>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</si>
  <si>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</si>
  <si>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</si>
  <si>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</si>
  <si>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</si>
  <si>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</si>
  <si>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</si>
  <si>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</si>
  <si>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</si>
  <si>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</si>
  <si>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</si>
  <si>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</si>
  <si>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</si>
  <si>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</si>
  <si>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</si>
  <si>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</si>
  <si>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</si>
  <si>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</si>
  <si>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</si>
  <si>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</si>
  <si>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</si>
  <si>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</si>
  <si>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</si>
  <si>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</si>
  <si>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</si>
  <si>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</si>
  <si>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</si>
  <si>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</si>
  <si>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</si>
  <si>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</si>
  <si>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</si>
  <si>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</si>
  <si>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</si>
  <si>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</si>
  <si>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</si>
  <si>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</si>
  <si>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</si>
  <si>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</si>
  <si>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</si>
  <si>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</si>
  <si>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</si>
  <si>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</si>
  <si>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</si>
  <si>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</si>
  <si>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</si>
  <si>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</si>
  <si>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</si>
  <si>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</si>
  <si>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</si>
  <si>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</si>
  <si>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</si>
  <si>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</si>
  <si>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</si>
  <si>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</si>
  <si>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</si>
  <si>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</si>
  <si>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</si>
  <si>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</si>
  <si>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</si>
  <si>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</si>
  <si>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</si>
  <si>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</si>
  <si>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</si>
  <si>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</si>
  <si>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</si>
  <si>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</si>
  <si>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</si>
  <si>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</si>
  <si>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</si>
  <si>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</si>
  <si>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</si>
  <si>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</si>
  <si>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</si>
  <si>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</si>
  <si>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</si>
  <si>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</si>
  <si>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</si>
  <si>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</si>
  <si>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</si>
  <si>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</si>
  <si>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</si>
  <si>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</si>
  <si>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</si>
  <si>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</si>
  <si>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</si>
  <si>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</si>
  <si>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</si>
  <si>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</si>
  <si>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</si>
  <si>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</si>
  <si>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</si>
  <si>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</si>
  <si>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</si>
  <si>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</si>
  <si>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</si>
  <si>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</si>
  <si>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</si>
  <si>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</si>
  <si>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</si>
  <si>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</si>
  <si>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</si>
  <si>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</si>
  <si>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</si>
  <si>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</si>
  <si>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</si>
  <si>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</si>
  <si>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</si>
  <si>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</si>
  <si>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</si>
  <si>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</si>
  <si>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</si>
  <si>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</si>
  <si>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</si>
  <si>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</si>
  <si>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</si>
  <si>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</si>
  <si>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</si>
  <si>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</si>
  <si>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</si>
  <si>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</si>
  <si>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</si>
  <si>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</si>
  <si>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</si>
  <si>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</si>
  <si>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</si>
  <si>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</si>
  <si>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</si>
  <si>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</si>
  <si>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</si>
  <si>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</si>
  <si>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</si>
  <si>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</si>
  <si>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</si>
  <si>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</si>
  <si>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</si>
  <si>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</si>
  <si>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</si>
  <si>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</si>
  <si>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</si>
  <si>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</si>
  <si>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</si>
  <si>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</si>
  <si>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</si>
  <si>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</si>
  <si>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</si>
  <si>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</si>
  <si>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</si>
  <si>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</si>
  <si>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</si>
  <si>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</si>
  <si>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</si>
  <si>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</si>
  <si>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</si>
  <si>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</si>
  <si>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</si>
  <si>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</si>
  <si>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</si>
  <si>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</si>
  <si>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</si>
  <si>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</si>
  <si>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</si>
  <si>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</si>
  <si>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</si>
  <si>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</si>
  <si>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</si>
  <si>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</si>
  <si>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</si>
  <si>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</si>
  <si>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</si>
  <si>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</si>
  <si>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</si>
  <si>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</si>
  <si>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</si>
  <si>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</si>
  <si>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</si>
  <si>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</si>
  <si>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</si>
  <si>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</si>
  <si>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</si>
  <si>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</si>
  <si>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</si>
  <si>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</si>
  <si>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</si>
  <si>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</si>
  <si>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</si>
  <si>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</si>
  <si>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</si>
  <si>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</si>
  <si>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</si>
  <si>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</si>
  <si>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</si>
  <si>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</si>
  <si>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</si>
  <si>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</si>
  <si>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</si>
  <si>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</si>
  <si>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</si>
  <si>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</si>
  <si>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</si>
  <si>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</si>
  <si>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</si>
  <si>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</si>
  <si>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</si>
  <si>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</si>
  <si>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</si>
  <si>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</si>
  <si>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</si>
  <si>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</si>
  <si>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</si>
  <si>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</si>
  <si>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</si>
  <si>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</si>
  <si>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</si>
  <si>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</si>
  <si>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</si>
  <si>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</si>
  <si>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</si>
  <si>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</si>
  <si>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</si>
  <si>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</si>
  <si>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</si>
  <si>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</si>
  <si>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</si>
  <si>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</si>
  <si>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</si>
  <si>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</si>
  <si>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</si>
  <si>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</si>
  <si>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</si>
  <si>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</si>
  <si>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</si>
  <si>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</si>
  <si>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</si>
  <si>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</si>
  <si>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</si>
  <si>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</si>
  <si>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</si>
  <si>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</si>
  <si>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</si>
  <si>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</si>
  <si>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</si>
  <si>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</si>
  <si>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</si>
  <si>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</si>
  <si>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</si>
  <si>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</si>
  <si>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</si>
  <si>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</si>
  <si>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</si>
  <si>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</si>
  <si>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</si>
  <si>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</si>
  <si>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</si>
  <si>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</si>
  <si>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</si>
  <si>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</si>
  <si>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</si>
  <si>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</si>
  <si>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</si>
  <si>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</si>
  <si>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</si>
  <si>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</si>
  <si>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</si>
  <si>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</si>
  <si>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</si>
  <si>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</si>
  <si>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</si>
  <si>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</si>
  <si>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</si>
  <si>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</si>
  <si>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</si>
  <si>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</si>
  <si>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</si>
  <si>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</si>
  <si>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</si>
  <si>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</si>
  <si>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</si>
  <si>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</si>
  <si>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</si>
  <si>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</si>
  <si>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</si>
  <si>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</si>
  <si>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</si>
  <si>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</si>
  <si>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</si>
  <si>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</si>
  <si>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</si>
  <si>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</si>
  <si>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</si>
  <si>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</si>
  <si>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</si>
  <si>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</si>
  <si>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</si>
  <si>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</si>
  <si>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</si>
  <si>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</si>
  <si>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</si>
  <si>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</si>
  <si>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</si>
  <si>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</si>
  <si>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</si>
  <si>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</si>
  <si>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</si>
  <si>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</si>
  <si>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</si>
  <si>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</si>
  <si>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</si>
  <si>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</si>
  <si>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</si>
  <si>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</si>
  <si>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</si>
  <si>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</si>
  <si>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</si>
  <si>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</si>
  <si>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</si>
  <si>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</si>
  <si>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</si>
  <si>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</si>
  <si>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</si>
  <si>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</si>
  <si>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</si>
  <si>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</si>
  <si>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</si>
  <si>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</si>
  <si>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</si>
  <si>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</si>
  <si>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</si>
  <si>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</si>
  <si>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</si>
  <si>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</si>
  <si>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</si>
  <si>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</si>
  <si>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</si>
  <si>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</si>
  <si>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</si>
  <si>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</si>
  <si>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</si>
  <si>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</si>
  <si>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</si>
  <si>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</si>
  <si>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</si>
  <si>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</si>
  <si>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</si>
  <si>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</si>
  <si>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</si>
  <si>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</si>
  <si>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</si>
  <si>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</si>
  <si>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</si>
  <si>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</si>
  <si>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</si>
  <si>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</si>
  <si>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</si>
  <si>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</si>
  <si>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</si>
  <si>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</si>
  <si>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</si>
  <si>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</si>
  <si>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</si>
  <si>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</si>
  <si>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</si>
  <si>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</si>
  <si>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</si>
  <si>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</si>
  <si>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</si>
  <si>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</si>
  <si>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</si>
  <si>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</si>
  <si>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</si>
  <si>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</si>
  <si>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</si>
  <si>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</si>
  <si>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</si>
  <si>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</si>
  <si>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</si>
  <si>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</si>
  <si>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</si>
  <si>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</si>
  <si>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</si>
  <si>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</si>
  <si>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</si>
  <si>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</si>
  <si>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</si>
  <si>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</si>
  <si>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</si>
  <si>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</si>
  <si>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</si>
  <si>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</si>
  <si>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</si>
  <si>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</si>
  <si>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</si>
  <si>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</si>
  <si>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</si>
  <si>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</si>
  <si>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</si>
  <si>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</si>
  <si>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</si>
  <si>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</si>
  <si>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</si>
  <si>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</si>
  <si>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</si>
  <si>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</si>
  <si>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</si>
  <si>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</si>
  <si>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</si>
  <si>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</si>
  <si>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</si>
  <si>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</si>
  <si>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</si>
  <si>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</si>
  <si>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</si>
  <si>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</si>
  <si>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</si>
  <si>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</si>
  <si>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</si>
  <si>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</si>
  <si>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</si>
  <si>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</si>
  <si>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</si>
  <si>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</si>
  <si>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</si>
  <si>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</si>
  <si>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</si>
  <si>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</si>
  <si>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</si>
  <si>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</si>
  <si>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</si>
  <si>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</si>
  <si>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</si>
  <si>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</si>
  <si>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</si>
  <si>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</si>
  <si>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</si>
  <si>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</si>
  <si>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</si>
  <si>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</si>
  <si>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</si>
  <si>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</si>
  <si>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</si>
  <si>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</si>
  <si>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</si>
  <si>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</si>
  <si>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</si>
  <si>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</si>
  <si>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</si>
  <si>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</si>
  <si>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</si>
  <si>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</si>
  <si>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</si>
  <si>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</si>
  <si>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</si>
  <si>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</si>
  <si>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</si>
  <si>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</si>
  <si>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</si>
  <si>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</si>
  <si>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</si>
  <si>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</si>
  <si>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</si>
  <si>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</si>
  <si>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</si>
  <si>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</si>
  <si>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</si>
  <si>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</si>
  <si>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</si>
  <si>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</si>
  <si>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</si>
  <si>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</si>
  <si>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</si>
  <si>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</si>
  <si>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</si>
  <si>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</si>
  <si>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</si>
  <si>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</si>
  <si>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</si>
  <si>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</si>
  <si>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</si>
  <si>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</si>
  <si>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</si>
  <si>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</si>
  <si>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</si>
  <si>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</si>
  <si>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</si>
  <si>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</si>
  <si>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</si>
  <si>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</si>
  <si>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</si>
  <si>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</si>
  <si>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</si>
  <si>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</si>
  <si>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</si>
  <si>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</si>
  <si>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</si>
  <si>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</si>
  <si>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</si>
  <si>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</si>
  <si>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</si>
  <si>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</si>
  <si>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</si>
  <si>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</si>
  <si>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</si>
  <si>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</si>
  <si>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</si>
  <si>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</si>
  <si>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</si>
  <si>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</si>
  <si>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</si>
  <si>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</si>
  <si>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</si>
  <si>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</si>
  <si>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</si>
  <si>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</si>
  <si>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</si>
  <si>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</si>
  <si>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</si>
  <si>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</si>
  <si>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</si>
  <si>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</si>
  <si>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</si>
  <si>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</si>
  <si>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</si>
  <si>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</si>
  <si>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</si>
  <si>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</si>
  <si>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</si>
  <si>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</si>
  <si>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</si>
  <si>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</si>
  <si>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</si>
  <si>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</si>
  <si>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</si>
  <si>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</si>
  <si>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</si>
  <si>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</si>
  <si>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</si>
  <si>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</si>
  <si>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</si>
  <si>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</si>
  <si>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</si>
  <si>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</si>
  <si>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</si>
  <si>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</si>
  <si>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</si>
  <si>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</si>
  <si>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</si>
  <si>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</si>
  <si>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</si>
  <si>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</si>
  <si>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</si>
  <si>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</si>
  <si>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</si>
  <si>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</si>
  <si>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</si>
  <si>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</si>
  <si>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</si>
  <si>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</si>
  <si>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</si>
  <si>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</si>
  <si>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</si>
  <si>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</si>
  <si>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</si>
  <si>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</si>
  <si>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</si>
  <si>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</si>
  <si>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</si>
  <si>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</si>
  <si>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</si>
  <si>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</si>
  <si>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</si>
  <si>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</si>
  <si>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</si>
  <si>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</si>
  <si>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</si>
  <si>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</si>
  <si>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</si>
  <si>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</si>
  <si>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</si>
  <si>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</si>
  <si>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</si>
  <si>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</si>
  <si>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</si>
  <si>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</si>
  <si>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</si>
  <si>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</si>
  <si>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</si>
  <si>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</si>
  <si>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</si>
  <si>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</si>
  <si>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</si>
  <si>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</si>
  <si>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</si>
  <si>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</si>
  <si>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</si>
  <si>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</si>
  <si>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</si>
  <si>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</si>
  <si>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</si>
  <si>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</si>
  <si>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</si>
  <si>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</si>
  <si>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</si>
  <si>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</si>
  <si>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</si>
  <si>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</si>
  <si>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</si>
  <si>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</si>
  <si>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</si>
  <si>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</si>
  <si>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</si>
  <si>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</si>
  <si>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</si>
  <si>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</si>
  <si>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</si>
  <si>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</si>
  <si>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</si>
  <si>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</si>
  <si>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</si>
  <si>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</si>
  <si>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</si>
  <si>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</si>
  <si>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</si>
  <si>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</si>
  <si>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</si>
  <si>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</si>
  <si>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</si>
  <si>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</si>
  <si>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</si>
  <si>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</si>
  <si>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</si>
  <si>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</si>
  <si>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</si>
  <si>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</si>
  <si>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</si>
  <si>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</si>
  <si>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</si>
  <si>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</si>
  <si>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</si>
  <si>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</si>
  <si>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</si>
  <si>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</si>
  <si>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</si>
  <si>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</si>
  <si>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</si>
  <si>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</si>
  <si>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</si>
  <si>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</si>
  <si>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</si>
  <si>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</si>
  <si>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</si>
  <si>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</si>
  <si>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</si>
  <si>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</si>
  <si>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</si>
  <si>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</si>
  <si>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</si>
  <si>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</si>
  <si>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</si>
  <si>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</si>
  <si>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</si>
  <si>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</si>
  <si>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</si>
  <si>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</si>
  <si>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</si>
  <si>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</si>
  <si>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</si>
  <si>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</si>
  <si>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</si>
  <si>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</si>
  <si>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</si>
  <si>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</si>
  <si>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</si>
  <si>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</si>
  <si>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</si>
  <si>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</si>
  <si>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</si>
  <si>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</si>
  <si>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</si>
  <si>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</si>
  <si>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</si>
  <si>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</si>
  <si>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</si>
  <si>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</si>
  <si>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</si>
  <si>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</si>
  <si>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</si>
  <si>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</si>
  <si>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</si>
  <si>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</si>
  <si>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</si>
  <si>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</si>
  <si>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</si>
  <si>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</si>
  <si>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</si>
  <si>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</si>
  <si>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</si>
  <si>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</si>
  <si>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</si>
  <si>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</si>
  <si>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</si>
  <si>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</si>
  <si>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</si>
  <si>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</si>
  <si>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</si>
  <si>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</si>
  <si>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</si>
  <si>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</si>
  <si>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</si>
  <si>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</si>
  <si>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</si>
  <si>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</si>
  <si>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</si>
  <si>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</si>
  <si>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</si>
  <si>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</si>
  <si>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</si>
  <si>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</si>
  <si>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</si>
  <si>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</si>
  <si>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</si>
  <si>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</si>
  <si>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</si>
  <si>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</si>
  <si>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</si>
  <si>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</si>
  <si>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</si>
  <si>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</si>
  <si>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</si>
  <si>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</si>
  <si>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</si>
  <si>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</si>
  <si>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</si>
  <si>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</si>
  <si>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</si>
  <si>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</si>
  <si>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</si>
  <si>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</si>
  <si>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</si>
  <si>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</si>
  <si>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</si>
  <si>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</si>
  <si>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</si>
  <si>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</si>
  <si>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</si>
  <si>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</si>
  <si>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</si>
  <si>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</si>
  <si>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</si>
  <si>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</si>
  <si>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</si>
  <si>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</si>
  <si>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</si>
  <si>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</si>
  <si>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</si>
  <si>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</si>
  <si>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</si>
  <si>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</si>
  <si>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</si>
  <si>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</si>
  <si>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</si>
  <si>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</si>
  <si>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</si>
  <si>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</si>
  <si>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</si>
  <si>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</si>
  <si>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</si>
  <si>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</si>
  <si>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</si>
  <si>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</si>
  <si>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</si>
  <si>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</si>
  <si>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</si>
  <si>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</si>
  <si>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</si>
  <si>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</si>
  <si>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</si>
  <si>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</si>
  <si>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</si>
  <si>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</si>
  <si>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</si>
  <si>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</si>
  <si>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</si>
  <si>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</si>
  <si>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</si>
  <si>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</si>
  <si>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</si>
  <si>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</si>
  <si>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</si>
  <si>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</si>
  <si>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</si>
  <si>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</si>
  <si>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</si>
  <si>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</si>
  <si>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</si>
  <si>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</si>
  <si>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</si>
  <si>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</si>
  <si>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</si>
  <si>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</si>
  <si>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</si>
  <si>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</si>
  <si>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</si>
  <si>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</si>
  <si>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</si>
  <si>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</si>
  <si>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</si>
  <si>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</si>
  <si>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</si>
  <si>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</si>
  <si>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</si>
  <si>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</si>
  <si>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</si>
  <si>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</si>
  <si>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</si>
  <si>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</si>
  <si>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</si>
  <si>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</si>
  <si>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</si>
  <si>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</si>
  <si>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</si>
  <si>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</si>
  <si>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</si>
  <si>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</si>
  <si>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</si>
  <si>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</si>
  <si>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</si>
  <si>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</si>
  <si>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</si>
  <si>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</si>
  <si>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</si>
  <si>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</si>
  <si>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</si>
  <si>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</si>
  <si>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</si>
  <si>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</si>
  <si>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</si>
  <si>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</si>
  <si>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</si>
  <si>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</si>
  <si>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</si>
  <si>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</si>
  <si>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</si>
  <si>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</si>
  <si>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</si>
  <si>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</si>
  <si>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</si>
  <si>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</si>
  <si>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</si>
  <si>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</si>
  <si>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</si>
  <si>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</si>
  <si>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</si>
  <si>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</si>
  <si>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</si>
  <si>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</si>
  <si>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</si>
  <si>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</si>
  <si>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</si>
  <si>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</si>
  <si>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</si>
  <si>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</si>
  <si>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</si>
  <si>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</si>
  <si>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</si>
  <si>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</si>
  <si>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</si>
  <si>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</si>
  <si>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</si>
  <si>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</si>
  <si>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</si>
  <si>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</si>
  <si>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</si>
  <si>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</si>
  <si>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</si>
  <si>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</si>
  <si>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</si>
  <si>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</si>
  <si>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</si>
  <si>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</si>
  <si>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</si>
  <si>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</si>
  <si>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</si>
  <si>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</si>
  <si>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</si>
  <si>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</si>
  <si>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</si>
  <si>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</si>
  <si>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</si>
  <si>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</si>
  <si>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</si>
  <si>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</si>
  <si>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</si>
  <si>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</si>
  <si>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</si>
  <si>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</si>
  <si>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</si>
  <si>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</si>
  <si>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</si>
  <si>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</si>
  <si>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</si>
  <si>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</si>
  <si>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</si>
  <si>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</si>
  <si>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</si>
  <si>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</si>
  <si>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</si>
  <si>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</si>
  <si>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</si>
  <si>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</si>
  <si>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</si>
  <si>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</si>
  <si>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</si>
  <si>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</si>
  <si>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</si>
  <si>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</si>
  <si>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</si>
  <si>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</si>
  <si>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</si>
  <si>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</si>
  <si>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</si>
  <si>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</si>
  <si>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</si>
  <si>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</si>
  <si>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</si>
  <si>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</si>
  <si>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</si>
  <si>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</si>
  <si>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</si>
  <si>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</si>
  <si>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</si>
  <si>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</si>
  <si>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</si>
  <si>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</si>
  <si>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</si>
  <si>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</si>
  <si>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</si>
  <si>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</si>
  <si>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</si>
  <si>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</si>
  <si>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</si>
  <si>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</si>
  <si>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</si>
  <si>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</si>
  <si>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</si>
  <si>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</si>
  <si>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</si>
  <si>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</si>
  <si>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</si>
  <si>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</si>
  <si>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</si>
  <si>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</si>
  <si>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</si>
  <si>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</si>
  <si>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</si>
  <si>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</si>
  <si>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</si>
  <si>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</si>
  <si>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</si>
  <si>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</si>
  <si>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</si>
  <si>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</si>
  <si>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</si>
  <si>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</si>
  <si>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</si>
  <si>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</si>
  <si>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</si>
  <si>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</si>
  <si>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</si>
  <si>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</si>
  <si>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</si>
  <si>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</si>
  <si>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</si>
  <si>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</si>
  <si>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</si>
  <si>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</si>
  <si>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</si>
  <si>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</si>
  <si>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</si>
  <si>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</si>
  <si>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</si>
  <si>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</si>
  <si>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</si>
  <si>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</si>
  <si>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</si>
  <si>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</si>
  <si>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</si>
  <si>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</si>
  <si>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</si>
  <si>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</si>
  <si>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</si>
  <si>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</si>
  <si>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</si>
  <si>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</si>
  <si>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</si>
  <si>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</si>
  <si>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</si>
  <si>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</si>
  <si>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</si>
  <si>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</si>
  <si>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</si>
  <si>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</si>
  <si>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</si>
  <si>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</si>
  <si>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</si>
  <si>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</si>
  <si>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</si>
  <si>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</si>
  <si>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</si>
  <si>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</si>
  <si>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</si>
  <si>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</si>
  <si>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</si>
  <si>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</si>
  <si>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</si>
  <si>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</si>
  <si>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</si>
  <si>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</si>
  <si>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</si>
  <si>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</si>
  <si>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</si>
  <si>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</si>
  <si>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</si>
  <si>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</si>
  <si>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</si>
  <si>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</si>
  <si>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</si>
  <si>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</si>
  <si>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</si>
  <si>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</si>
  <si>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</si>
  <si>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</si>
  <si>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</si>
  <si>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</si>
  <si>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</si>
  <si>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</si>
  <si>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</si>
  <si>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</si>
  <si>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</si>
  <si>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</si>
  <si>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</si>
  <si>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</si>
  <si>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</si>
  <si>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</si>
  <si>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</si>
  <si>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</si>
  <si>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</si>
  <si>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</si>
  <si>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</si>
  <si>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</si>
  <si>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</si>
  <si>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</si>
  <si>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</si>
  <si>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</si>
  <si>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</si>
  <si>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</si>
  <si>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</si>
  <si>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</si>
  <si>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</si>
  <si>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</si>
  <si>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</si>
  <si>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</si>
  <si>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</si>
  <si>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</si>
  <si>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</si>
  <si>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</si>
  <si>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</si>
  <si>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</si>
  <si>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</si>
  <si>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</si>
  <si>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</si>
  <si>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</si>
  <si>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</si>
  <si>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</si>
  <si>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</si>
  <si>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</si>
  <si>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</si>
  <si>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</si>
  <si>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</si>
  <si>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</si>
  <si>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</si>
  <si>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</si>
  <si>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</si>
  <si>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</si>
  <si>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</si>
  <si>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</si>
  <si>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</si>
  <si>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</si>
  <si>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</si>
  <si>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</si>
  <si>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</si>
  <si>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</si>
  <si>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</si>
  <si>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</si>
  <si>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</si>
  <si>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</si>
  <si>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</si>
  <si>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</si>
  <si>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</si>
  <si>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</si>
  <si>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</si>
  <si>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</si>
  <si>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</si>
  <si>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</si>
  <si>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</si>
  <si>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</si>
  <si>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</si>
  <si>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</si>
  <si>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</si>
  <si>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</si>
  <si>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</si>
  <si>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</si>
  <si>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</si>
  <si>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</si>
  <si>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</si>
  <si>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</si>
  <si>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</si>
  <si>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</si>
  <si>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</si>
  <si>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</si>
  <si>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</si>
  <si>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</si>
  <si>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</si>
  <si>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</si>
  <si>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</si>
  <si>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</si>
  <si>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</si>
  <si>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</si>
  <si>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</si>
  <si>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</si>
  <si>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</si>
  <si>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</si>
  <si>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</si>
  <si>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</si>
  <si>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</si>
  <si>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</si>
  <si>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</si>
  <si>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</si>
  <si>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</si>
  <si>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</si>
  <si>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</si>
  <si>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</si>
  <si>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</si>
  <si>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</si>
  <si>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</si>
  <si>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</si>
  <si>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</si>
  <si>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</si>
  <si>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</si>
  <si>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</si>
  <si>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</si>
  <si>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</si>
  <si>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</si>
  <si>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</si>
  <si>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</si>
  <si>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</si>
  <si>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</si>
  <si>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</si>
  <si>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</si>
  <si>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</si>
  <si>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</si>
  <si>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</si>
  <si>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</si>
  <si>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</si>
  <si>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</si>
  <si>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</si>
  <si>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</si>
  <si>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</si>
  <si>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</si>
  <si>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</si>
  <si>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</si>
  <si>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</si>
  <si>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</si>
  <si>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</si>
  <si>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</si>
  <si>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</si>
  <si>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</si>
  <si>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</si>
  <si>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</si>
  <si>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</si>
  <si>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</si>
  <si>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</si>
  <si>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</si>
  <si>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</si>
  <si>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</si>
  <si>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</si>
  <si>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</si>
  <si>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</si>
  <si>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</si>
  <si>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</si>
  <si>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</si>
  <si>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</si>
  <si>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</si>
  <si>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</si>
  <si>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</si>
  <si>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</si>
  <si>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</si>
  <si>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</si>
  <si>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</si>
  <si>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</si>
  <si>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</si>
  <si>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</si>
  <si>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</si>
  <si>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</si>
  <si>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</si>
  <si>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</si>
  <si>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</si>
  <si>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</si>
  <si>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</si>
  <si>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</si>
  <si>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</si>
  <si>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</si>
  <si>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</si>
  <si>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</si>
  <si>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</si>
  <si>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</si>
  <si>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</si>
  <si>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</si>
  <si>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</si>
  <si>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</si>
  <si>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</si>
  <si>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</si>
  <si>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</si>
  <si>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</si>
  <si>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</si>
  <si>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</si>
  <si>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</si>
  <si>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</si>
  <si>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</si>
  <si>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</si>
  <si>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</si>
  <si>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</si>
  <si>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</si>
  <si>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</si>
  <si>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</si>
  <si>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</si>
  <si>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</si>
  <si>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</si>
  <si>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</si>
  <si>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</si>
  <si>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</si>
  <si>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</si>
  <si>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</si>
  <si>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</si>
  <si>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</si>
  <si>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</si>
  <si>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</si>
  <si>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</si>
  <si>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</si>
  <si>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</si>
  <si>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</si>
  <si>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</si>
  <si>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</si>
  <si>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</si>
  <si>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</si>
  <si>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</si>
  <si>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</si>
  <si>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</si>
  <si>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</si>
  <si>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</si>
  <si>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</si>
  <si>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</si>
  <si>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</si>
  <si>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</si>
  <si>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</si>
  <si>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</si>
  <si>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</si>
  <si>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</si>
  <si>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</si>
  <si>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</si>
  <si>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</si>
  <si>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</si>
  <si>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</si>
  <si>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</si>
  <si>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</si>
  <si>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</si>
  <si>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</si>
  <si>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</si>
  <si>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</si>
  <si>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</si>
  <si>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</si>
  <si>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</si>
  <si>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</si>
  <si>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</si>
  <si>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</si>
  <si>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</si>
  <si>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</si>
  <si>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</si>
  <si>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</si>
  <si>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</si>
  <si>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</si>
  <si>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</si>
  <si>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</si>
  <si>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</si>
  <si>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</si>
  <si>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</si>
  <si>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</si>
  <si>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</si>
  <si>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</si>
  <si>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</si>
  <si>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</si>
  <si>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</si>
  <si>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</si>
  <si>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</si>
  <si>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</si>
  <si>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</si>
  <si>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</si>
  <si>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</si>
  <si>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</si>
  <si>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</si>
  <si>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</si>
  <si>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</si>
  <si>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</si>
  <si>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</si>
  <si>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</si>
  <si>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</si>
  <si>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</si>
  <si>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</si>
  <si>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</si>
  <si>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</si>
  <si>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</si>
  <si>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</si>
  <si>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</si>
  <si>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</si>
  <si>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</si>
  <si>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</si>
  <si>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</si>
  <si>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</si>
  <si>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</si>
  <si>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</si>
  <si>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</si>
  <si>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</si>
  <si>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</si>
  <si>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</si>
  <si>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</si>
  <si>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</si>
  <si>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</si>
  <si>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</si>
  <si>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</si>
  <si>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</si>
  <si>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</si>
  <si>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</si>
  <si>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</si>
  <si>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</si>
  <si>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</si>
  <si>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</si>
  <si>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</si>
  <si>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</si>
  <si>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</si>
  <si>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</si>
  <si>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</si>
  <si>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</si>
  <si>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</si>
  <si>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</si>
  <si>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</si>
  <si>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</si>
  <si>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</si>
  <si>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</si>
  <si>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</si>
  <si>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</si>
  <si>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</si>
  <si>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</si>
  <si>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</si>
  <si>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</si>
  <si>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</si>
  <si>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</si>
  <si>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</si>
  <si>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</si>
  <si>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</si>
  <si>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</si>
  <si>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</si>
  <si>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</si>
  <si>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</si>
  <si>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</si>
  <si>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</si>
  <si>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</si>
  <si>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</si>
  <si>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</si>
  <si>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</si>
  <si>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</si>
  <si>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</si>
  <si>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</si>
  <si>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</si>
  <si>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</si>
  <si>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</si>
  <si>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</si>
  <si>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</si>
  <si>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</si>
  <si>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</si>
  <si>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</si>
  <si>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</si>
  <si>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</si>
  <si>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</si>
  <si>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</si>
  <si>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</si>
  <si>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</si>
  <si>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</si>
  <si>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</si>
  <si>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</si>
  <si>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</si>
  <si>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</si>
  <si>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</si>
  <si>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</si>
  <si>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</si>
  <si>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</si>
  <si>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</si>
  <si>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</si>
  <si>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</si>
  <si>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</si>
  <si>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</si>
  <si>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</si>
  <si>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</si>
  <si>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</si>
  <si>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</si>
  <si>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</si>
  <si>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</si>
  <si>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</si>
  <si>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</si>
  <si>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</si>
  <si>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</si>
  <si>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</si>
  <si>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</si>
  <si>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</si>
  <si>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</si>
  <si>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</si>
  <si>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</si>
  <si>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</si>
  <si>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</si>
  <si>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</si>
  <si>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</si>
  <si>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</si>
  <si>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</si>
  <si>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</si>
  <si>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</si>
  <si>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</si>
  <si>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</si>
  <si>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</si>
  <si>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</si>
  <si>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</si>
  <si>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</si>
  <si>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</si>
  <si>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</si>
  <si>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</si>
  <si>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</si>
  <si>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</si>
  <si>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</si>
  <si>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</si>
  <si>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</si>
  <si>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</si>
  <si>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</si>
  <si>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</si>
  <si>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</si>
  <si>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</si>
  <si>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</si>
  <si>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</si>
  <si>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</si>
  <si>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</si>
  <si>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</si>
  <si>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</si>
  <si>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</si>
  <si>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</si>
  <si>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</si>
  <si>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</si>
  <si>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</si>
  <si>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</si>
  <si>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</si>
  <si>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</si>
  <si>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</si>
  <si>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</si>
  <si>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</si>
  <si>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</si>
  <si>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</si>
  <si>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</si>
  <si>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</si>
  <si>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</si>
  <si>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</si>
  <si>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</si>
  <si>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</si>
  <si>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</si>
  <si>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</si>
  <si>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</si>
  <si>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</si>
  <si>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</si>
  <si>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</si>
  <si>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</si>
  <si>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</si>
  <si>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</si>
  <si>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</si>
  <si>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</si>
  <si>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</si>
  <si>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</si>
  <si>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</si>
  <si>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</si>
  <si>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</si>
  <si>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</si>
  <si>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</si>
  <si>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</si>
  <si>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</si>
  <si>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</si>
  <si>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</si>
  <si>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</si>
  <si>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</si>
  <si>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</si>
  <si>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</si>
  <si>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</si>
  <si>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</si>
  <si>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</si>
  <si>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</si>
  <si>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</si>
  <si>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</si>
  <si>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</si>
  <si>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</si>
  <si>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</si>
  <si>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</si>
  <si>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</si>
  <si>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</si>
  <si>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</si>
  <si>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</si>
  <si>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</si>
  <si>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</si>
  <si>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</si>
  <si>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</si>
  <si>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</si>
  <si>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</si>
  <si>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</si>
  <si>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</si>
  <si>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</si>
  <si>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</si>
  <si>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</si>
  <si>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</si>
  <si>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</si>
  <si>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</si>
  <si>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</si>
  <si>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</si>
  <si>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</si>
  <si>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</si>
  <si>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</si>
  <si>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</si>
  <si>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</si>
  <si>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</si>
  <si>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</si>
  <si>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</si>
  <si>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</si>
  <si>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</si>
  <si>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</si>
  <si>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</si>
  <si>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</si>
  <si>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</si>
  <si>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</si>
  <si>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</si>
  <si>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</si>
  <si>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</si>
  <si>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</si>
  <si>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</si>
  <si>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</si>
  <si>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</si>
  <si>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</si>
  <si>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</si>
  <si>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</si>
  <si>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</si>
  <si>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</si>
  <si>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</si>
  <si>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</si>
  <si>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</si>
  <si>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</si>
  <si>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</si>
  <si>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</si>
  <si>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</si>
  <si>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</si>
  <si>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</si>
  <si>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</si>
  <si>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</si>
  <si>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</si>
  <si>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</si>
  <si>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</si>
  <si>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</si>
  <si>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</si>
  <si>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</si>
  <si>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</si>
  <si>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</si>
  <si>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</si>
  <si>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</si>
  <si>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</si>
  <si>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</si>
  <si>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</si>
  <si>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</si>
  <si>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</si>
  <si>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</si>
  <si>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</si>
  <si>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</si>
  <si>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</si>
  <si>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</si>
  <si>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</si>
  <si>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</si>
  <si>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</si>
  <si>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</si>
  <si>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</si>
  <si>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</si>
  <si>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</si>
  <si>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</si>
  <si>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</si>
  <si>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</si>
  <si>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</si>
  <si>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</si>
  <si>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</si>
  <si>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</si>
  <si>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</si>
  <si>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</si>
  <si>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</si>
  <si>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</si>
  <si>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</si>
  <si>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</si>
  <si>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</si>
  <si>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</si>
  <si>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</si>
  <si>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</si>
  <si>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</si>
  <si>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</si>
  <si>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</si>
  <si>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</si>
  <si>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</si>
  <si>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</si>
  <si>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</si>
  <si>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</si>
  <si>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</si>
  <si>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</si>
  <si>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</si>
  <si>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</si>
  <si>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</si>
  <si>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</si>
  <si>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</si>
  <si>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</si>
  <si>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</si>
  <si>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</si>
  <si>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</si>
  <si>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</si>
  <si>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</si>
  <si>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</si>
  <si>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</si>
  <si>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</si>
  <si>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</si>
  <si>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</si>
  <si>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</si>
  <si>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</si>
  <si>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</si>
  <si>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</si>
  <si>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</si>
  <si>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</si>
  <si>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</si>
  <si>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</si>
  <si>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</si>
  <si>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</si>
  <si>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</si>
  <si>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</si>
  <si>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</si>
  <si>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</si>
  <si>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</si>
  <si>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</si>
  <si>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</si>
  <si>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</si>
  <si>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</si>
  <si>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</si>
  <si>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</si>
  <si>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</si>
  <si>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</si>
  <si>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</si>
  <si>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</si>
  <si>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</si>
  <si>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</si>
  <si>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</si>
  <si>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</si>
  <si>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</si>
  <si>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</si>
  <si>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</si>
  <si>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</si>
  <si>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</si>
  <si>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</si>
  <si>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</si>
  <si>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</si>
  <si>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</si>
  <si>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</si>
  <si>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</si>
  <si>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</si>
  <si>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</si>
  <si>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</si>
  <si>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</si>
  <si>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</si>
  <si>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</si>
  <si>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</si>
  <si>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</si>
  <si>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</si>
  <si>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</si>
  <si>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</si>
  <si>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</si>
  <si>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</si>
  <si>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</si>
  <si>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</si>
  <si>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</si>
  <si>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</si>
  <si>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</si>
  <si>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</si>
  <si>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</si>
  <si>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</si>
  <si>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</si>
  <si>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</si>
  <si>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</si>
  <si>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</si>
  <si>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</si>
  <si>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</si>
  <si>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</si>
  <si>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</si>
  <si>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</si>
  <si>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</si>
  <si>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</si>
  <si>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</si>
  <si>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</si>
  <si>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</si>
  <si>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</si>
  <si>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</si>
  <si>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</si>
  <si>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</si>
  <si>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</si>
  <si>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</si>
  <si>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</si>
  <si>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</si>
  <si>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</si>
  <si>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</si>
  <si>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</si>
  <si>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</si>
  <si>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</si>
  <si>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</si>
  <si>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</si>
  <si>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</si>
  <si>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</si>
  <si>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</si>
  <si>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</si>
  <si>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</si>
  <si>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</si>
  <si>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</si>
  <si>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</si>
  <si>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</si>
  <si>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</si>
  <si>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</si>
  <si>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</si>
  <si>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</si>
  <si>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</si>
  <si>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</si>
  <si>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</si>
  <si>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</si>
  <si>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</si>
  <si>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</si>
  <si>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</si>
  <si>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</si>
  <si>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</si>
  <si>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</si>
  <si>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</si>
  <si>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</si>
  <si>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</si>
  <si>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</si>
  <si>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</si>
  <si>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</si>
  <si>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</si>
  <si>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</si>
  <si>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</si>
  <si>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</si>
  <si>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</si>
  <si>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</si>
  <si>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</si>
  <si>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</si>
  <si>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</si>
  <si>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</si>
  <si>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</si>
  <si>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</si>
  <si>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</si>
  <si>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</si>
  <si>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</si>
  <si>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</si>
  <si>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</si>
  <si>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</si>
  <si>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</si>
  <si>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</si>
  <si>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</si>
  <si>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</si>
  <si>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</si>
  <si>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</si>
  <si>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</si>
  <si>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</si>
  <si>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</si>
  <si>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</si>
  <si>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</si>
  <si>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</si>
  <si>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</si>
  <si>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</si>
  <si>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</si>
  <si>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</si>
  <si>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</si>
  <si>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</si>
  <si>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</si>
  <si>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</si>
  <si>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</si>
  <si>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</si>
  <si>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</si>
  <si>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</si>
  <si>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</si>
  <si>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</si>
  <si>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</si>
  <si>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</si>
  <si>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</si>
  <si>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</si>
  <si>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</si>
  <si>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</si>
  <si>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</si>
  <si>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</si>
  <si>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</si>
  <si>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</si>
  <si>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</si>
  <si>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</si>
  <si>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</si>
  <si>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</si>
  <si>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</si>
  <si>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</si>
  <si>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</si>
  <si>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</si>
  <si>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</si>
  <si>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</si>
  <si>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</si>
  <si>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</si>
  <si>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</si>
  <si>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</si>
  <si>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</si>
  <si>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</si>
  <si>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</si>
  <si>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</si>
  <si>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</si>
  <si>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</si>
  <si>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</si>
  <si>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</si>
  <si>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</si>
  <si>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</si>
  <si>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</si>
  <si>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</si>
  <si>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</si>
  <si>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</si>
  <si>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</si>
  <si>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</si>
  <si>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</si>
  <si>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</si>
  <si>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</si>
  <si>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</si>
  <si>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</si>
  <si>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</si>
  <si>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</si>
  <si>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</si>
  <si>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</si>
  <si>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</si>
  <si>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</si>
  <si>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</si>
  <si>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</si>
  <si>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</si>
  <si>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</si>
  <si>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</si>
  <si>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</si>
  <si>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</si>
  <si>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</si>
  <si>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</si>
  <si>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</si>
  <si>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</si>
  <si>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</si>
  <si>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</si>
  <si>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</si>
  <si>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</si>
  <si>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</si>
  <si>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</si>
  <si>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</si>
  <si>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</si>
  <si>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</si>
  <si>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</si>
  <si>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</si>
  <si>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</si>
  <si>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</si>
  <si>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</si>
  <si>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</si>
  <si>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</si>
  <si>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</si>
  <si>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</si>
  <si>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</si>
  <si>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</si>
  <si>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</si>
  <si>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</si>
  <si>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</si>
  <si>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</si>
  <si>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</si>
  <si>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</si>
  <si>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</si>
  <si>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</si>
  <si>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</si>
  <si>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</si>
  <si>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</si>
  <si>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</si>
  <si>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</si>
  <si>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</si>
  <si>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</si>
  <si>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</si>
  <si>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</si>
  <si>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</si>
  <si>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</si>
  <si>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</si>
  <si>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</si>
  <si>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</si>
  <si>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</si>
  <si>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</si>
  <si>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</si>
  <si>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</si>
  <si>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</si>
  <si>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</si>
  <si>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</si>
  <si>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</si>
  <si>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</si>
  <si>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</si>
  <si>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</si>
  <si>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</si>
  <si>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</si>
  <si>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</si>
  <si>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</si>
  <si>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</si>
  <si>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</si>
  <si>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</si>
  <si>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</si>
  <si>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</si>
  <si>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</si>
  <si>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</si>
  <si>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</si>
  <si>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</si>
  <si>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</si>
  <si>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</si>
  <si>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</si>
  <si>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</si>
  <si>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</si>
  <si>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</si>
  <si>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</si>
  <si>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</si>
  <si>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</si>
  <si>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</si>
  <si>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</si>
  <si>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</si>
  <si>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</si>
  <si>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</si>
  <si>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</si>
  <si>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</si>
  <si>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</si>
  <si>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</si>
  <si>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</si>
  <si>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</si>
  <si>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</si>
  <si>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</si>
  <si>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</si>
  <si>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</si>
  <si>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</si>
  <si>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</si>
  <si>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</si>
  <si>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</si>
  <si>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</si>
  <si>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</si>
  <si>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</si>
  <si>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</si>
  <si>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</si>
  <si>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</si>
  <si>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</si>
  <si>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</si>
  <si>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</si>
  <si>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</si>
  <si>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</si>
  <si>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</si>
  <si>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</si>
  <si>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</si>
  <si>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</si>
  <si>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</si>
  <si>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</si>
  <si>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</si>
  <si>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</si>
  <si>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</si>
  <si>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</si>
  <si>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</si>
  <si>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</si>
  <si>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</si>
  <si>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</si>
  <si>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</si>
  <si>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</si>
  <si>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</si>
  <si>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</si>
  <si>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</si>
  <si>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</si>
  <si>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</si>
  <si>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</si>
  <si>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</si>
  <si>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</si>
  <si>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</si>
  <si>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</si>
  <si>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</si>
  <si>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</si>
  <si>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</si>
  <si>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</si>
  <si>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</si>
  <si>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</si>
  <si>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</si>
  <si>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</si>
  <si>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</si>
  <si>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</si>
  <si>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</si>
  <si>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</si>
  <si>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</si>
  <si>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</si>
  <si>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</si>
  <si>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</si>
  <si>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</si>
  <si>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</si>
  <si>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</si>
  <si>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</si>
  <si>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</si>
  <si>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</si>
  <si>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</si>
  <si>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</si>
  <si>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</si>
  <si>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</si>
  <si>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</si>
  <si>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</si>
  <si>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</si>
  <si>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</si>
  <si>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</si>
  <si>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</si>
  <si>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</si>
  <si>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</si>
  <si>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</si>
  <si>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</si>
  <si>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</si>
  <si>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</si>
  <si>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</si>
  <si>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</si>
  <si>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</si>
  <si>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</si>
  <si>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</si>
  <si>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</si>
  <si>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</si>
  <si>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</si>
  <si>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</si>
  <si>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</si>
  <si>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</si>
  <si>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</si>
  <si>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</si>
  <si>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</si>
  <si>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</si>
  <si>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</si>
  <si>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</si>
  <si>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</si>
  <si>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</si>
  <si>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</si>
  <si>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</si>
  <si>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</si>
  <si>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</si>
  <si>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</si>
  <si>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</si>
  <si>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</si>
  <si>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</si>
  <si>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</si>
  <si>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</si>
  <si>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</si>
  <si>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</si>
  <si>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</si>
  <si>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</si>
  <si>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</si>
  <si>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</si>
  <si>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</si>
  <si>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</si>
  <si>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</si>
  <si>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</si>
  <si>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</si>
  <si>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</si>
  <si>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</si>
  <si>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</si>
  <si>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</si>
  <si>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</si>
  <si>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</si>
  <si>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</si>
  <si>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</si>
  <si>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</si>
  <si>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</si>
  <si>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</si>
  <si>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</si>
  <si>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</si>
  <si>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</si>
  <si>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</si>
  <si>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</si>
  <si>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</si>
  <si>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</si>
  <si>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</si>
  <si>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</si>
  <si>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</si>
  <si>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</si>
  <si>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</si>
  <si>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</si>
  <si>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</si>
  <si>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</si>
  <si>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</si>
  <si>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</si>
  <si>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</si>
  <si>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</si>
  <si>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</si>
  <si>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</si>
  <si>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</si>
  <si>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</si>
  <si>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</si>
  <si>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</si>
  <si>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</si>
  <si>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</si>
  <si>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</si>
  <si>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</si>
  <si>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</si>
  <si>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</si>
  <si>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</si>
  <si>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</si>
  <si>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</si>
  <si>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</si>
  <si>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</si>
  <si>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</si>
  <si>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</si>
  <si>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</si>
  <si>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</si>
  <si>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</si>
  <si>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</si>
  <si>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</si>
  <si>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</si>
  <si>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</si>
  <si>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</si>
  <si>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</si>
  <si>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</si>
  <si>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</si>
  <si>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</si>
  <si>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</si>
  <si>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</si>
  <si>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</si>
  <si>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</si>
  <si>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</si>
  <si>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</si>
  <si>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</si>
  <si>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</si>
  <si>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</si>
  <si>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</si>
  <si>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</si>
  <si>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</si>
  <si>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</si>
  <si>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</si>
  <si>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</si>
  <si>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</si>
  <si>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</si>
  <si>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</si>
  <si>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</si>
  <si>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</si>
  <si>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</si>
  <si>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</si>
  <si>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</si>
  <si>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</si>
  <si>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</si>
  <si>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</si>
  <si>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</si>
  <si>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</si>
  <si>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</si>
  <si>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</si>
  <si>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</si>
  <si>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</si>
  <si>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</si>
  <si>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</si>
  <si>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</si>
  <si>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</si>
  <si>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</si>
  <si>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</si>
  <si>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</si>
  <si>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</si>
  <si>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</si>
  <si>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</si>
  <si>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</si>
  <si>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</si>
  <si>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</si>
  <si>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</si>
  <si>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</si>
  <si>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</si>
  <si>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</si>
  <si>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</si>
  <si>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</si>
  <si>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</si>
  <si>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</si>
  <si>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</si>
  <si>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</si>
  <si>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</si>
  <si>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</si>
  <si>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</si>
  <si>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</si>
  <si>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</si>
  <si>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</si>
  <si>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</si>
  <si>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</si>
  <si>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</si>
  <si>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</si>
  <si>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</si>
  <si>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</si>
  <si>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</si>
  <si>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</si>
  <si>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</si>
  <si>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</si>
  <si>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</si>
  <si>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</si>
  <si>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</si>
  <si>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</si>
  <si>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</si>
  <si>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</si>
  <si>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</si>
  <si>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</si>
  <si>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</si>
  <si>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</si>
  <si>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</si>
  <si>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</si>
  <si>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</si>
  <si>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</si>
  <si>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</si>
  <si>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</si>
  <si>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</si>
  <si>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</si>
  <si>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</si>
  <si>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</si>
  <si>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</si>
  <si>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</si>
  <si>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</si>
  <si>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</si>
  <si>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</si>
  <si>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</si>
  <si>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</si>
  <si>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</si>
  <si>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</si>
  <si>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</si>
  <si>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</si>
  <si>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</si>
  <si>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</si>
  <si>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</si>
  <si>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</si>
  <si>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</si>
  <si>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</si>
  <si>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</si>
  <si>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</si>
  <si>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</si>
  <si>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</si>
  <si>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</si>
  <si>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</si>
  <si>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</si>
  <si>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</si>
  <si>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</si>
  <si>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</si>
  <si>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</si>
  <si>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</si>
  <si>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</si>
  <si>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</si>
  <si>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</si>
  <si>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</si>
  <si>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</si>
  <si>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</si>
  <si>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</si>
  <si>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</si>
  <si>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</si>
  <si>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</si>
  <si>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</si>
  <si>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</si>
  <si>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</si>
  <si>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</si>
  <si>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</si>
  <si>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</si>
  <si>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</si>
  <si>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</si>
  <si>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</si>
  <si>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</si>
  <si>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</si>
  <si>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</si>
  <si>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</si>
  <si>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</si>
  <si>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</si>
  <si>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</si>
  <si>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</si>
  <si>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</si>
  <si>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</si>
  <si>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</si>
  <si>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</si>
  <si>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</si>
  <si>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</si>
  <si>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</si>
  <si>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</si>
  <si>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</si>
  <si>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</si>
  <si>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</si>
  <si>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</si>
  <si>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</si>
  <si>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</si>
  <si>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</si>
  <si>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</si>
  <si>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</si>
  <si>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</si>
  <si>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</si>
  <si>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</si>
  <si>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</si>
  <si>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</si>
  <si>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</si>
  <si>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</si>
  <si>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</si>
  <si>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</si>
  <si>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</si>
  <si>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</si>
  <si>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</si>
  <si>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</si>
  <si>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</si>
  <si>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</si>
  <si>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</si>
  <si>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</si>
  <si>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</si>
  <si>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</si>
  <si>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</si>
  <si>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</si>
  <si>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</si>
  <si>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</si>
  <si>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</si>
  <si>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</si>
  <si>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</si>
  <si>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</si>
  <si>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</si>
  <si>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</si>
  <si>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</si>
  <si>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</si>
  <si>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</si>
  <si>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</si>
  <si>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</si>
  <si>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</si>
  <si>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</si>
  <si>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</si>
  <si>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</si>
  <si>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</si>
  <si>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</si>
  <si>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</si>
  <si>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</si>
  <si>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</si>
  <si>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</si>
  <si>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</si>
  <si>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</si>
  <si>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</si>
  <si>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</si>
  <si>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</si>
  <si>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</si>
  <si>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</si>
  <si>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</si>
  <si>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</si>
  <si>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</si>
  <si>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</si>
  <si>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</si>
  <si>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</si>
  <si>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</si>
  <si>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</si>
  <si>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</si>
  <si>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</si>
  <si>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</si>
  <si>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</si>
  <si>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</si>
  <si>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</si>
  <si>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</si>
  <si>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</si>
  <si>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</si>
  <si>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</si>
  <si>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</si>
  <si>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</si>
  <si>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</si>
  <si>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</si>
  <si>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</si>
  <si>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</si>
  <si>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</si>
  <si>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</si>
  <si>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</si>
  <si>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</si>
  <si>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</si>
  <si>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</si>
  <si>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</si>
  <si>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</si>
  <si>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</si>
  <si>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</si>
  <si>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</si>
  <si>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</si>
  <si>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</si>
  <si>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</si>
  <si>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</si>
  <si>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</si>
  <si>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</si>
  <si>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</si>
  <si>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</si>
  <si>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</si>
  <si>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</si>
  <si>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</si>
  <si>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</si>
  <si>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</si>
  <si>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</si>
  <si>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</si>
  <si>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</si>
  <si>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</si>
  <si>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</si>
  <si>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</si>
  <si>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</si>
  <si>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</si>
  <si>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</si>
  <si>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</si>
  <si>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</si>
  <si>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</si>
  <si>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</si>
  <si>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</si>
  <si>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</si>
  <si>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</si>
  <si>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</si>
  <si>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</si>
  <si>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</si>
  <si>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</si>
  <si>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</si>
  <si>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</si>
  <si>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</si>
  <si>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</si>
  <si>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</si>
  <si>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</si>
  <si>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</si>
  <si>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</si>
  <si>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</si>
  <si>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</si>
  <si>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</si>
  <si>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</si>
  <si>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</si>
  <si>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</si>
  <si>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</si>
  <si>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</si>
  <si>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</si>
  <si>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</si>
  <si>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</si>
  <si>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</si>
  <si>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</si>
  <si>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</si>
  <si>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</si>
  <si>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</si>
  <si>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</si>
  <si>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</si>
  <si>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</si>
  <si>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</si>
  <si>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</si>
  <si>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</si>
  <si>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</si>
  <si>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</si>
  <si>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</si>
  <si>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</si>
  <si>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</si>
  <si>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</si>
  <si>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</si>
  <si>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</si>
  <si>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</si>
  <si>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</si>
  <si>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</si>
  <si>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</si>
  <si>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</si>
  <si>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</si>
  <si>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</si>
  <si>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</si>
  <si>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</si>
  <si>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</si>
  <si>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</si>
  <si>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</si>
  <si>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</si>
  <si>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</si>
  <si>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</si>
  <si>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</si>
  <si>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</si>
  <si>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</si>
  <si>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</si>
  <si>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</si>
  <si>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</si>
  <si>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</si>
  <si>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</si>
  <si>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</si>
  <si>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</si>
  <si>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</si>
  <si>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</si>
  <si>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</si>
  <si>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</si>
  <si>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</si>
  <si>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</si>
  <si>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</si>
  <si>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</si>
  <si>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</si>
  <si>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</si>
  <si>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</si>
  <si>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</si>
  <si>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</si>
  <si>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</si>
  <si>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</si>
  <si>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</si>
  <si>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</si>
  <si>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</si>
  <si>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</si>
  <si>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</si>
  <si>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</si>
  <si>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</si>
  <si>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</si>
  <si>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</si>
  <si>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</si>
  <si>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</si>
  <si>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</si>
  <si>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</si>
  <si>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</si>
  <si>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</si>
  <si>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</si>
  <si>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</si>
  <si>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</si>
  <si>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</si>
  <si>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</si>
  <si>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</si>
  <si>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</si>
  <si>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</si>
  <si>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</si>
  <si>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</si>
  <si>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</si>
  <si>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</si>
  <si>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</si>
  <si>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</si>
  <si>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</si>
  <si>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</si>
  <si>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</si>
  <si>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</si>
  <si>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</si>
  <si>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</si>
  <si>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</si>
  <si>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</si>
  <si>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</si>
  <si>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</si>
  <si>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</si>
  <si>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</si>
  <si>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</si>
  <si>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</si>
  <si>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</si>
  <si>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</si>
  <si>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</si>
  <si>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</si>
  <si>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</si>
  <si>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</si>
  <si>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</si>
  <si>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</si>
  <si>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</si>
  <si>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</si>
  <si>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</si>
  <si>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</si>
  <si>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</si>
  <si>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</si>
  <si>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</si>
  <si>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</si>
  <si>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</si>
  <si>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</si>
  <si>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</si>
  <si>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</si>
  <si>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</si>
  <si>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</si>
  <si>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</si>
  <si>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</si>
  <si>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</si>
  <si>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</si>
  <si>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</si>
  <si>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</si>
  <si>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</si>
  <si>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</si>
  <si>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</si>
  <si>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</si>
  <si>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</si>
  <si>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</si>
  <si>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</si>
  <si>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</si>
  <si>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</si>
  <si>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</si>
  <si>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</si>
  <si>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</si>
  <si>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</si>
  <si>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</si>
  <si>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</si>
  <si>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</si>
  <si>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</si>
  <si>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</si>
  <si>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</si>
  <si>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</si>
  <si>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</si>
  <si>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</si>
  <si>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</si>
  <si>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</si>
  <si>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</si>
  <si>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</si>
  <si>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</si>
  <si>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</si>
  <si>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</si>
  <si>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</si>
  <si>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</si>
  <si>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</si>
  <si>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</si>
  <si>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</si>
  <si>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</si>
  <si>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</si>
  <si>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</si>
  <si>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</si>
  <si>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</si>
  <si>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</si>
  <si>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</si>
  <si>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</si>
  <si>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</si>
  <si>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</si>
  <si>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</si>
  <si>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</si>
  <si>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</si>
  <si>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</si>
  <si>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</si>
  <si>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</si>
  <si>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</si>
  <si>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</si>
  <si>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</si>
  <si>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</si>
  <si>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</si>
  <si>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</si>
  <si>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</si>
  <si>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</si>
  <si>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</si>
  <si>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</si>
  <si>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</si>
  <si>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</si>
  <si>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</si>
  <si>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</si>
  <si>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</si>
  <si>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</si>
  <si>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</si>
  <si>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</si>
  <si>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</si>
  <si>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</si>
  <si>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</si>
  <si>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</si>
  <si>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</si>
  <si>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</si>
  <si>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</si>
  <si>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</si>
  <si>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</si>
  <si>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</si>
  <si>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</si>
  <si>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</si>
  <si>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</si>
  <si>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</si>
  <si>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</si>
  <si>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</si>
  <si>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</si>
  <si>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</si>
  <si>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</si>
  <si>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</si>
  <si>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</si>
  <si>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</si>
  <si>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</si>
  <si>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</si>
  <si>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</si>
  <si>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</si>
  <si>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</si>
  <si>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</si>
  <si>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</si>
  <si>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</si>
  <si>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</si>
  <si>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</si>
  <si>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</si>
  <si>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</si>
  <si>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</si>
  <si>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</si>
  <si>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</si>
  <si>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</si>
  <si>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</si>
  <si>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</si>
  <si>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</si>
  <si>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</si>
  <si>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</si>
  <si>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</si>
  <si>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</si>
  <si>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</si>
  <si>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</si>
  <si>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</si>
  <si>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</si>
  <si>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</si>
  <si>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</si>
  <si>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</si>
  <si>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</si>
  <si>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</si>
  <si>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</si>
  <si>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</si>
  <si>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</si>
  <si>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</si>
  <si>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</si>
  <si>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</si>
  <si>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</si>
  <si>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</si>
  <si>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</si>
  <si>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</si>
  <si>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</si>
  <si>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</si>
  <si>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</si>
  <si>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</si>
  <si>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</si>
  <si>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</si>
  <si>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</si>
  <si>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</si>
  <si>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</si>
  <si>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</si>
  <si>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</si>
  <si>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</si>
  <si>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</si>
  <si>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</si>
  <si>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</si>
  <si>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</si>
  <si>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</si>
  <si>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</si>
  <si>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</si>
  <si>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</si>
  <si>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</si>
  <si>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</si>
  <si>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</si>
  <si>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</si>
  <si>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</si>
  <si>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</si>
  <si>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</si>
  <si>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</si>
  <si>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</si>
  <si>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</si>
  <si>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</si>
  <si>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</si>
  <si>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</si>
  <si>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</si>
  <si>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</si>
  <si>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</si>
  <si>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</si>
  <si>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</si>
  <si>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</si>
  <si>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</si>
  <si>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</si>
  <si>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</si>
  <si>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</si>
  <si>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</si>
  <si>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</si>
  <si>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</si>
  <si>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</si>
  <si>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</si>
  <si>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</si>
  <si>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</si>
  <si>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</si>
  <si>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</si>
  <si>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</si>
  <si>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</si>
  <si>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</si>
  <si>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</si>
  <si>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</si>
  <si>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</si>
  <si>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</si>
  <si>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</si>
  <si>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</si>
  <si>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</si>
  <si>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</si>
  <si>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</si>
  <si>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</si>
  <si>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</si>
  <si>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</si>
  <si>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</si>
  <si>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</si>
  <si>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</si>
  <si>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</si>
  <si>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</si>
  <si>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</si>
  <si>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</si>
  <si>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</si>
  <si>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</si>
  <si>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</si>
  <si>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</si>
  <si>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</si>
  <si>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</si>
  <si>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</si>
  <si>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</si>
  <si>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</si>
  <si>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</si>
  <si>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</si>
  <si>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</si>
  <si>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</si>
  <si>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</si>
  <si>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</si>
  <si>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</si>
  <si>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</si>
  <si>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</si>
  <si>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</si>
  <si>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</si>
  <si>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</si>
  <si>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</si>
  <si>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</si>
  <si>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</si>
  <si>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</si>
  <si>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</si>
  <si>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</si>
  <si>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</si>
  <si>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</si>
  <si>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</si>
  <si>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</si>
  <si>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</si>
  <si>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</si>
  <si>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</si>
  <si>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</si>
  <si>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</si>
  <si>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</si>
  <si>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</si>
  <si>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</si>
  <si>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</si>
  <si>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</si>
  <si>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</si>
  <si>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</si>
  <si>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</si>
  <si>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</si>
  <si>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</si>
  <si>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</si>
  <si>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</si>
  <si>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</si>
  <si>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</si>
  <si>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</si>
  <si>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</si>
  <si>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</si>
  <si>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</si>
  <si>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</si>
  <si>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</si>
  <si>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</si>
  <si>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</si>
  <si>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</si>
  <si>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</si>
  <si>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</si>
  <si>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</si>
  <si>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</si>
  <si>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</si>
  <si>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</si>
  <si>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</si>
  <si>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</si>
  <si>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</si>
  <si>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</si>
  <si>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</si>
  <si>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</si>
  <si>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</si>
  <si>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</si>
  <si>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</si>
  <si>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</si>
  <si>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</si>
  <si>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</si>
  <si>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</si>
  <si>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</si>
  <si>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</si>
  <si>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</si>
  <si>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</si>
  <si>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</si>
  <si>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</si>
  <si>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</si>
  <si>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</si>
  <si>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</si>
  <si>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</si>
  <si>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</si>
  <si>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</si>
  <si>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</si>
  <si>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</si>
  <si>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</si>
  <si>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</si>
  <si>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</si>
  <si>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</si>
  <si>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</si>
  <si>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</si>
  <si>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</si>
  <si>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</si>
  <si>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</si>
  <si>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</si>
  <si>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</si>
  <si>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</si>
  <si>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</si>
  <si>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</si>
  <si>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</si>
  <si>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</si>
  <si>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</si>
  <si>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</si>
  <si>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</si>
  <si>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</si>
  <si>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</si>
  <si>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</si>
  <si>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</si>
  <si>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</si>
  <si>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</si>
  <si>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</si>
  <si>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</si>
  <si>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</si>
  <si>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</si>
  <si>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</si>
  <si>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</si>
  <si>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</si>
  <si>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</si>
  <si>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</si>
  <si>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</si>
  <si>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</si>
  <si>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</si>
  <si>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</si>
  <si>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</si>
  <si>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</si>
  <si>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</si>
  <si>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</si>
  <si>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</si>
  <si>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</si>
  <si>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</si>
  <si>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</si>
  <si>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</si>
  <si>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</si>
  <si>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</si>
  <si>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</si>
  <si>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</si>
  <si>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</si>
  <si>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</si>
  <si>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</si>
  <si>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</si>
  <si>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</si>
  <si>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</si>
  <si>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</si>
  <si>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</si>
  <si>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</si>
  <si>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</si>
  <si>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</si>
  <si>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</si>
  <si>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</si>
  <si>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</si>
  <si>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</si>
  <si>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</si>
  <si>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</si>
  <si>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</si>
  <si>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</si>
  <si>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</si>
  <si>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</si>
  <si>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</si>
  <si>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</si>
  <si>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</si>
  <si>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</si>
  <si>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</si>
  <si>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</si>
  <si>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</si>
  <si>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</si>
  <si>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</si>
  <si>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</si>
  <si>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</si>
  <si>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</si>
  <si>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</si>
  <si>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</si>
  <si>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</si>
  <si>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</si>
  <si>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</si>
  <si>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</si>
  <si>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</si>
  <si>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</si>
  <si>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</si>
  <si>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</si>
  <si>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</si>
  <si>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</si>
  <si>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</si>
  <si>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</si>
  <si>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</si>
  <si>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</si>
  <si>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</si>
  <si>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</si>
  <si>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</si>
  <si>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</si>
  <si>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</si>
  <si>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</si>
  <si>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</si>
  <si>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</si>
  <si>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</si>
  <si>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</si>
  <si>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</si>
  <si>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</si>
  <si>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</si>
  <si>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</si>
  <si>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</si>
  <si>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</si>
  <si>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</si>
  <si>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</si>
  <si>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</si>
  <si>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</si>
  <si>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</si>
  <si>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</si>
  <si>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</si>
  <si>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</si>
  <si>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</si>
  <si>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</si>
  <si>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</si>
  <si>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</si>
  <si>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</si>
  <si>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</si>
  <si>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</si>
  <si>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</si>
  <si>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</si>
  <si>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</si>
  <si>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</si>
  <si>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</si>
  <si>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</si>
  <si>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</si>
  <si>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</si>
  <si>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</si>
  <si>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</si>
  <si>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</si>
  <si>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</si>
  <si>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</si>
  <si>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</si>
  <si>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</si>
  <si>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</si>
  <si>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</si>
  <si>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</si>
  <si>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</si>
  <si>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</si>
  <si>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</si>
  <si>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</si>
  <si>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</si>
  <si>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</si>
  <si>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</si>
  <si>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</si>
  <si>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</si>
  <si>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</si>
  <si>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</si>
  <si>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</si>
  <si>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</si>
  <si>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</si>
  <si>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</si>
  <si>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</si>
  <si>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</si>
  <si>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</si>
  <si>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</si>
  <si>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</si>
  <si>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</si>
  <si>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</si>
  <si>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</si>
  <si>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</si>
  <si>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</si>
  <si>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</si>
  <si>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</si>
  <si>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</si>
  <si>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</si>
  <si>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</si>
  <si>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</si>
  <si>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</si>
  <si>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</si>
  <si>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</si>
  <si>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</si>
  <si>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</si>
  <si>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</si>
  <si>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</si>
  <si>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</si>
  <si>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</si>
  <si>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</si>
  <si>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</si>
  <si>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</si>
  <si>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</si>
  <si>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</si>
  <si>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</si>
  <si>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</si>
  <si>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</si>
  <si>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</si>
  <si>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</si>
  <si>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</si>
  <si>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</si>
  <si>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</si>
  <si>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</si>
  <si>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</si>
  <si>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</si>
  <si>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</si>
  <si>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</si>
  <si>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</si>
  <si>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</si>
  <si>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</si>
  <si>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</si>
  <si>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</si>
  <si>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</si>
  <si>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</si>
  <si>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</si>
  <si>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</si>
  <si>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</si>
  <si>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</si>
  <si>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</si>
  <si>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</si>
  <si>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</si>
  <si>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</si>
  <si>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</si>
  <si>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</si>
  <si>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</si>
  <si>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</si>
  <si>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</si>
  <si>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</si>
  <si>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</si>
  <si>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</si>
  <si>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</si>
  <si>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</si>
  <si>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</si>
  <si>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</si>
  <si>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</si>
  <si>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</si>
  <si>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</si>
  <si>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</si>
  <si>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</si>
  <si>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</si>
  <si>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</si>
  <si>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</si>
  <si>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</si>
  <si>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</si>
  <si>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</si>
  <si>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</si>
  <si>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</si>
  <si>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</si>
  <si>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</si>
  <si>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</si>
  <si>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</si>
  <si>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</si>
  <si>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</si>
  <si>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</si>
  <si>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</si>
  <si>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</si>
  <si>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</si>
  <si>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</si>
  <si>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</si>
  <si>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</si>
  <si>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</si>
  <si>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</si>
  <si>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</si>
  <si>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</si>
  <si>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</si>
  <si>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</si>
  <si>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</si>
  <si>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</si>
  <si>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</si>
  <si>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</si>
  <si>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</si>
  <si>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</si>
  <si>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</si>
  <si>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</si>
  <si>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</si>
  <si>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</si>
  <si>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</si>
  <si>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</si>
  <si>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</si>
  <si>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</si>
  <si>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</si>
  <si>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</si>
  <si>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</si>
  <si>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</si>
  <si>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</si>
  <si>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</si>
  <si>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</si>
  <si>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</si>
  <si>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</si>
  <si>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</si>
  <si>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</si>
  <si>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</si>
  <si>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</si>
  <si>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</si>
  <si>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</si>
  <si>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</si>
  <si>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</si>
  <si>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</si>
  <si>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</si>
  <si>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</si>
  <si>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</si>
  <si>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</si>
  <si>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</si>
  <si>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</si>
  <si>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</si>
  <si>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</si>
  <si>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</si>
  <si>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</si>
  <si>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</si>
  <si>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</si>
  <si>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</si>
  <si>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</si>
  <si>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</si>
  <si>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</si>
  <si>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</si>
  <si>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</si>
  <si>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</si>
  <si>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</si>
  <si>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</si>
  <si>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</si>
  <si>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</si>
  <si>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</si>
  <si>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</si>
  <si>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</si>
  <si>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</si>
  <si>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</si>
  <si>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</si>
  <si>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</si>
  <si>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</si>
  <si>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</si>
  <si>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</si>
  <si>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</si>
  <si>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</si>
  <si>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</si>
  <si>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</si>
  <si>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</si>
  <si>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</si>
  <si>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</si>
  <si>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</si>
  <si>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</si>
  <si>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</si>
  <si>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</si>
  <si>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</si>
  <si>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</si>
  <si>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</si>
  <si>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</si>
  <si>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</si>
  <si>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</si>
  <si>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</si>
  <si>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</si>
  <si>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</si>
  <si>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</si>
  <si>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</si>
  <si>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</si>
  <si>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</si>
  <si>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</si>
  <si>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</si>
  <si>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</si>
  <si>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</si>
  <si>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</si>
  <si>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</si>
  <si>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</si>
  <si>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</si>
  <si>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</si>
  <si>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</si>
  <si>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</si>
  <si>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</si>
  <si>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</si>
  <si>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</si>
  <si>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</si>
  <si>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</si>
  <si>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</si>
  <si>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</si>
  <si>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</si>
  <si>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</si>
  <si>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</si>
  <si>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</si>
  <si>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</si>
  <si>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</si>
  <si>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</si>
  <si>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</si>
  <si>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</si>
  <si>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</si>
  <si>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</si>
  <si>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</si>
  <si>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</si>
  <si>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</si>
  <si>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</si>
  <si>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</si>
  <si>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</si>
  <si>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</si>
  <si>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</si>
  <si>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</si>
  <si>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</si>
  <si>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</si>
  <si>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</si>
  <si>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</si>
  <si>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</si>
  <si>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</si>
  <si>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</si>
  <si>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</si>
  <si>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</si>
  <si>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</si>
  <si>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</si>
  <si>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</si>
  <si>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</si>
  <si>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</si>
  <si>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</si>
  <si>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</si>
  <si>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</si>
  <si>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</si>
  <si>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</si>
  <si>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</si>
  <si>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</si>
  <si>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</si>
  <si>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</si>
  <si>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</si>
  <si>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</si>
  <si>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</si>
  <si>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</si>
  <si>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</si>
  <si>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</si>
  <si>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</si>
  <si>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</si>
  <si>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</si>
  <si>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</si>
  <si>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</si>
  <si>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</si>
  <si>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</si>
  <si>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</si>
  <si>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</si>
  <si>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</si>
  <si>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</si>
  <si>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</si>
  <si>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</si>
  <si>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</si>
  <si>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</si>
  <si>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</si>
  <si>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</si>
  <si>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</si>
  <si>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</si>
  <si>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</si>
  <si>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</si>
  <si>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</si>
  <si>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</si>
  <si>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</si>
  <si>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</si>
  <si>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</si>
  <si>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</si>
  <si>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</si>
  <si>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</si>
  <si>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</si>
  <si>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</si>
  <si>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</si>
  <si>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</si>
  <si>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</si>
  <si>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</si>
  <si>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</si>
  <si>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</si>
  <si>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</si>
  <si>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</si>
  <si>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</si>
  <si>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</si>
  <si>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</si>
  <si>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</si>
  <si>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</si>
  <si>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</si>
  <si>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</si>
  <si>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</si>
  <si>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</si>
  <si>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</si>
  <si>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</si>
  <si>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</si>
  <si>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</si>
  <si>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</si>
  <si>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</si>
  <si>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</si>
  <si>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</si>
  <si>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</si>
  <si>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</si>
  <si>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</si>
  <si>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</si>
  <si>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</si>
  <si>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</si>
  <si>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</si>
  <si>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</si>
  <si>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</si>
  <si>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</si>
  <si>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</si>
  <si>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</si>
  <si>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</si>
  <si>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</si>
  <si>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</si>
  <si>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</si>
  <si>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</si>
  <si>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</si>
  <si>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</si>
  <si>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</si>
  <si>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</si>
  <si>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</si>
  <si>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</si>
  <si>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</si>
  <si>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</si>
  <si>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</si>
  <si>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</si>
  <si>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</si>
  <si>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</si>
  <si>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</si>
  <si>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</si>
  <si>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</si>
  <si>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</si>
  <si>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</si>
  <si>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</si>
  <si>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</si>
  <si>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</si>
  <si>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</si>
  <si>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</si>
  <si>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</si>
  <si>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</si>
  <si>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</si>
  <si>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</si>
  <si>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</si>
  <si>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</si>
  <si>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</si>
  <si>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</si>
  <si>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</si>
  <si>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</si>
  <si>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</si>
  <si>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</si>
  <si>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</si>
  <si>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</si>
  <si>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</si>
  <si>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</si>
  <si>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</si>
  <si>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</si>
  <si>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</si>
  <si>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</si>
  <si>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</si>
  <si>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</si>
  <si>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</si>
  <si>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</si>
  <si>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</si>
  <si>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</si>
  <si>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</si>
  <si>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</si>
  <si>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</si>
  <si>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</si>
  <si>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</si>
  <si>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</si>
  <si>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</si>
  <si>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</si>
  <si>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</si>
  <si>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</si>
  <si>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</si>
  <si>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</si>
  <si>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</si>
  <si>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</si>
  <si>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</si>
  <si>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</si>
  <si>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</si>
  <si>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</si>
  <si>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</si>
  <si>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</si>
  <si>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</si>
  <si>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</si>
  <si>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</si>
  <si>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</si>
  <si>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</si>
  <si>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</si>
  <si>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</si>
  <si>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</si>
  <si>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</si>
  <si>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</si>
  <si>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</si>
  <si>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</si>
  <si>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</si>
  <si>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</si>
  <si>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</si>
  <si>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</si>
  <si>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</si>
  <si>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</si>
  <si>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</si>
  <si>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</si>
  <si>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</si>
  <si>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</si>
  <si>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</si>
  <si>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</si>
  <si>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</si>
  <si>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</si>
  <si>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</si>
  <si>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</si>
  <si>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</si>
  <si>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</si>
  <si>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</si>
  <si>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</si>
  <si>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</si>
  <si>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</si>
  <si>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</si>
  <si>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</si>
  <si>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</si>
  <si>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</si>
  <si>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</si>
  <si>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</si>
  <si>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</si>
  <si>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</si>
  <si>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</si>
  <si>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</si>
  <si>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</si>
  <si>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</si>
  <si>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</si>
  <si>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</si>
  <si>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</si>
  <si>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</si>
  <si>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</si>
  <si>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</si>
  <si>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</si>
  <si>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</si>
  <si>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</si>
  <si>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</si>
  <si>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</si>
  <si>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</si>
  <si>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</si>
  <si>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</si>
  <si>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</si>
  <si>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</si>
  <si>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</si>
  <si>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</si>
  <si>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</si>
  <si>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</si>
  <si>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</si>
  <si>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</si>
  <si>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</si>
  <si>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</si>
  <si>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</si>
  <si>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</si>
  <si>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</si>
  <si>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</si>
  <si>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</si>
  <si>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</si>
  <si>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</si>
  <si>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</si>
  <si>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</si>
  <si>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</si>
  <si>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</si>
  <si>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</si>
  <si>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</si>
  <si>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</si>
  <si>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</si>
  <si>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</si>
  <si>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</si>
  <si>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</si>
  <si>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</si>
  <si>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</si>
  <si>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</si>
  <si>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</si>
  <si>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</si>
  <si>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</si>
  <si>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</si>
  <si>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</si>
  <si>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</si>
  <si>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</si>
  <si>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</si>
  <si>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</si>
  <si>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</si>
  <si>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</si>
  <si>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</si>
  <si>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</si>
  <si>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</si>
  <si>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</si>
  <si>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</si>
  <si>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</si>
  <si>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</si>
  <si>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</si>
  <si>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</si>
  <si>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</si>
  <si>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</si>
  <si>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</si>
  <si>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</si>
  <si>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</si>
  <si>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</si>
  <si>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</si>
  <si>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</si>
  <si>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</si>
  <si>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</si>
  <si>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</si>
  <si>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</si>
  <si>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</si>
  <si>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</si>
  <si>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</si>
  <si>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</si>
  <si>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</si>
  <si>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</si>
  <si>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</si>
  <si>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</si>
  <si>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</si>
  <si>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</si>
  <si>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</si>
  <si>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</si>
  <si>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</si>
  <si>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</si>
  <si>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</si>
  <si>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</si>
  <si>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</si>
  <si>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</si>
  <si>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</si>
  <si>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</si>
  <si>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</si>
  <si>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</si>
  <si>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</si>
  <si>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</si>
  <si>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</si>
  <si>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</si>
  <si>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</si>
  <si>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</si>
  <si>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</si>
  <si>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</si>
  <si>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</si>
  <si>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</si>
  <si>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</si>
  <si>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</si>
  <si>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</si>
  <si>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</si>
  <si>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</si>
  <si>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</si>
  <si>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</si>
  <si>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</si>
  <si>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</si>
  <si>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</si>
  <si>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</si>
  <si>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</si>
  <si>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</si>
  <si>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</si>
  <si>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</si>
  <si>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</si>
  <si>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</si>
  <si>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</si>
  <si>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</si>
  <si>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</si>
  <si>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</si>
  <si>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</si>
  <si>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</si>
  <si>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</si>
  <si>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</si>
  <si>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</si>
  <si>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</si>
  <si>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</si>
  <si>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</si>
  <si>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</si>
  <si>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</si>
  <si>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</si>
  <si>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</si>
  <si>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</si>
  <si>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</si>
  <si>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</si>
  <si>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</si>
  <si>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</si>
  <si>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</si>
  <si>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</si>
  <si>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</si>
  <si>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</si>
  <si>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</si>
  <si>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</si>
  <si>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</si>
  <si>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</si>
  <si>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</si>
  <si>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</si>
  <si>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</si>
  <si>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</si>
  <si>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</si>
  <si>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</si>
  <si>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</si>
  <si>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</si>
  <si>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</si>
  <si>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</si>
  <si>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</si>
  <si>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</si>
  <si>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</si>
  <si>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</si>
  <si>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</si>
  <si>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</si>
  <si>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</si>
  <si>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</si>
  <si>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</si>
  <si>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</si>
  <si>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</si>
  <si>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</si>
  <si>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</si>
  <si>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</si>
  <si>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</si>
  <si>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</si>
  <si>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</si>
  <si>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</si>
  <si>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</si>
  <si>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</si>
  <si>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</si>
  <si>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</si>
  <si>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</si>
  <si>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</si>
  <si>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</si>
  <si>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</si>
  <si>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</si>
  <si>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</si>
  <si>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</si>
  <si>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</si>
  <si>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</si>
  <si>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</si>
  <si>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</si>
  <si>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</si>
  <si>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</si>
  <si>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</si>
  <si>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</si>
  <si>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</si>
  <si>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</si>
  <si>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</si>
  <si>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</si>
  <si>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</si>
  <si>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</si>
  <si>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</si>
  <si>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</si>
  <si>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</si>
  <si>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</si>
  <si>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</si>
  <si>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</si>
  <si>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</si>
  <si>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</si>
  <si>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</si>
  <si>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</si>
  <si>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</si>
  <si>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</si>
  <si>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</si>
  <si>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</si>
  <si>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</si>
  <si>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</si>
  <si>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</si>
  <si>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</si>
  <si>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</si>
  <si>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</si>
  <si>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</si>
  <si>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</si>
  <si>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</si>
  <si>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</si>
  <si>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</si>
  <si>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</si>
  <si>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</si>
  <si>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</si>
  <si>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</si>
  <si>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</si>
  <si>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</si>
  <si>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</si>
  <si>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</si>
  <si>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</si>
  <si>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</si>
  <si>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</si>
  <si>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</si>
  <si>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</si>
  <si>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</si>
  <si>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</si>
  <si>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</si>
  <si>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</si>
  <si>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</si>
  <si>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</si>
  <si>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</si>
  <si>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</si>
  <si>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</si>
  <si>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</si>
  <si>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</si>
  <si>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</si>
  <si>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</si>
  <si>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</si>
  <si>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</si>
  <si>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</si>
  <si>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</si>
  <si>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</si>
  <si>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</si>
  <si>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</si>
  <si>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</si>
  <si>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</si>
  <si>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</si>
  <si>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</si>
  <si>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</si>
  <si>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</si>
  <si>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</si>
  <si>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</si>
  <si>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</si>
  <si>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</si>
  <si>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</si>
  <si>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</si>
  <si>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</si>
  <si>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</si>
  <si>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</si>
  <si>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</si>
  <si>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</si>
  <si>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</si>
  <si>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</si>
  <si>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</si>
  <si>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</si>
  <si>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</si>
  <si>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</si>
  <si>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</si>
  <si>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</si>
  <si>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</si>
  <si>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</si>
  <si>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</si>
  <si>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</si>
  <si>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</si>
  <si>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</si>
  <si>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</si>
  <si>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</si>
  <si>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</si>
  <si>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</si>
  <si>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</si>
  <si>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</si>
  <si>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</si>
  <si>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</si>
  <si>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</si>
  <si>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</si>
  <si>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</si>
  <si>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</si>
  <si>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</si>
  <si>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</si>
  <si>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</si>
  <si>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</si>
  <si>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</si>
  <si>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</si>
  <si>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</si>
  <si>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</si>
  <si>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</si>
  <si>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</si>
  <si>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</si>
  <si>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</si>
  <si>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</si>
  <si>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</si>
  <si>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</si>
  <si>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</si>
  <si>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</si>
  <si>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</si>
  <si>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</si>
  <si>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</si>
  <si>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</si>
  <si>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</si>
  <si>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</si>
  <si>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</si>
  <si>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</si>
  <si>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</si>
  <si>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</si>
  <si>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</si>
  <si>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</si>
  <si>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</si>
  <si>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</si>
  <si>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</si>
  <si>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</si>
  <si>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</si>
  <si>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</si>
  <si>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</si>
  <si>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</si>
  <si>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</si>
  <si>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</si>
  <si>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</si>
  <si>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</si>
  <si>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</si>
  <si>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</si>
  <si>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</si>
  <si>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</si>
  <si>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</si>
  <si>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</si>
  <si>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</si>
  <si>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</si>
  <si>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</si>
  <si>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</si>
  <si>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</si>
  <si>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</si>
  <si>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</si>
  <si>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</si>
  <si>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</si>
  <si>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</si>
  <si>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</si>
  <si>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</si>
  <si>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</si>
  <si>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</si>
  <si>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</si>
  <si>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</si>
  <si>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</si>
  <si>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</si>
  <si>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</si>
  <si>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</si>
  <si>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</si>
  <si>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</si>
  <si>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</si>
  <si>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</si>
  <si>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</si>
  <si>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</si>
  <si>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</si>
  <si>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</si>
  <si>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</si>
  <si>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</si>
  <si>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</si>
  <si>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</si>
  <si>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</si>
  <si>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</si>
  <si>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</si>
  <si>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</si>
  <si>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</si>
  <si>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</si>
  <si>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</si>
  <si>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</si>
  <si>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</si>
  <si>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</si>
  <si>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</si>
  <si>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</si>
  <si>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</si>
  <si>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</si>
  <si>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</si>
  <si>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</si>
  <si>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</si>
  <si>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</si>
  <si>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</si>
  <si>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</si>
  <si>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</si>
  <si>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</si>
  <si>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</si>
  <si>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</si>
  <si>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</si>
  <si>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</si>
  <si>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</si>
  <si>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</si>
  <si>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</si>
  <si>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</si>
  <si>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</si>
  <si>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</si>
  <si>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</si>
  <si>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</si>
  <si>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</si>
  <si>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</si>
  <si>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</si>
  <si>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</si>
  <si>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</si>
  <si>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</si>
  <si>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</si>
  <si>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</si>
  <si>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</si>
  <si>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</si>
  <si>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</si>
  <si>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</si>
  <si>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</si>
  <si>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</si>
  <si>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</si>
  <si>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</si>
  <si>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</si>
  <si>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</si>
  <si>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</si>
  <si>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</si>
  <si>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</si>
  <si>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</si>
  <si>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</si>
  <si>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</si>
  <si>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</si>
  <si>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</si>
  <si>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</si>
  <si>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</si>
  <si>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</si>
  <si>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</si>
  <si>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</si>
  <si>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</si>
  <si>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</si>
  <si>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</si>
  <si>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</si>
  <si>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</si>
  <si>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</si>
  <si>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</si>
  <si>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</si>
  <si>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</si>
  <si>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</si>
  <si>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</si>
  <si>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</si>
  <si>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</si>
  <si>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</si>
  <si>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</si>
  <si>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</si>
  <si>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</si>
  <si>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</si>
  <si>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</si>
  <si>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</si>
  <si>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</si>
  <si>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</si>
  <si>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</si>
  <si>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</si>
  <si>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</si>
  <si>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</si>
  <si>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</si>
  <si>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</si>
  <si>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</si>
  <si>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</si>
  <si>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</si>
  <si>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</si>
  <si>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</si>
  <si>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</si>
  <si>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</si>
  <si>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</si>
  <si>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</si>
  <si>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</si>
  <si>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</si>
  <si>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</si>
  <si>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</si>
  <si>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</si>
  <si>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</si>
  <si>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</si>
  <si>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</si>
  <si>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</si>
  <si>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</si>
  <si>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</si>
  <si>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</si>
  <si>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</si>
  <si>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</si>
  <si>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</si>
  <si>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</si>
  <si>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</si>
  <si>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</si>
  <si>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</si>
  <si>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</si>
  <si>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</si>
  <si>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</si>
  <si>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</si>
  <si>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</si>
  <si>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</si>
  <si>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</si>
  <si>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</si>
  <si>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</si>
  <si>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</si>
  <si>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</si>
  <si>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</si>
  <si>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</si>
  <si>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</si>
  <si>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</si>
  <si>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</si>
  <si>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</si>
  <si>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HH, ER, PV</t>
    <phoneticPr fontId="2" type="noConversion"/>
  </si>
  <si>
    <t xml:space="preserve">FAT 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</si>
  <si>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</si>
  <si>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</si>
  <si>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</si>
  <si>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</si>
  <si>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</si>
  <si>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</si>
  <si>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</si>
  <si>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</si>
  <si>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</si>
  <si>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</si>
  <si>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</si>
  <si>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</si>
  <si>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</si>
  <si>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</si>
  <si>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</si>
  <si>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</si>
  <si>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</si>
  <si>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</si>
  <si>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</si>
  <si>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</si>
  <si>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</si>
  <si>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</si>
  <si>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</si>
  <si>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</si>
  <si>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-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</si>
  <si>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</si>
  <si>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</si>
  <si>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</si>
  <si>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</si>
  <si>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</si>
  <si>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</si>
  <si>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</si>
  <si>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</si>
  <si>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</si>
  <si>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</si>
  <si>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</si>
  <si>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</si>
  <si>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</si>
  <si>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</si>
  <si>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</si>
  <si>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</si>
  <si>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</si>
  <si>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</si>
  <si>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</si>
  <si>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</si>
  <si>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</si>
  <si>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</si>
  <si>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</si>
  <si>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</si>
  <si>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</si>
  <si>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</si>
  <si>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</si>
  <si>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</si>
  <si>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</si>
  <si>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</si>
  <si>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</si>
  <si>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</si>
  <si>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</si>
  <si>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</si>
  <si>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</si>
  <si>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</si>
  <si>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</si>
  <si>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</si>
  <si>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</si>
  <si>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</si>
  <si>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</si>
  <si>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</si>
  <si>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</si>
  <si>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</si>
  <si>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고무 교체</t>
    <phoneticPr fontId="2" type="noConversion"/>
  </si>
  <si>
    <t>LOAD TEST &amp; 승조원 교육 (13:00 ~ 14:00) / 2번 라싱아이 1개 공급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</si>
  <si>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</si>
  <si>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</si>
  <si>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</si>
  <si>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</si>
  <si>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</si>
  <si>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</si>
  <si>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</si>
  <si>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</si>
  <si>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</si>
  <si>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</si>
  <si>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</si>
  <si>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</si>
  <si>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</si>
  <si>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</si>
  <si>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</si>
  <si>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</si>
  <si>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</si>
  <si>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</si>
  <si>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천상욱</t>
    <phoneticPr fontId="2" type="noConversion"/>
  </si>
  <si>
    <t>DST(1), 우신(1)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</si>
  <si>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</si>
  <si>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</si>
  <si>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</si>
  <si>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우신(1)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</si>
  <si>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</si>
  <si>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</si>
  <si>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</si>
  <si>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</si>
  <si>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</si>
  <si>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결선 작업 / 격벽 설치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</si>
  <si>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</si>
  <si>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</si>
  <si>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</si>
  <si>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격벽 설치</t>
    <phoneticPr fontId="2" type="noConversion"/>
  </si>
  <si>
    <t>격벽 설치 / 현장 확인</t>
    <phoneticPr fontId="2" type="noConversion"/>
  </si>
  <si>
    <t>로드셀 교체 / 결선 작업 / PUNCH 조치</t>
    <phoneticPr fontId="2" type="noConversion"/>
  </si>
  <si>
    <t>HIO(1)</t>
    <phoneticPr fontId="2" type="noConversion"/>
  </si>
  <si>
    <t>HIO(1), 동아(2)</t>
    <phoneticPr fontId="2" type="noConversion"/>
  </si>
  <si>
    <t>김동명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</si>
</sst>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53"/>
  <sheetViews>
    <sheetView showGridLines="0" tabSelected="1" topLeftCell="A396" zoomScaleNormal="100" workbookViewId="0">
      <selection activeCell="G402" sqref="G402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776" t="s">
        <v>3261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1"/>
    </row>
    <row r="2" spans="1:17" s="17" customFormat="1" ht="27" customHeight="1" x14ac:dyDescent="0.3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 x14ac:dyDescent="0.3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 x14ac:dyDescent="0.3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 x14ac:dyDescent="0.3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 x14ac:dyDescent="0.3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 x14ac:dyDescent="0.3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 x14ac:dyDescent="0.3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 x14ac:dyDescent="0.3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 x14ac:dyDescent="0.3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 x14ac:dyDescent="0.3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 x14ac:dyDescent="0.3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 x14ac:dyDescent="0.3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 x14ac:dyDescent="0.3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 x14ac:dyDescent="0.3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 x14ac:dyDescent="0.3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 x14ac:dyDescent="0.3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 x14ac:dyDescent="0.3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 x14ac:dyDescent="0.3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 x14ac:dyDescent="0.3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 x14ac:dyDescent="0.3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 x14ac:dyDescent="0.3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7"/>
      <c r="Q22" s="778"/>
      <c r="R22" s="778"/>
      <c r="S22" s="778"/>
    </row>
    <row r="23" spans="1:19" s="17" customFormat="1" ht="33" customHeight="1" x14ac:dyDescent="0.3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 x14ac:dyDescent="0.3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 x14ac:dyDescent="0.3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 x14ac:dyDescent="0.3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 x14ac:dyDescent="0.3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7"/>
      <c r="Q27" s="778"/>
      <c r="R27" s="778"/>
      <c r="S27" s="778"/>
    </row>
    <row r="28" spans="1:19" s="17" customFormat="1" ht="33" customHeight="1" x14ac:dyDescent="0.3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 x14ac:dyDescent="0.3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 x14ac:dyDescent="0.3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 x14ac:dyDescent="0.3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 x14ac:dyDescent="0.3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 x14ac:dyDescent="0.3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 x14ac:dyDescent="0.3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 x14ac:dyDescent="0.3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 x14ac:dyDescent="0.3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7"/>
      <c r="Q36" s="778"/>
      <c r="R36" s="778"/>
      <c r="S36" s="778"/>
    </row>
    <row r="37" spans="1:19" s="17" customFormat="1" ht="33" customHeight="1" x14ac:dyDescent="0.3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7"/>
      <c r="Q37" s="778"/>
      <c r="R37" s="778"/>
      <c r="S37" s="778"/>
    </row>
    <row r="38" spans="1:19" s="17" customFormat="1" ht="33" customHeight="1" x14ac:dyDescent="0.3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 x14ac:dyDescent="0.3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 x14ac:dyDescent="0.3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7"/>
      <c r="Q40" s="778"/>
      <c r="R40" s="778"/>
      <c r="S40" s="778"/>
    </row>
    <row r="41" spans="1:19" s="17" customFormat="1" ht="27" customHeight="1" x14ac:dyDescent="0.3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7"/>
      <c r="Q41" s="778"/>
      <c r="R41" s="778"/>
      <c r="S41" s="778"/>
    </row>
    <row r="42" spans="1:19" s="17" customFormat="1" ht="33" customHeight="1" x14ac:dyDescent="0.3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 x14ac:dyDescent="0.3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7" t="s">
        <v>4390</v>
      </c>
      <c r="Q43" s="778"/>
      <c r="R43" s="778"/>
      <c r="S43" s="778"/>
    </row>
    <row r="44" spans="1:19" s="17" customFormat="1" ht="33" customHeight="1" x14ac:dyDescent="0.3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 x14ac:dyDescent="0.3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 x14ac:dyDescent="0.3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 x14ac:dyDescent="0.3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 x14ac:dyDescent="0.3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 x14ac:dyDescent="0.3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 x14ac:dyDescent="0.3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 x14ac:dyDescent="0.3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 x14ac:dyDescent="0.3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 x14ac:dyDescent="0.3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 x14ac:dyDescent="0.3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 x14ac:dyDescent="0.3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 x14ac:dyDescent="0.3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 x14ac:dyDescent="0.3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 x14ac:dyDescent="0.3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 x14ac:dyDescent="0.3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 x14ac:dyDescent="0.3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 x14ac:dyDescent="0.3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7"/>
      <c r="Q61" s="778"/>
      <c r="R61" s="778"/>
      <c r="S61" s="778"/>
    </row>
    <row r="62" spans="1:19" s="17" customFormat="1" ht="33" customHeight="1" x14ac:dyDescent="0.3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 x14ac:dyDescent="0.3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 x14ac:dyDescent="0.3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7"/>
      <c r="Q64" s="778"/>
      <c r="R64" s="778"/>
      <c r="S64" s="778"/>
    </row>
    <row r="65" spans="1:19" s="17" customFormat="1" ht="33" customHeight="1" x14ac:dyDescent="0.3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 x14ac:dyDescent="0.3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 x14ac:dyDescent="0.3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7"/>
      <c r="Q67" s="778"/>
      <c r="R67" s="778"/>
      <c r="S67" s="778"/>
    </row>
    <row r="68" spans="1:19" s="17" customFormat="1" ht="33" customHeight="1" x14ac:dyDescent="0.3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 x14ac:dyDescent="0.3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 x14ac:dyDescent="0.3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 x14ac:dyDescent="0.3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 x14ac:dyDescent="0.3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 x14ac:dyDescent="0.3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 x14ac:dyDescent="0.3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7"/>
      <c r="Q74" s="778"/>
      <c r="R74" s="778"/>
      <c r="S74" s="778"/>
    </row>
    <row r="75" spans="1:19" s="17" customFormat="1" ht="33" customHeight="1" x14ac:dyDescent="0.3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 x14ac:dyDescent="0.3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 x14ac:dyDescent="0.3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 x14ac:dyDescent="0.3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 x14ac:dyDescent="0.3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 x14ac:dyDescent="0.3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 x14ac:dyDescent="0.3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 x14ac:dyDescent="0.3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 x14ac:dyDescent="0.3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7"/>
      <c r="Q83" s="778"/>
      <c r="R83" s="778"/>
      <c r="S83" s="778"/>
    </row>
    <row r="84" spans="1:19" s="17" customFormat="1" ht="33" customHeight="1" x14ac:dyDescent="0.3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 x14ac:dyDescent="0.3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7"/>
      <c r="Q85" s="778"/>
      <c r="R85" s="778"/>
      <c r="S85" s="778"/>
    </row>
    <row r="86" spans="1:19" s="17" customFormat="1" ht="33" customHeight="1" x14ac:dyDescent="0.3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 x14ac:dyDescent="0.3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 x14ac:dyDescent="0.3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 x14ac:dyDescent="0.3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 x14ac:dyDescent="0.3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 x14ac:dyDescent="0.3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 x14ac:dyDescent="0.3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 x14ac:dyDescent="0.3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7" t="s">
        <v>4390</v>
      </c>
      <c r="Q93" s="778"/>
      <c r="R93" s="778"/>
      <c r="S93" s="778"/>
    </row>
    <row r="94" spans="1:19" s="17" customFormat="1" ht="33" customHeight="1" x14ac:dyDescent="0.3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 x14ac:dyDescent="0.3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 x14ac:dyDescent="0.3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 x14ac:dyDescent="0.3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 x14ac:dyDescent="0.3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 x14ac:dyDescent="0.3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 x14ac:dyDescent="0.3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 x14ac:dyDescent="0.3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 x14ac:dyDescent="0.3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 x14ac:dyDescent="0.3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 x14ac:dyDescent="0.3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 x14ac:dyDescent="0.3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 x14ac:dyDescent="0.3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 x14ac:dyDescent="0.3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 x14ac:dyDescent="0.3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 x14ac:dyDescent="0.3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 x14ac:dyDescent="0.3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 x14ac:dyDescent="0.3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 x14ac:dyDescent="0.3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 x14ac:dyDescent="0.3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 x14ac:dyDescent="0.3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 x14ac:dyDescent="0.3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 x14ac:dyDescent="0.3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 x14ac:dyDescent="0.3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 x14ac:dyDescent="0.3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 x14ac:dyDescent="0.3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 x14ac:dyDescent="0.3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 x14ac:dyDescent="0.3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 x14ac:dyDescent="0.3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 x14ac:dyDescent="0.3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 x14ac:dyDescent="0.3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 x14ac:dyDescent="0.3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 x14ac:dyDescent="0.3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 x14ac:dyDescent="0.3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 x14ac:dyDescent="0.3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 x14ac:dyDescent="0.3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 x14ac:dyDescent="0.3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 x14ac:dyDescent="0.3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 x14ac:dyDescent="0.3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 x14ac:dyDescent="0.3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 x14ac:dyDescent="0.3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 x14ac:dyDescent="0.3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 x14ac:dyDescent="0.3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 x14ac:dyDescent="0.3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 x14ac:dyDescent="0.3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 x14ac:dyDescent="0.3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 x14ac:dyDescent="0.3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 x14ac:dyDescent="0.3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 x14ac:dyDescent="0.3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 x14ac:dyDescent="0.3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 x14ac:dyDescent="0.3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 x14ac:dyDescent="0.3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 x14ac:dyDescent="0.3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 x14ac:dyDescent="0.3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 x14ac:dyDescent="0.3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 x14ac:dyDescent="0.3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 x14ac:dyDescent="0.3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 x14ac:dyDescent="0.3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 x14ac:dyDescent="0.3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 x14ac:dyDescent="0.3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 x14ac:dyDescent="0.3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 x14ac:dyDescent="0.3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 x14ac:dyDescent="0.3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 x14ac:dyDescent="0.3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 x14ac:dyDescent="0.3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 x14ac:dyDescent="0.3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 x14ac:dyDescent="0.3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 x14ac:dyDescent="0.3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 x14ac:dyDescent="0.3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 x14ac:dyDescent="0.3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 x14ac:dyDescent="0.3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 x14ac:dyDescent="0.3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 x14ac:dyDescent="0.3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 x14ac:dyDescent="0.3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 x14ac:dyDescent="0.3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 x14ac:dyDescent="0.3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1"/>
      <c r="Q169" s="782"/>
      <c r="R169" s="782"/>
      <c r="S169" s="782"/>
    </row>
    <row r="170" spans="1:19" s="17" customFormat="1" ht="33" customHeight="1" x14ac:dyDescent="0.3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 x14ac:dyDescent="0.3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 x14ac:dyDescent="0.3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 x14ac:dyDescent="0.3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 x14ac:dyDescent="0.3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 x14ac:dyDescent="0.3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 x14ac:dyDescent="0.3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 x14ac:dyDescent="0.3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 x14ac:dyDescent="0.3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 x14ac:dyDescent="0.3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 x14ac:dyDescent="0.3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 x14ac:dyDescent="0.3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 x14ac:dyDescent="0.3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9" t="s">
        <v>4688</v>
      </c>
      <c r="Q182" s="780"/>
      <c r="R182" s="780"/>
      <c r="S182" s="780"/>
    </row>
    <row r="183" spans="1:19" s="17" customFormat="1" ht="33" customHeight="1" x14ac:dyDescent="0.3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 x14ac:dyDescent="0.3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 x14ac:dyDescent="0.3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 x14ac:dyDescent="0.3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 x14ac:dyDescent="0.3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 x14ac:dyDescent="0.3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 x14ac:dyDescent="0.3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 x14ac:dyDescent="0.3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 x14ac:dyDescent="0.3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 x14ac:dyDescent="0.3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 x14ac:dyDescent="0.3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 x14ac:dyDescent="0.3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 x14ac:dyDescent="0.3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 x14ac:dyDescent="0.3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 x14ac:dyDescent="0.3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 x14ac:dyDescent="0.3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 x14ac:dyDescent="0.3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 x14ac:dyDescent="0.3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 x14ac:dyDescent="0.3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 x14ac:dyDescent="0.3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 x14ac:dyDescent="0.3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 x14ac:dyDescent="0.3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 x14ac:dyDescent="0.3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 x14ac:dyDescent="0.3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 x14ac:dyDescent="0.3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 x14ac:dyDescent="0.3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 x14ac:dyDescent="0.3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 x14ac:dyDescent="0.3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 x14ac:dyDescent="0.3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 x14ac:dyDescent="0.3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 x14ac:dyDescent="0.3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 x14ac:dyDescent="0.3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 x14ac:dyDescent="0.3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 x14ac:dyDescent="0.3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 x14ac:dyDescent="0.3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 x14ac:dyDescent="0.3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 x14ac:dyDescent="0.3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 x14ac:dyDescent="0.3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 x14ac:dyDescent="0.3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 x14ac:dyDescent="0.3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 x14ac:dyDescent="0.3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 x14ac:dyDescent="0.3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 x14ac:dyDescent="0.3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 x14ac:dyDescent="0.3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 x14ac:dyDescent="0.3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 x14ac:dyDescent="0.3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 x14ac:dyDescent="0.3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 x14ac:dyDescent="0.3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 x14ac:dyDescent="0.3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 x14ac:dyDescent="0.3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 x14ac:dyDescent="0.3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 x14ac:dyDescent="0.3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 x14ac:dyDescent="0.3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 x14ac:dyDescent="0.3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 x14ac:dyDescent="0.3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 x14ac:dyDescent="0.3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 x14ac:dyDescent="0.3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 x14ac:dyDescent="0.3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 x14ac:dyDescent="0.3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 x14ac:dyDescent="0.3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 x14ac:dyDescent="0.3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 x14ac:dyDescent="0.3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 x14ac:dyDescent="0.3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 x14ac:dyDescent="0.3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 x14ac:dyDescent="0.3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 x14ac:dyDescent="0.3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 x14ac:dyDescent="0.3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 x14ac:dyDescent="0.3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 x14ac:dyDescent="0.3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 x14ac:dyDescent="0.3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 x14ac:dyDescent="0.3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 x14ac:dyDescent="0.3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 x14ac:dyDescent="0.3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 x14ac:dyDescent="0.3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 x14ac:dyDescent="0.3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 x14ac:dyDescent="0.3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 x14ac:dyDescent="0.3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 x14ac:dyDescent="0.3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 x14ac:dyDescent="0.3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 x14ac:dyDescent="0.3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 x14ac:dyDescent="0.3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 x14ac:dyDescent="0.3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 x14ac:dyDescent="0.3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 x14ac:dyDescent="0.3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 x14ac:dyDescent="0.3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 x14ac:dyDescent="0.3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 x14ac:dyDescent="0.3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 x14ac:dyDescent="0.3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 x14ac:dyDescent="0.3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 x14ac:dyDescent="0.3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 x14ac:dyDescent="0.3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 x14ac:dyDescent="0.3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 x14ac:dyDescent="0.3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 x14ac:dyDescent="0.3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 x14ac:dyDescent="0.3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 x14ac:dyDescent="0.3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 x14ac:dyDescent="0.3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 x14ac:dyDescent="0.3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 x14ac:dyDescent="0.3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 x14ac:dyDescent="0.3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 x14ac:dyDescent="0.3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 x14ac:dyDescent="0.3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 x14ac:dyDescent="0.3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 x14ac:dyDescent="0.3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 x14ac:dyDescent="0.3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 x14ac:dyDescent="0.3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 x14ac:dyDescent="0.3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 x14ac:dyDescent="0.3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 x14ac:dyDescent="0.3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 x14ac:dyDescent="0.3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 x14ac:dyDescent="0.3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 x14ac:dyDescent="0.3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 x14ac:dyDescent="0.3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 x14ac:dyDescent="0.3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 x14ac:dyDescent="0.3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 x14ac:dyDescent="0.3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 x14ac:dyDescent="0.3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 x14ac:dyDescent="0.3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 x14ac:dyDescent="0.3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 x14ac:dyDescent="0.3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 x14ac:dyDescent="0.3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 x14ac:dyDescent="0.3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 x14ac:dyDescent="0.3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 x14ac:dyDescent="0.3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 x14ac:dyDescent="0.3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 x14ac:dyDescent="0.3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 x14ac:dyDescent="0.3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 x14ac:dyDescent="0.3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 x14ac:dyDescent="0.3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 x14ac:dyDescent="0.3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 x14ac:dyDescent="0.3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 x14ac:dyDescent="0.3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 x14ac:dyDescent="0.3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 x14ac:dyDescent="0.3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 x14ac:dyDescent="0.3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 x14ac:dyDescent="0.3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 x14ac:dyDescent="0.3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 x14ac:dyDescent="0.3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 x14ac:dyDescent="0.3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 x14ac:dyDescent="0.3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 x14ac:dyDescent="0.3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 x14ac:dyDescent="0.3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 x14ac:dyDescent="0.3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 x14ac:dyDescent="0.3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 x14ac:dyDescent="0.3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 x14ac:dyDescent="0.3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 x14ac:dyDescent="0.3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 x14ac:dyDescent="0.3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5839</v>
      </c>
      <c r="M330" s="464">
        <v>2</v>
      </c>
      <c r="N330" s="31"/>
      <c r="O330" s="440"/>
      <c r="P330" s="572"/>
    </row>
    <row r="331" spans="1:16" s="17" customFormat="1" ht="33" customHeight="1" x14ac:dyDescent="0.3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 x14ac:dyDescent="0.3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 x14ac:dyDescent="0.3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 x14ac:dyDescent="0.3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 x14ac:dyDescent="0.3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5838</v>
      </c>
      <c r="P335" s="572"/>
    </row>
    <row r="336" spans="1:16" s="17" customFormat="1" ht="33" customHeight="1" x14ac:dyDescent="0.3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5832</v>
      </c>
      <c r="M336" s="8">
        <v>2</v>
      </c>
      <c r="N336" s="430"/>
      <c r="O336" s="445" t="s">
        <v>5837</v>
      </c>
      <c r="P336" s="572"/>
    </row>
    <row r="337" spans="1:16" s="17" customFormat="1" ht="33" customHeight="1" x14ac:dyDescent="0.3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 x14ac:dyDescent="0.3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5932</v>
      </c>
      <c r="I338" s="463" t="s">
        <v>5879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 x14ac:dyDescent="0.3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5887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5837</v>
      </c>
      <c r="P339" s="572"/>
    </row>
    <row r="340" spans="1:16" s="17" customFormat="1" ht="33" customHeight="1" x14ac:dyDescent="0.3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5888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 x14ac:dyDescent="0.3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5836</v>
      </c>
      <c r="P341" s="572"/>
    </row>
    <row r="342" spans="1:16" s="17" customFormat="1" ht="33" customHeight="1" x14ac:dyDescent="0.3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5884</v>
      </c>
      <c r="J342" s="462" t="s">
        <v>5885</v>
      </c>
      <c r="K342" s="136" t="s">
        <v>3265</v>
      </c>
      <c r="L342" s="468" t="s">
        <v>4550</v>
      </c>
      <c r="M342" s="8">
        <v>3</v>
      </c>
      <c r="N342" s="726"/>
      <c r="O342" s="440" t="s">
        <v>5886</v>
      </c>
      <c r="P342" s="572"/>
    </row>
    <row r="343" spans="1:16" s="17" customFormat="1" ht="33" customHeight="1" x14ac:dyDescent="0.3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 x14ac:dyDescent="0.3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5884</v>
      </c>
      <c r="J344" s="462" t="s">
        <v>5885</v>
      </c>
      <c r="K344" s="136" t="s">
        <v>3265</v>
      </c>
      <c r="L344" s="468" t="s">
        <v>4550</v>
      </c>
      <c r="M344" s="8">
        <v>3</v>
      </c>
      <c r="N344" s="724"/>
      <c r="O344" s="440" t="s">
        <v>5931</v>
      </c>
      <c r="P344" s="572"/>
    </row>
    <row r="345" spans="1:16" s="17" customFormat="1" ht="33" customHeight="1" x14ac:dyDescent="0.3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5880</v>
      </c>
      <c r="G345" s="468" t="s">
        <v>5881</v>
      </c>
      <c r="H345" s="462" t="s">
        <v>5882</v>
      </c>
      <c r="I345" s="463" t="s">
        <v>5830</v>
      </c>
      <c r="J345" s="462" t="s">
        <v>5883</v>
      </c>
      <c r="K345" s="125" t="s">
        <v>5812</v>
      </c>
      <c r="L345" s="468" t="s">
        <v>5819</v>
      </c>
      <c r="M345" s="464">
        <v>3</v>
      </c>
      <c r="N345" s="430"/>
      <c r="O345" s="445" t="s">
        <v>5930</v>
      </c>
      <c r="P345" s="572"/>
    </row>
    <row r="346" spans="1:16" s="17" customFormat="1" ht="33" customHeight="1" x14ac:dyDescent="0.3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5916</v>
      </c>
      <c r="I346" s="726" t="s">
        <v>202</v>
      </c>
      <c r="J346" s="728" t="s">
        <v>5917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 x14ac:dyDescent="0.3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5880</v>
      </c>
      <c r="G347" s="468" t="s">
        <v>5881</v>
      </c>
      <c r="H347" s="462" t="s">
        <v>5882</v>
      </c>
      <c r="I347" s="463" t="s">
        <v>3274</v>
      </c>
      <c r="J347" s="462" t="s">
        <v>5929</v>
      </c>
      <c r="K347" s="125" t="s">
        <v>3265</v>
      </c>
      <c r="L347" s="468" t="s">
        <v>4379</v>
      </c>
      <c r="M347" s="464">
        <v>3</v>
      </c>
      <c r="N347" s="727"/>
      <c r="O347" s="445" t="s">
        <v>5928</v>
      </c>
      <c r="P347" s="572"/>
    </row>
    <row r="348" spans="1:16" s="17" customFormat="1" ht="33" customHeight="1" x14ac:dyDescent="0.3">
      <c r="A348" s="432"/>
      <c r="B348" s="370">
        <v>46171</v>
      </c>
      <c r="C348" s="3" t="s">
        <v>24</v>
      </c>
      <c r="D348" s="3" t="s">
        <v>31</v>
      </c>
      <c r="E348" s="463" t="s">
        <v>5896</v>
      </c>
      <c r="F348" s="463">
        <v>3307</v>
      </c>
      <c r="G348" s="468" t="s">
        <v>1328</v>
      </c>
      <c r="H348" s="462" t="s">
        <v>5897</v>
      </c>
      <c r="I348" s="462" t="s">
        <v>5898</v>
      </c>
      <c r="J348" s="462" t="s">
        <v>686</v>
      </c>
      <c r="K348" s="125" t="s">
        <v>5899</v>
      </c>
      <c r="L348" s="468" t="s">
        <v>5900</v>
      </c>
      <c r="M348" s="464">
        <v>4</v>
      </c>
      <c r="N348" s="726"/>
      <c r="O348" s="445" t="s">
        <v>5927</v>
      </c>
      <c r="P348" s="572"/>
    </row>
    <row r="349" spans="1:16" s="17" customFormat="1" ht="33" customHeight="1" x14ac:dyDescent="0.3">
      <c r="A349" s="433"/>
      <c r="B349" s="401">
        <v>46172</v>
      </c>
      <c r="C349" s="3" t="s">
        <v>24</v>
      </c>
      <c r="D349" s="3" t="s">
        <v>31</v>
      </c>
      <c r="E349" s="463" t="s">
        <v>5896</v>
      </c>
      <c r="F349" s="463">
        <v>3307</v>
      </c>
      <c r="G349" s="468" t="s">
        <v>1328</v>
      </c>
      <c r="H349" s="462" t="s">
        <v>5897</v>
      </c>
      <c r="I349" s="462" t="s">
        <v>5898</v>
      </c>
      <c r="J349" s="462" t="s">
        <v>686</v>
      </c>
      <c r="K349" s="125" t="s">
        <v>5899</v>
      </c>
      <c r="L349" s="468" t="s">
        <v>5900</v>
      </c>
      <c r="M349" s="464">
        <v>4</v>
      </c>
      <c r="N349" s="31"/>
      <c r="O349" s="445" t="s">
        <v>5927</v>
      </c>
      <c r="P349" s="572"/>
    </row>
    <row r="350" spans="1:16" s="17" customFormat="1" ht="33" customHeight="1" x14ac:dyDescent="0.3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 x14ac:dyDescent="0.3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5835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 x14ac:dyDescent="0.3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5834</v>
      </c>
      <c r="H352" s="462" t="s">
        <v>5833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 x14ac:dyDescent="0.3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5880</v>
      </c>
      <c r="G353" s="468" t="s">
        <v>5881</v>
      </c>
      <c r="H353" s="462" t="s">
        <v>5889</v>
      </c>
      <c r="I353" s="463"/>
      <c r="J353" s="462" t="s">
        <v>3074</v>
      </c>
      <c r="K353" s="125" t="s">
        <v>15</v>
      </c>
      <c r="L353" s="468" t="s">
        <v>5914</v>
      </c>
      <c r="M353" s="464">
        <v>1</v>
      </c>
      <c r="N353" s="726"/>
      <c r="O353" s="436" t="s">
        <v>5915</v>
      </c>
      <c r="P353" s="572"/>
    </row>
    <row r="354" spans="1:16" s="17" customFormat="1" ht="33" customHeight="1" x14ac:dyDescent="0.3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5916</v>
      </c>
      <c r="I354" s="726" t="s">
        <v>202</v>
      </c>
      <c r="J354" s="728" t="s">
        <v>5918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 x14ac:dyDescent="0.3">
      <c r="A355" s="432"/>
      <c r="B355" s="370">
        <v>46174</v>
      </c>
      <c r="C355" s="3" t="s">
        <v>5933</v>
      </c>
      <c r="D355" s="3" t="s">
        <v>5934</v>
      </c>
      <c r="E355" s="463" t="s">
        <v>5935</v>
      </c>
      <c r="F355" s="463">
        <v>7064</v>
      </c>
      <c r="G355" s="468" t="s">
        <v>5936</v>
      </c>
      <c r="H355" s="728" t="s">
        <v>5937</v>
      </c>
      <c r="I355" s="726"/>
      <c r="J355" s="728" t="s">
        <v>5938</v>
      </c>
      <c r="K355" s="125" t="s">
        <v>15</v>
      </c>
      <c r="L355" s="16" t="s">
        <v>5914</v>
      </c>
      <c r="M355" s="8">
        <v>4</v>
      </c>
      <c r="N355" s="726"/>
      <c r="O355" s="436" t="s">
        <v>5939</v>
      </c>
      <c r="P355" s="572"/>
    </row>
    <row r="356" spans="1:16" s="17" customFormat="1" ht="33" customHeight="1" x14ac:dyDescent="0.3">
      <c r="A356" s="432"/>
      <c r="B356" s="401">
        <v>46175</v>
      </c>
      <c r="C356" s="3" t="s">
        <v>24</v>
      </c>
      <c r="D356" s="3" t="s">
        <v>31</v>
      </c>
      <c r="E356" s="463" t="s">
        <v>5896</v>
      </c>
      <c r="F356" s="463">
        <v>3307</v>
      </c>
      <c r="G356" s="468" t="s">
        <v>1328</v>
      </c>
      <c r="H356" s="462" t="s">
        <v>5897</v>
      </c>
      <c r="I356" s="462" t="s">
        <v>5898</v>
      </c>
      <c r="J356" s="462" t="s">
        <v>686</v>
      </c>
      <c r="K356" s="125" t="s">
        <v>5899</v>
      </c>
      <c r="L356" s="468" t="s">
        <v>5900</v>
      </c>
      <c r="M356" s="464">
        <v>4</v>
      </c>
      <c r="N356" s="430"/>
      <c r="O356" s="445" t="s">
        <v>5927</v>
      </c>
      <c r="P356" s="572"/>
    </row>
    <row r="357" spans="1:16" s="17" customFormat="1" ht="33" customHeight="1" x14ac:dyDescent="0.3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5902</v>
      </c>
      <c r="K357" s="125" t="s">
        <v>3265</v>
      </c>
      <c r="L357" s="468" t="s">
        <v>4379</v>
      </c>
      <c r="M357" s="464">
        <v>2</v>
      </c>
      <c r="N357" s="430"/>
      <c r="O357" s="436" t="s">
        <v>5903</v>
      </c>
      <c r="P357" s="572"/>
    </row>
    <row r="358" spans="1:16" s="17" customFormat="1" ht="33" customHeight="1" x14ac:dyDescent="0.3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5983</v>
      </c>
      <c r="G358" s="468" t="s">
        <v>4091</v>
      </c>
      <c r="H358" s="462" t="s">
        <v>6005</v>
      </c>
      <c r="I358" s="463" t="s">
        <v>5904</v>
      </c>
      <c r="J358" s="462" t="s">
        <v>5885</v>
      </c>
      <c r="K358" s="136" t="s">
        <v>3265</v>
      </c>
      <c r="L358" s="468" t="s">
        <v>4550</v>
      </c>
      <c r="M358" s="8">
        <v>2</v>
      </c>
      <c r="N358" s="726"/>
      <c r="O358" s="436" t="s">
        <v>5905</v>
      </c>
      <c r="P358" s="572"/>
    </row>
    <row r="359" spans="1:16" s="17" customFormat="1" ht="33" customHeight="1" x14ac:dyDescent="0.3">
      <c r="A359" s="432"/>
      <c r="B359" s="370">
        <v>46175</v>
      </c>
      <c r="C359" s="3" t="s">
        <v>5933</v>
      </c>
      <c r="D359" s="3" t="s">
        <v>5934</v>
      </c>
      <c r="E359" s="463" t="s">
        <v>5935</v>
      </c>
      <c r="F359" s="463">
        <v>7064</v>
      </c>
      <c r="G359" s="468" t="s">
        <v>5936</v>
      </c>
      <c r="H359" s="728" t="s">
        <v>5937</v>
      </c>
      <c r="I359" s="726"/>
      <c r="J359" s="728" t="s">
        <v>5938</v>
      </c>
      <c r="K359" s="125" t="s">
        <v>15</v>
      </c>
      <c r="L359" s="16" t="s">
        <v>5914</v>
      </c>
      <c r="M359" s="8">
        <v>4</v>
      </c>
      <c r="N359" s="726"/>
      <c r="O359" s="436" t="s">
        <v>5939</v>
      </c>
      <c r="P359" s="572"/>
    </row>
    <row r="360" spans="1:16" s="17" customFormat="1" ht="33" customHeight="1" x14ac:dyDescent="0.3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6052</v>
      </c>
      <c r="I360" s="773" t="s">
        <v>6053</v>
      </c>
      <c r="J360" s="775" t="s">
        <v>6054</v>
      </c>
      <c r="K360" s="125" t="s">
        <v>6050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 x14ac:dyDescent="0.3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 x14ac:dyDescent="0.3">
      <c r="A362" s="432"/>
      <c r="B362" s="401">
        <v>46176</v>
      </c>
      <c r="C362" s="3" t="s">
        <v>24</v>
      </c>
      <c r="D362" s="3" t="s">
        <v>31</v>
      </c>
      <c r="E362" s="463" t="s">
        <v>5896</v>
      </c>
      <c r="F362" s="463">
        <v>3307</v>
      </c>
      <c r="G362" s="468" t="s">
        <v>1328</v>
      </c>
      <c r="H362" s="462" t="s">
        <v>5897</v>
      </c>
      <c r="I362" s="462" t="s">
        <v>5898</v>
      </c>
      <c r="J362" s="462" t="s">
        <v>686</v>
      </c>
      <c r="K362" s="125" t="s">
        <v>5899</v>
      </c>
      <c r="L362" s="468" t="s">
        <v>5900</v>
      </c>
      <c r="M362" s="464">
        <v>4</v>
      </c>
      <c r="N362" s="726"/>
      <c r="O362" s="445" t="s">
        <v>5927</v>
      </c>
      <c r="P362" s="572"/>
    </row>
    <row r="363" spans="1:16" s="17" customFormat="1" ht="33" customHeight="1" x14ac:dyDescent="0.3">
      <c r="A363" s="432"/>
      <c r="B363" s="401">
        <v>46177</v>
      </c>
      <c r="C363" s="3" t="s">
        <v>5906</v>
      </c>
      <c r="D363" s="3" t="s">
        <v>14</v>
      </c>
      <c r="E363" s="463" t="s">
        <v>5907</v>
      </c>
      <c r="F363" s="463" t="s">
        <v>5908</v>
      </c>
      <c r="G363" s="468" t="s">
        <v>6028</v>
      </c>
      <c r="H363" s="462" t="s">
        <v>5910</v>
      </c>
      <c r="I363" s="463" t="s">
        <v>5911</v>
      </c>
      <c r="J363" s="463" t="s">
        <v>6002</v>
      </c>
      <c r="K363" s="125" t="s">
        <v>5899</v>
      </c>
      <c r="L363" s="468" t="s">
        <v>5913</v>
      </c>
      <c r="M363" s="464">
        <v>4</v>
      </c>
      <c r="N363" s="31"/>
      <c r="O363" s="440" t="s">
        <v>6003</v>
      </c>
      <c r="P363" s="572"/>
    </row>
    <row r="364" spans="1:16" s="17" customFormat="1" ht="33" customHeight="1" x14ac:dyDescent="0.3">
      <c r="A364" s="432"/>
      <c r="B364" s="401">
        <v>46177</v>
      </c>
      <c r="C364" s="3" t="s">
        <v>24</v>
      </c>
      <c r="D364" s="3" t="s">
        <v>31</v>
      </c>
      <c r="E364" s="463" t="s">
        <v>5896</v>
      </c>
      <c r="F364" s="463">
        <v>3307</v>
      </c>
      <c r="G364" s="468" t="s">
        <v>1328</v>
      </c>
      <c r="H364" s="462" t="s">
        <v>5897</v>
      </c>
      <c r="I364" s="462" t="s">
        <v>5898</v>
      </c>
      <c r="J364" s="462" t="s">
        <v>686</v>
      </c>
      <c r="K364" s="125" t="s">
        <v>5899</v>
      </c>
      <c r="L364" s="468" t="s">
        <v>5900</v>
      </c>
      <c r="M364" s="464">
        <v>4</v>
      </c>
      <c r="N364" s="31"/>
      <c r="O364" s="445" t="s">
        <v>5927</v>
      </c>
      <c r="P364" s="572"/>
    </row>
    <row r="365" spans="1:16" s="17" customFormat="1" ht="33" customHeight="1" x14ac:dyDescent="0.3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6030</v>
      </c>
      <c r="H365" s="775" t="s">
        <v>6055</v>
      </c>
      <c r="I365" s="773" t="s">
        <v>6053</v>
      </c>
      <c r="J365" s="775" t="s">
        <v>6056</v>
      </c>
      <c r="K365" s="125" t="s">
        <v>6050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 x14ac:dyDescent="0.3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6057</v>
      </c>
      <c r="I366" s="773" t="s">
        <v>6053</v>
      </c>
      <c r="J366" s="775" t="s">
        <v>6058</v>
      </c>
      <c r="K366" s="125" t="s">
        <v>6059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 x14ac:dyDescent="0.3">
      <c r="A367" s="432"/>
      <c r="B367" s="401">
        <v>46178</v>
      </c>
      <c r="C367" s="3" t="s">
        <v>24</v>
      </c>
      <c r="D367" s="3" t="s">
        <v>31</v>
      </c>
      <c r="E367" s="463" t="s">
        <v>5896</v>
      </c>
      <c r="F367" s="463">
        <v>3307</v>
      </c>
      <c r="G367" s="468" t="s">
        <v>1328</v>
      </c>
      <c r="H367" s="462" t="s">
        <v>5897</v>
      </c>
      <c r="I367" s="462" t="s">
        <v>5898</v>
      </c>
      <c r="J367" s="462" t="s">
        <v>686</v>
      </c>
      <c r="K367" s="125" t="s">
        <v>5899</v>
      </c>
      <c r="L367" s="468" t="s">
        <v>5900</v>
      </c>
      <c r="M367" s="464">
        <v>4</v>
      </c>
      <c r="N367" s="31"/>
      <c r="O367" s="445" t="s">
        <v>5927</v>
      </c>
      <c r="P367" s="572"/>
    </row>
    <row r="368" spans="1:16" s="17" customFormat="1" ht="33" customHeight="1" x14ac:dyDescent="0.3">
      <c r="A368" s="432"/>
      <c r="B368" s="370">
        <v>46178</v>
      </c>
      <c r="C368" s="4" t="s">
        <v>5919</v>
      </c>
      <c r="D368" s="4" t="s">
        <v>5920</v>
      </c>
      <c r="E368" s="31" t="s">
        <v>5921</v>
      </c>
      <c r="F368" s="31" t="s">
        <v>5922</v>
      </c>
      <c r="G368" s="16" t="s">
        <v>553</v>
      </c>
      <c r="H368" s="193" t="s">
        <v>5980</v>
      </c>
      <c r="I368" s="31"/>
      <c r="J368" s="728" t="s">
        <v>5926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 x14ac:dyDescent="0.3">
      <c r="A369" s="432"/>
      <c r="B369" s="370">
        <v>46178</v>
      </c>
      <c r="C369" s="4" t="s">
        <v>5919</v>
      </c>
      <c r="D369" s="4" t="s">
        <v>5920</v>
      </c>
      <c r="E369" s="726" t="s">
        <v>5921</v>
      </c>
      <c r="F369" s="726" t="s">
        <v>5922</v>
      </c>
      <c r="G369" s="16" t="s">
        <v>5923</v>
      </c>
      <c r="H369" s="728" t="s">
        <v>5925</v>
      </c>
      <c r="I369" s="726"/>
      <c r="J369" s="728" t="s">
        <v>5926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 x14ac:dyDescent="0.3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6028</v>
      </c>
      <c r="H370" s="462" t="s">
        <v>5910</v>
      </c>
      <c r="I370" s="463" t="s">
        <v>90</v>
      </c>
      <c r="J370" s="463" t="s">
        <v>6027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 x14ac:dyDescent="0.3">
      <c r="A371" s="432"/>
      <c r="B371" s="370">
        <v>46178</v>
      </c>
      <c r="C371" s="4" t="s">
        <v>21</v>
      </c>
      <c r="D371" s="4" t="s">
        <v>6013</v>
      </c>
      <c r="E371" s="757" t="s">
        <v>6014</v>
      </c>
      <c r="F371" s="463" t="s">
        <v>4939</v>
      </c>
      <c r="G371" s="16" t="s">
        <v>6030</v>
      </c>
      <c r="H371" s="758" t="s">
        <v>6016</v>
      </c>
      <c r="I371" s="757" t="s">
        <v>6060</v>
      </c>
      <c r="J371" s="758" t="s">
        <v>6029</v>
      </c>
      <c r="K371" s="125" t="s">
        <v>6017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 x14ac:dyDescent="0.3">
      <c r="A372" s="433"/>
      <c r="B372" s="401">
        <v>46179</v>
      </c>
      <c r="C372" s="3" t="s">
        <v>24</v>
      </c>
      <c r="D372" s="3" t="s">
        <v>31</v>
      </c>
      <c r="E372" s="463" t="s">
        <v>5896</v>
      </c>
      <c r="F372" s="463">
        <v>3307</v>
      </c>
      <c r="G372" s="468" t="s">
        <v>1328</v>
      </c>
      <c r="H372" s="462" t="s">
        <v>5897</v>
      </c>
      <c r="I372" s="462" t="s">
        <v>5898</v>
      </c>
      <c r="J372" s="462" t="s">
        <v>686</v>
      </c>
      <c r="K372" s="125" t="s">
        <v>5899</v>
      </c>
      <c r="L372" s="468" t="s">
        <v>5900</v>
      </c>
      <c r="M372" s="464">
        <v>4</v>
      </c>
      <c r="N372" s="31"/>
      <c r="O372" s="445" t="s">
        <v>5927</v>
      </c>
      <c r="P372" s="572"/>
    </row>
    <row r="373" spans="1:16" s="17" customFormat="1" ht="33" customHeight="1" x14ac:dyDescent="0.3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 x14ac:dyDescent="0.3">
      <c r="A374" s="617" t="s">
        <v>4505</v>
      </c>
      <c r="B374" s="401">
        <v>46181</v>
      </c>
      <c r="C374" s="3" t="s">
        <v>6022</v>
      </c>
      <c r="D374" s="3" t="s">
        <v>6023</v>
      </c>
      <c r="E374" s="463" t="s">
        <v>6024</v>
      </c>
      <c r="F374" s="462" t="s">
        <v>6033</v>
      </c>
      <c r="G374" s="468" t="s">
        <v>6021</v>
      </c>
      <c r="H374" s="462" t="s">
        <v>6031</v>
      </c>
      <c r="I374" s="773" t="s">
        <v>90</v>
      </c>
      <c r="J374" s="608" t="s">
        <v>6025</v>
      </c>
      <c r="K374" s="136" t="s">
        <v>15</v>
      </c>
      <c r="L374" s="16" t="s">
        <v>6026</v>
      </c>
      <c r="M374" s="8">
        <v>2</v>
      </c>
      <c r="N374" s="608" t="s">
        <v>6105</v>
      </c>
      <c r="O374" s="439" t="s">
        <v>6032</v>
      </c>
      <c r="P374" s="572"/>
    </row>
    <row r="375" spans="1:16" s="17" customFormat="1" ht="33" customHeight="1" x14ac:dyDescent="0.3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6033</v>
      </c>
      <c r="G375" s="16" t="s">
        <v>37</v>
      </c>
      <c r="H375" s="775" t="s">
        <v>6011</v>
      </c>
      <c r="I375" s="773" t="s">
        <v>90</v>
      </c>
      <c r="J375" s="773" t="s">
        <v>6025</v>
      </c>
      <c r="K375" s="136" t="s">
        <v>15</v>
      </c>
      <c r="L375" s="16" t="s">
        <v>6026</v>
      </c>
      <c r="M375" s="8">
        <v>2</v>
      </c>
      <c r="N375" s="773"/>
      <c r="O375" s="439" t="s">
        <v>6032</v>
      </c>
      <c r="P375" s="572"/>
    </row>
    <row r="376" spans="1:16" s="484" customFormat="1" ht="33" customHeight="1" x14ac:dyDescent="0.3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6008</v>
      </c>
      <c r="G376" s="468" t="s">
        <v>6009</v>
      </c>
      <c r="H376" s="462" t="s">
        <v>6107</v>
      </c>
      <c r="I376" s="463" t="s">
        <v>6020</v>
      </c>
      <c r="J376" s="463" t="s">
        <v>6106</v>
      </c>
      <c r="K376" s="136" t="s">
        <v>5991</v>
      </c>
      <c r="L376" s="468" t="s">
        <v>5900</v>
      </c>
      <c r="M376" s="464">
        <v>3</v>
      </c>
      <c r="N376" s="463"/>
      <c r="O376" s="466" t="s">
        <v>6110</v>
      </c>
      <c r="P376" s="763"/>
    </row>
    <row r="377" spans="1:16" s="17" customFormat="1" ht="33" customHeight="1" x14ac:dyDescent="0.3">
      <c r="A377" s="618"/>
      <c r="B377" s="370">
        <v>46181</v>
      </c>
      <c r="C377" s="3" t="s">
        <v>24</v>
      </c>
      <c r="D377" s="3" t="s">
        <v>31</v>
      </c>
      <c r="E377" s="463" t="s">
        <v>5896</v>
      </c>
      <c r="F377" s="463">
        <v>3307</v>
      </c>
      <c r="G377" s="468" t="s">
        <v>1328</v>
      </c>
      <c r="H377" s="462" t="s">
        <v>5897</v>
      </c>
      <c r="I377" s="462" t="s">
        <v>5898</v>
      </c>
      <c r="J377" s="462" t="s">
        <v>686</v>
      </c>
      <c r="K377" s="125" t="s">
        <v>5899</v>
      </c>
      <c r="L377" s="468" t="s">
        <v>5900</v>
      </c>
      <c r="M377" s="464">
        <v>4</v>
      </c>
      <c r="N377" s="609"/>
      <c r="O377" s="438"/>
      <c r="P377" s="572"/>
    </row>
    <row r="378" spans="1:16" s="17" customFormat="1" ht="33" customHeight="1" x14ac:dyDescent="0.3">
      <c r="A378" s="432"/>
      <c r="B378" s="370">
        <v>46181</v>
      </c>
      <c r="C378" s="3" t="s">
        <v>6043</v>
      </c>
      <c r="D378" s="3" t="s">
        <v>6044</v>
      </c>
      <c r="E378" s="463" t="s">
        <v>6045</v>
      </c>
      <c r="F378" s="463" t="s">
        <v>6046</v>
      </c>
      <c r="G378" s="468" t="s">
        <v>6047</v>
      </c>
      <c r="H378" s="462" t="s">
        <v>6048</v>
      </c>
      <c r="I378" s="463"/>
      <c r="J378" s="462" t="s">
        <v>6049</v>
      </c>
      <c r="K378" s="125" t="s">
        <v>6050</v>
      </c>
      <c r="L378" s="468" t="s">
        <v>5262</v>
      </c>
      <c r="M378" s="464">
        <v>1</v>
      </c>
      <c r="N378" s="773"/>
      <c r="O378" s="445" t="s">
        <v>6051</v>
      </c>
      <c r="P378" s="572"/>
    </row>
    <row r="379" spans="1:16" s="17" customFormat="1" ht="33" customHeight="1" x14ac:dyDescent="0.3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6061</v>
      </c>
      <c r="I379" s="463" t="s">
        <v>6062</v>
      </c>
      <c r="J379" s="462" t="s">
        <v>6063</v>
      </c>
      <c r="K379" s="125" t="s">
        <v>6064</v>
      </c>
      <c r="L379" s="468">
        <v>9080</v>
      </c>
      <c r="M379" s="464">
        <v>2</v>
      </c>
      <c r="N379" s="773"/>
      <c r="O379" s="445" t="s">
        <v>6078</v>
      </c>
      <c r="P379" s="572"/>
    </row>
    <row r="380" spans="1:16" s="484" customFormat="1" ht="33" customHeight="1" x14ac:dyDescent="0.3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6008</v>
      </c>
      <c r="G380" s="468" t="s">
        <v>6009</v>
      </c>
      <c r="H380" s="462" t="s">
        <v>6108</v>
      </c>
      <c r="I380" s="463" t="s">
        <v>6020</v>
      </c>
      <c r="J380" s="463" t="s">
        <v>6109</v>
      </c>
      <c r="K380" s="136" t="s">
        <v>15</v>
      </c>
      <c r="L380" s="468" t="s">
        <v>5262</v>
      </c>
      <c r="M380" s="464">
        <v>2</v>
      </c>
      <c r="N380" s="465"/>
      <c r="O380" s="445" t="s">
        <v>6078</v>
      </c>
      <c r="P380" s="763"/>
    </row>
    <row r="381" spans="1:16" s="17" customFormat="1" ht="33" customHeight="1" x14ac:dyDescent="0.3">
      <c r="A381" s="432"/>
      <c r="B381" s="401">
        <v>46182</v>
      </c>
      <c r="C381" s="3" t="s">
        <v>24</v>
      </c>
      <c r="D381" s="3" t="s">
        <v>31</v>
      </c>
      <c r="E381" s="463" t="s">
        <v>5896</v>
      </c>
      <c r="F381" s="463">
        <v>3307</v>
      </c>
      <c r="G381" s="468" t="s">
        <v>1328</v>
      </c>
      <c r="H381" s="462" t="s">
        <v>5897</v>
      </c>
      <c r="I381" s="462" t="s">
        <v>5898</v>
      </c>
      <c r="J381" s="462" t="s">
        <v>686</v>
      </c>
      <c r="K381" s="125" t="s">
        <v>5899</v>
      </c>
      <c r="L381" s="468" t="s">
        <v>5900</v>
      </c>
      <c r="M381" s="464">
        <v>4</v>
      </c>
      <c r="N381" s="726"/>
      <c r="O381" s="438"/>
      <c r="P381" s="572"/>
    </row>
    <row r="382" spans="1:16" s="17" customFormat="1" ht="33" customHeight="1" x14ac:dyDescent="0.3">
      <c r="A382" s="432"/>
      <c r="B382" s="513">
        <v>46182</v>
      </c>
      <c r="C382" s="183" t="s">
        <v>21</v>
      </c>
      <c r="D382" s="183" t="s">
        <v>6013</v>
      </c>
      <c r="E382" s="316" t="s">
        <v>6014</v>
      </c>
      <c r="F382" s="316" t="s">
        <v>4939</v>
      </c>
      <c r="G382" s="387" t="s">
        <v>6015</v>
      </c>
      <c r="H382" s="238" t="s">
        <v>6019</v>
      </c>
      <c r="I382" s="316"/>
      <c r="J382" s="238"/>
      <c r="K382" s="239" t="s">
        <v>6017</v>
      </c>
      <c r="L382" s="387" t="s">
        <v>6018</v>
      </c>
      <c r="M382" s="754">
        <v>1</v>
      </c>
      <c r="N382" s="757"/>
      <c r="O382" s="445"/>
      <c r="P382" s="572"/>
    </row>
    <row r="383" spans="1:16" s="17" customFormat="1" ht="33" customHeight="1" x14ac:dyDescent="0.3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6028</v>
      </c>
      <c r="H383" s="775" t="s">
        <v>6067</v>
      </c>
      <c r="I383" s="773" t="s">
        <v>6073</v>
      </c>
      <c r="J383" s="775" t="s">
        <v>6072</v>
      </c>
      <c r="K383" s="125" t="s">
        <v>6068</v>
      </c>
      <c r="L383" s="16" t="s">
        <v>6069</v>
      </c>
      <c r="M383" s="8">
        <v>2</v>
      </c>
      <c r="N383" s="773"/>
      <c r="O383" s="438"/>
      <c r="P383" s="572"/>
    </row>
    <row r="384" spans="1:16" s="17" customFormat="1" ht="33" customHeight="1" x14ac:dyDescent="0.3">
      <c r="A384" s="432"/>
      <c r="B384" s="401">
        <v>46183</v>
      </c>
      <c r="C384" s="3" t="s">
        <v>21</v>
      </c>
      <c r="D384" s="3" t="s">
        <v>14</v>
      </c>
      <c r="E384" s="482" t="s">
        <v>149</v>
      </c>
      <c r="F384" s="463" t="s">
        <v>4090</v>
      </c>
      <c r="G384" s="468" t="s">
        <v>4091</v>
      </c>
      <c r="H384" s="462" t="s">
        <v>6108</v>
      </c>
      <c r="I384" s="463" t="s">
        <v>6020</v>
      </c>
      <c r="J384" s="463" t="s">
        <v>6109</v>
      </c>
      <c r="K384" s="136" t="s">
        <v>15</v>
      </c>
      <c r="L384" s="468" t="s">
        <v>5262</v>
      </c>
      <c r="M384" s="464">
        <v>2</v>
      </c>
      <c r="N384" s="773"/>
      <c r="O384" s="438"/>
      <c r="P384" s="572"/>
    </row>
    <row r="385" spans="1:16" s="17" customFormat="1" ht="33" customHeight="1" x14ac:dyDescent="0.3">
      <c r="A385" s="432"/>
      <c r="B385" s="401">
        <v>46183</v>
      </c>
      <c r="C385" s="3" t="s">
        <v>21</v>
      </c>
      <c r="D385" s="3" t="s">
        <v>14</v>
      </c>
      <c r="E385" s="463" t="s">
        <v>107</v>
      </c>
      <c r="F385" s="463" t="s">
        <v>3386</v>
      </c>
      <c r="G385" s="468" t="s">
        <v>6028</v>
      </c>
      <c r="H385" s="775" t="s">
        <v>6071</v>
      </c>
      <c r="I385" s="773"/>
      <c r="J385" s="775" t="s">
        <v>6132</v>
      </c>
      <c r="K385" s="125" t="s">
        <v>6068</v>
      </c>
      <c r="L385" s="16" t="s">
        <v>6069</v>
      </c>
      <c r="M385" s="8">
        <v>1</v>
      </c>
      <c r="N385" s="773" t="s">
        <v>6104</v>
      </c>
      <c r="O385" s="445" t="s">
        <v>6131</v>
      </c>
      <c r="P385" s="572"/>
    </row>
    <row r="386" spans="1:16" s="17" customFormat="1" ht="33" customHeight="1" x14ac:dyDescent="0.3">
      <c r="A386" s="432"/>
      <c r="B386" s="401">
        <v>46183</v>
      </c>
      <c r="C386" s="3" t="s">
        <v>21</v>
      </c>
      <c r="D386" s="3" t="s">
        <v>14</v>
      </c>
      <c r="E386" s="463" t="s">
        <v>1893</v>
      </c>
      <c r="F386" s="463" t="s">
        <v>4939</v>
      </c>
      <c r="G386" s="468" t="s">
        <v>482</v>
      </c>
      <c r="H386" s="462" t="s">
        <v>6061</v>
      </c>
      <c r="I386" s="463" t="s">
        <v>6062</v>
      </c>
      <c r="J386" s="462" t="s">
        <v>6065</v>
      </c>
      <c r="K386" s="125" t="s">
        <v>6064</v>
      </c>
      <c r="L386" s="468">
        <v>9080</v>
      </c>
      <c r="M386" s="464">
        <v>4</v>
      </c>
      <c r="N386" s="773"/>
      <c r="O386" s="438"/>
      <c r="P386" s="572"/>
    </row>
    <row r="387" spans="1:16" s="17" customFormat="1" ht="33" customHeight="1" x14ac:dyDescent="0.3">
      <c r="A387" s="618"/>
      <c r="B387" s="401">
        <v>46183</v>
      </c>
      <c r="C387" s="3" t="s">
        <v>24</v>
      </c>
      <c r="D387" s="3" t="s">
        <v>31</v>
      </c>
      <c r="E387" s="463" t="s">
        <v>6006</v>
      </c>
      <c r="F387" s="463">
        <v>3306</v>
      </c>
      <c r="G387" s="468" t="s">
        <v>1328</v>
      </c>
      <c r="H387" s="462" t="s">
        <v>5897</v>
      </c>
      <c r="I387" s="462" t="s">
        <v>5898</v>
      </c>
      <c r="J387" s="462" t="s">
        <v>686</v>
      </c>
      <c r="K387" s="125" t="s">
        <v>5899</v>
      </c>
      <c r="L387" s="468" t="s">
        <v>5900</v>
      </c>
      <c r="M387" s="464">
        <v>4</v>
      </c>
      <c r="N387" s="609"/>
      <c r="O387" s="438"/>
      <c r="P387" s="572"/>
    </row>
    <row r="388" spans="1:16" s="17" customFormat="1" ht="33" customHeight="1" x14ac:dyDescent="0.3">
      <c r="A388" s="618"/>
      <c r="B388" s="401">
        <v>46183</v>
      </c>
      <c r="C388" s="3" t="s">
        <v>21</v>
      </c>
      <c r="D388" s="3" t="s">
        <v>14</v>
      </c>
      <c r="E388" s="463" t="s">
        <v>2241</v>
      </c>
      <c r="F388" s="753" t="s">
        <v>5794</v>
      </c>
      <c r="G388" s="16" t="s">
        <v>2963</v>
      </c>
      <c r="H388" s="612" t="s">
        <v>6012</v>
      </c>
      <c r="I388" s="608" t="s">
        <v>5994</v>
      </c>
      <c r="J388" s="773"/>
      <c r="K388" s="136" t="s">
        <v>15</v>
      </c>
      <c r="L388" s="16" t="s">
        <v>6026</v>
      </c>
      <c r="M388" s="8">
        <v>1</v>
      </c>
      <c r="N388" s="608"/>
      <c r="O388" s="440"/>
      <c r="P388" s="572"/>
    </row>
    <row r="389" spans="1:16" s="17" customFormat="1" ht="33" customHeight="1" x14ac:dyDescent="0.3">
      <c r="A389" s="432"/>
      <c r="B389" s="370">
        <v>46184</v>
      </c>
      <c r="C389" s="3" t="s">
        <v>21</v>
      </c>
      <c r="D389" s="3" t="s">
        <v>14</v>
      </c>
      <c r="E389" s="463" t="s">
        <v>1893</v>
      </c>
      <c r="F389" s="463" t="s">
        <v>4939</v>
      </c>
      <c r="G389" s="468" t="s">
        <v>482</v>
      </c>
      <c r="H389" s="462" t="s">
        <v>6061</v>
      </c>
      <c r="I389" s="463" t="s">
        <v>6062</v>
      </c>
      <c r="J389" s="462" t="s">
        <v>6065</v>
      </c>
      <c r="K389" s="125" t="s">
        <v>6064</v>
      </c>
      <c r="L389" s="468">
        <v>9080</v>
      </c>
      <c r="M389" s="464">
        <v>4</v>
      </c>
      <c r="N389" s="773"/>
      <c r="O389" s="440"/>
      <c r="P389" s="572"/>
    </row>
    <row r="390" spans="1:16" s="17" customFormat="1" ht="33" customHeight="1" x14ac:dyDescent="0.3">
      <c r="A390" s="618"/>
      <c r="B390" s="370">
        <v>46184</v>
      </c>
      <c r="C390" s="3" t="s">
        <v>24</v>
      </c>
      <c r="D390" s="3" t="s">
        <v>31</v>
      </c>
      <c r="E390" s="463" t="s">
        <v>5901</v>
      </c>
      <c r="F390" s="463">
        <v>3306</v>
      </c>
      <c r="G390" s="468" t="s">
        <v>1328</v>
      </c>
      <c r="H390" s="462" t="s">
        <v>5897</v>
      </c>
      <c r="I390" s="462" t="s">
        <v>5898</v>
      </c>
      <c r="J390" s="462" t="s">
        <v>686</v>
      </c>
      <c r="K390" s="125" t="s">
        <v>5899</v>
      </c>
      <c r="L390" s="468" t="s">
        <v>5900</v>
      </c>
      <c r="M390" s="464">
        <v>4</v>
      </c>
      <c r="N390" s="609"/>
      <c r="O390" s="438"/>
      <c r="P390" s="572"/>
    </row>
    <row r="391" spans="1:16" s="17" customFormat="1" ht="33" customHeight="1" x14ac:dyDescent="0.3">
      <c r="A391" s="432"/>
      <c r="B391" s="370">
        <v>46184</v>
      </c>
      <c r="C391" s="4" t="s">
        <v>21</v>
      </c>
      <c r="D391" s="4" t="s">
        <v>14</v>
      </c>
      <c r="E391" s="773" t="s">
        <v>107</v>
      </c>
      <c r="F391" s="773" t="s">
        <v>2959</v>
      </c>
      <c r="G391" s="16" t="s">
        <v>376</v>
      </c>
      <c r="H391" s="775" t="s">
        <v>6111</v>
      </c>
      <c r="I391" s="773" t="s">
        <v>6035</v>
      </c>
      <c r="J391" s="775" t="s">
        <v>6036</v>
      </c>
      <c r="K391" s="125" t="s">
        <v>15</v>
      </c>
      <c r="L391" s="16">
        <v>9080</v>
      </c>
      <c r="M391" s="8">
        <v>2</v>
      </c>
      <c r="N391" s="773"/>
      <c r="O391" s="438"/>
      <c r="P391" s="572"/>
    </row>
    <row r="392" spans="1:16" s="17" customFormat="1" ht="33" customHeight="1" x14ac:dyDescent="0.3">
      <c r="A392" s="618"/>
      <c r="B392" s="401">
        <v>46184</v>
      </c>
      <c r="C392" s="4" t="s">
        <v>29</v>
      </c>
      <c r="D392" s="4" t="s">
        <v>5890</v>
      </c>
      <c r="E392" s="291" t="s">
        <v>5891</v>
      </c>
      <c r="F392" s="608" t="s">
        <v>5892</v>
      </c>
      <c r="G392" s="16" t="s">
        <v>5893</v>
      </c>
      <c r="H392" s="612" t="s">
        <v>5894</v>
      </c>
      <c r="I392" s="608" t="s">
        <v>5895</v>
      </c>
      <c r="J392" s="608"/>
      <c r="K392" s="125"/>
      <c r="L392" s="16" t="s">
        <v>6034</v>
      </c>
      <c r="M392" s="8">
        <v>1</v>
      </c>
      <c r="N392" s="608"/>
      <c r="O392" s="440"/>
      <c r="P392" s="572"/>
    </row>
    <row r="393" spans="1:16" s="17" customFormat="1" ht="33" customHeight="1" x14ac:dyDescent="0.3">
      <c r="A393" s="618"/>
      <c r="B393" s="401">
        <v>46185</v>
      </c>
      <c r="C393" s="3" t="s">
        <v>24</v>
      </c>
      <c r="D393" s="3" t="s">
        <v>31</v>
      </c>
      <c r="E393" s="463" t="s">
        <v>5901</v>
      </c>
      <c r="F393" s="463">
        <v>3306</v>
      </c>
      <c r="G393" s="468" t="s">
        <v>1328</v>
      </c>
      <c r="H393" s="462" t="s">
        <v>5897</v>
      </c>
      <c r="I393" s="462" t="s">
        <v>5898</v>
      </c>
      <c r="J393" s="462" t="s">
        <v>686</v>
      </c>
      <c r="K393" s="125" t="s">
        <v>5899</v>
      </c>
      <c r="L393" s="468" t="s">
        <v>5900</v>
      </c>
      <c r="M393" s="464">
        <v>4</v>
      </c>
      <c r="N393" s="608" t="s">
        <v>6103</v>
      </c>
      <c r="O393" s="437"/>
      <c r="P393" s="572"/>
    </row>
    <row r="394" spans="1:16" s="17" customFormat="1" ht="33" customHeight="1" x14ac:dyDescent="0.3">
      <c r="A394" s="432"/>
      <c r="B394" s="401">
        <v>46185</v>
      </c>
      <c r="C394" s="3" t="s">
        <v>21</v>
      </c>
      <c r="D394" s="3" t="s">
        <v>14</v>
      </c>
      <c r="E394" s="463" t="s">
        <v>1893</v>
      </c>
      <c r="F394" s="463" t="s">
        <v>4939</v>
      </c>
      <c r="G394" s="468" t="s">
        <v>482</v>
      </c>
      <c r="H394" s="462" t="s">
        <v>6061</v>
      </c>
      <c r="I394" s="463" t="s">
        <v>6062</v>
      </c>
      <c r="J394" s="462" t="s">
        <v>6065</v>
      </c>
      <c r="K394" s="125" t="s">
        <v>6064</v>
      </c>
      <c r="L394" s="468">
        <v>9080</v>
      </c>
      <c r="M394" s="464">
        <v>4</v>
      </c>
      <c r="N394" s="773"/>
      <c r="O394" s="437"/>
      <c r="P394" s="572"/>
    </row>
    <row r="395" spans="1:16" s="17" customFormat="1" ht="33" customHeight="1" x14ac:dyDescent="0.3">
      <c r="A395" s="618"/>
      <c r="B395" s="401">
        <v>46185</v>
      </c>
      <c r="C395" s="3" t="s">
        <v>124</v>
      </c>
      <c r="D395" s="3" t="s">
        <v>6037</v>
      </c>
      <c r="E395" s="463" t="s">
        <v>6038</v>
      </c>
      <c r="F395" s="463" t="s">
        <v>6039</v>
      </c>
      <c r="G395" s="468" t="s">
        <v>6040</v>
      </c>
      <c r="H395" s="462" t="s">
        <v>6041</v>
      </c>
      <c r="I395" s="463" t="s">
        <v>6042</v>
      </c>
      <c r="J395" s="468" t="s">
        <v>6066</v>
      </c>
      <c r="K395" s="468" t="s">
        <v>6066</v>
      </c>
      <c r="L395" s="468" t="s">
        <v>6066</v>
      </c>
      <c r="M395" s="468" t="s">
        <v>6066</v>
      </c>
      <c r="N395" s="608"/>
      <c r="O395" s="436"/>
      <c r="P395" s="572"/>
    </row>
    <row r="396" spans="1:16" s="17" customFormat="1" ht="33" customHeight="1" x14ac:dyDescent="0.3">
      <c r="A396" s="619"/>
      <c r="B396" s="370">
        <v>46186</v>
      </c>
      <c r="C396" s="4" t="s">
        <v>6113</v>
      </c>
      <c r="D396" s="4" t="s">
        <v>6044</v>
      </c>
      <c r="E396" s="608" t="s">
        <v>6114</v>
      </c>
      <c r="F396" s="608" t="s">
        <v>6115</v>
      </c>
      <c r="G396" s="16" t="s">
        <v>6116</v>
      </c>
      <c r="H396" s="612" t="s">
        <v>6117</v>
      </c>
      <c r="I396" s="612"/>
      <c r="J396" s="612"/>
      <c r="K396" s="125"/>
      <c r="L396" s="16"/>
      <c r="M396" s="8"/>
      <c r="N396" s="612"/>
      <c r="O396" s="446"/>
      <c r="P396" s="572"/>
    </row>
    <row r="397" spans="1:16" s="17" customFormat="1" ht="33" customHeight="1" x14ac:dyDescent="0.3">
      <c r="A397" s="323" t="s">
        <v>0</v>
      </c>
      <c r="B397" s="324" t="s">
        <v>1</v>
      </c>
      <c r="C397" s="323" t="s">
        <v>2</v>
      </c>
      <c r="D397" s="323" t="s">
        <v>3</v>
      </c>
      <c r="E397" s="323" t="s">
        <v>4</v>
      </c>
      <c r="F397" s="323" t="s">
        <v>5</v>
      </c>
      <c r="G397" s="323" t="s">
        <v>6</v>
      </c>
      <c r="H397" s="325" t="s">
        <v>7</v>
      </c>
      <c r="I397" s="323" t="s">
        <v>8</v>
      </c>
      <c r="J397" s="323" t="s">
        <v>9</v>
      </c>
      <c r="K397" s="326" t="s">
        <v>10</v>
      </c>
      <c r="L397" s="327" t="s">
        <v>11</v>
      </c>
      <c r="M397" s="323" t="s">
        <v>12</v>
      </c>
      <c r="N397" s="328" t="s">
        <v>13</v>
      </c>
      <c r="O397" s="435" t="s">
        <v>63</v>
      </c>
      <c r="P397" s="323" t="s">
        <v>123</v>
      </c>
    </row>
    <row r="398" spans="1:16" s="17" customFormat="1" ht="33" customHeight="1" x14ac:dyDescent="0.3">
      <c r="A398" s="617" t="s">
        <v>5625</v>
      </c>
      <c r="B398" s="401">
        <v>46188</v>
      </c>
      <c r="C398" s="4" t="s">
        <v>21</v>
      </c>
      <c r="D398" s="4" t="s">
        <v>6137</v>
      </c>
      <c r="E398" s="608" t="s">
        <v>6140</v>
      </c>
      <c r="F398" s="773" t="s">
        <v>6138</v>
      </c>
      <c r="G398" s="16" t="s">
        <v>6139</v>
      </c>
      <c r="H398" s="612" t="s">
        <v>6147</v>
      </c>
      <c r="I398" s="608" t="s">
        <v>6042</v>
      </c>
      <c r="J398" s="608" t="s">
        <v>6145</v>
      </c>
      <c r="K398" s="125" t="s">
        <v>6059</v>
      </c>
      <c r="L398" s="16" t="s">
        <v>6141</v>
      </c>
      <c r="M398" s="8">
        <v>3</v>
      </c>
      <c r="N398" s="608"/>
      <c r="O398" s="439"/>
      <c r="P398" s="572"/>
    </row>
    <row r="399" spans="1:16" s="17" customFormat="1" ht="33" customHeight="1" x14ac:dyDescent="0.3">
      <c r="A399" s="618"/>
      <c r="B399" s="401">
        <v>46188</v>
      </c>
      <c r="C399" s="3" t="s">
        <v>21</v>
      </c>
      <c r="D399" s="3" t="s">
        <v>17</v>
      </c>
      <c r="E399" s="463" t="s">
        <v>4836</v>
      </c>
      <c r="F399" s="463">
        <v>3306</v>
      </c>
      <c r="G399" s="468" t="s">
        <v>1328</v>
      </c>
      <c r="H399" s="462" t="s">
        <v>5897</v>
      </c>
      <c r="I399" s="462" t="s">
        <v>5898</v>
      </c>
      <c r="J399" s="462" t="s">
        <v>686</v>
      </c>
      <c r="K399" s="125" t="s">
        <v>15</v>
      </c>
      <c r="L399" s="468" t="s">
        <v>5262</v>
      </c>
      <c r="M399" s="464">
        <v>4</v>
      </c>
      <c r="N399" s="773"/>
      <c r="O399" s="439"/>
      <c r="P399" s="572"/>
    </row>
    <row r="400" spans="1:16" s="17" customFormat="1" ht="33" customHeight="1" x14ac:dyDescent="0.3">
      <c r="A400" s="618"/>
      <c r="B400" s="401">
        <v>46189</v>
      </c>
      <c r="C400" s="3" t="s">
        <v>21</v>
      </c>
      <c r="D400" s="3" t="s">
        <v>17</v>
      </c>
      <c r="E400" s="463" t="s">
        <v>4836</v>
      </c>
      <c r="F400" s="463">
        <v>3306</v>
      </c>
      <c r="G400" s="468" t="s">
        <v>1328</v>
      </c>
      <c r="H400" s="462" t="s">
        <v>5897</v>
      </c>
      <c r="I400" s="462" t="s">
        <v>5898</v>
      </c>
      <c r="J400" s="462" t="s">
        <v>686</v>
      </c>
      <c r="K400" s="125" t="s">
        <v>15</v>
      </c>
      <c r="L400" s="468" t="s">
        <v>5262</v>
      </c>
      <c r="M400" s="464">
        <v>4</v>
      </c>
      <c r="N400" s="773"/>
      <c r="O400" s="439"/>
      <c r="P400" s="572"/>
    </row>
    <row r="401" spans="1:16" s="17" customFormat="1" ht="33" customHeight="1" x14ac:dyDescent="0.3">
      <c r="A401" s="618"/>
      <c r="B401" s="401">
        <v>46189</v>
      </c>
      <c r="C401" s="4" t="s">
        <v>21</v>
      </c>
      <c r="D401" s="4" t="s">
        <v>6137</v>
      </c>
      <c r="E401" s="773" t="s">
        <v>6140</v>
      </c>
      <c r="F401" s="773" t="s">
        <v>6138</v>
      </c>
      <c r="G401" s="16" t="s">
        <v>6139</v>
      </c>
      <c r="H401" s="775" t="s">
        <v>6146</v>
      </c>
      <c r="I401" s="773"/>
      <c r="J401" s="773" t="s">
        <v>6143</v>
      </c>
      <c r="K401" s="125" t="s">
        <v>6059</v>
      </c>
      <c r="L401" s="16" t="s">
        <v>6141</v>
      </c>
      <c r="M401" s="8">
        <v>2</v>
      </c>
      <c r="N401" s="463"/>
      <c r="O401" s="439"/>
      <c r="P401" s="572"/>
    </row>
    <row r="402" spans="1:16" s="17" customFormat="1" ht="33" customHeight="1" x14ac:dyDescent="0.3">
      <c r="A402" s="618"/>
      <c r="B402" s="401">
        <v>46189</v>
      </c>
      <c r="C402" s="3" t="s">
        <v>6119</v>
      </c>
      <c r="D402" s="3" t="s">
        <v>6120</v>
      </c>
      <c r="E402" s="462" t="s">
        <v>6121</v>
      </c>
      <c r="F402" s="773" t="s">
        <v>6124</v>
      </c>
      <c r="G402" s="16" t="s">
        <v>6128</v>
      </c>
      <c r="H402" s="775" t="s">
        <v>6127</v>
      </c>
      <c r="I402" s="773"/>
      <c r="J402" s="775" t="s">
        <v>6122</v>
      </c>
      <c r="K402" s="125" t="s">
        <v>6059</v>
      </c>
      <c r="L402" s="16" t="s">
        <v>6118</v>
      </c>
      <c r="M402" s="8">
        <v>2</v>
      </c>
      <c r="N402" s="463"/>
      <c r="O402" s="439" t="s">
        <v>6129</v>
      </c>
      <c r="P402" s="572"/>
    </row>
    <row r="403" spans="1:16" s="17" customFormat="1" ht="33" customHeight="1" x14ac:dyDescent="0.3">
      <c r="A403" s="618"/>
      <c r="B403" s="401">
        <v>46190</v>
      </c>
      <c r="C403" s="4" t="s">
        <v>21</v>
      </c>
      <c r="D403" s="4" t="s">
        <v>6137</v>
      </c>
      <c r="E403" s="773" t="s">
        <v>6140</v>
      </c>
      <c r="F403" s="773" t="s">
        <v>6138</v>
      </c>
      <c r="G403" s="16" t="s">
        <v>6139</v>
      </c>
      <c r="H403" s="775" t="s">
        <v>6142</v>
      </c>
      <c r="I403" s="773" t="s">
        <v>6042</v>
      </c>
      <c r="J403" s="773" t="s">
        <v>6143</v>
      </c>
      <c r="K403" s="125" t="s">
        <v>6059</v>
      </c>
      <c r="L403" s="16" t="s">
        <v>6141</v>
      </c>
      <c r="M403" s="8">
        <v>3</v>
      </c>
      <c r="N403" s="463" t="s">
        <v>6151</v>
      </c>
      <c r="O403" s="439"/>
      <c r="P403" s="572"/>
    </row>
    <row r="404" spans="1:16" s="17" customFormat="1" ht="33" customHeight="1" x14ac:dyDescent="0.3">
      <c r="A404" s="618"/>
      <c r="B404" s="401">
        <v>46190</v>
      </c>
      <c r="C404" s="3" t="s">
        <v>6119</v>
      </c>
      <c r="D404" s="3" t="s">
        <v>6120</v>
      </c>
      <c r="E404" s="462" t="s">
        <v>6121</v>
      </c>
      <c r="F404" s="773" t="s">
        <v>6124</v>
      </c>
      <c r="G404" s="16" t="s">
        <v>6125</v>
      </c>
      <c r="H404" s="775" t="s">
        <v>6126</v>
      </c>
      <c r="I404" s="773"/>
      <c r="J404" s="775" t="s">
        <v>6122</v>
      </c>
      <c r="K404" s="125" t="s">
        <v>6059</v>
      </c>
      <c r="L404" s="16" t="s">
        <v>6118</v>
      </c>
      <c r="M404" s="8">
        <v>2</v>
      </c>
      <c r="N404" s="774"/>
      <c r="O404" s="438" t="s">
        <v>6130</v>
      </c>
      <c r="P404" s="572"/>
    </row>
    <row r="405" spans="1:16" s="17" customFormat="1" ht="33" customHeight="1" x14ac:dyDescent="0.3">
      <c r="A405" s="618"/>
      <c r="B405" s="401">
        <v>46191</v>
      </c>
      <c r="C405" s="4" t="s">
        <v>21</v>
      </c>
      <c r="D405" s="4" t="s">
        <v>14</v>
      </c>
      <c r="E405" s="291" t="s">
        <v>149</v>
      </c>
      <c r="F405" s="773" t="s">
        <v>4090</v>
      </c>
      <c r="G405" s="16" t="s">
        <v>4091</v>
      </c>
      <c r="H405" s="775" t="s">
        <v>6112</v>
      </c>
      <c r="I405" s="608"/>
      <c r="J405" s="612" t="s">
        <v>6123</v>
      </c>
      <c r="K405" s="125" t="s">
        <v>6059</v>
      </c>
      <c r="L405" s="16" t="s">
        <v>6118</v>
      </c>
      <c r="M405" s="8">
        <v>2</v>
      </c>
      <c r="N405" s="609"/>
      <c r="O405" s="438"/>
      <c r="P405" s="572"/>
    </row>
    <row r="406" spans="1:16" s="17" customFormat="1" ht="33" customHeight="1" x14ac:dyDescent="0.3">
      <c r="A406" s="618"/>
      <c r="B406" s="401">
        <v>46191</v>
      </c>
      <c r="C406" s="4" t="s">
        <v>21</v>
      </c>
      <c r="D406" s="4" t="s">
        <v>6137</v>
      </c>
      <c r="E406" s="773" t="s">
        <v>6140</v>
      </c>
      <c r="F406" s="773" t="s">
        <v>6138</v>
      </c>
      <c r="G406" s="16" t="s">
        <v>6139</v>
      </c>
      <c r="H406" s="775" t="s">
        <v>6148</v>
      </c>
      <c r="I406" s="773" t="s">
        <v>6042</v>
      </c>
      <c r="J406" s="773" t="s">
        <v>6150</v>
      </c>
      <c r="K406" s="125" t="s">
        <v>6059</v>
      </c>
      <c r="L406" s="16" t="s">
        <v>6141</v>
      </c>
      <c r="M406" s="8">
        <v>4</v>
      </c>
      <c r="N406" s="774"/>
      <c r="O406" s="438"/>
      <c r="P406" s="572"/>
    </row>
    <row r="407" spans="1:16" s="17" customFormat="1" ht="33" customHeight="1" x14ac:dyDescent="0.3">
      <c r="A407" s="618"/>
      <c r="B407" s="401">
        <v>46191</v>
      </c>
      <c r="C407" s="3" t="s">
        <v>21</v>
      </c>
      <c r="D407" s="3" t="s">
        <v>14</v>
      </c>
      <c r="E407" s="463" t="s">
        <v>211</v>
      </c>
      <c r="F407" s="463" t="s">
        <v>5754</v>
      </c>
      <c r="G407" s="468" t="s">
        <v>5834</v>
      </c>
      <c r="H407" s="462" t="s">
        <v>6144</v>
      </c>
      <c r="I407" s="773" t="s">
        <v>6073</v>
      </c>
      <c r="J407" s="773" t="s">
        <v>6149</v>
      </c>
      <c r="K407" s="125" t="s">
        <v>6064</v>
      </c>
      <c r="L407" s="16" t="s">
        <v>6141</v>
      </c>
      <c r="M407" s="8">
        <v>2</v>
      </c>
      <c r="N407" s="774"/>
      <c r="O407" s="438"/>
      <c r="P407" s="572"/>
    </row>
    <row r="408" spans="1:16" s="17" customFormat="1" ht="33" customHeight="1" x14ac:dyDescent="0.3">
      <c r="A408" s="618"/>
      <c r="B408" s="401">
        <v>46192</v>
      </c>
      <c r="C408" s="4" t="s">
        <v>21</v>
      </c>
      <c r="D408" s="4" t="s">
        <v>6137</v>
      </c>
      <c r="E408" s="773" t="s">
        <v>6140</v>
      </c>
      <c r="F408" s="773" t="s">
        <v>6138</v>
      </c>
      <c r="G408" s="16" t="s">
        <v>6139</v>
      </c>
      <c r="H408" s="775" t="s">
        <v>6148</v>
      </c>
      <c r="I408" s="773" t="s">
        <v>6042</v>
      </c>
      <c r="J408" s="773" t="s">
        <v>6150</v>
      </c>
      <c r="K408" s="125" t="s">
        <v>6059</v>
      </c>
      <c r="L408" s="16" t="s">
        <v>6141</v>
      </c>
      <c r="M408" s="8">
        <v>4</v>
      </c>
      <c r="N408" s="609"/>
      <c r="O408" s="438"/>
      <c r="P408" s="572"/>
    </row>
    <row r="409" spans="1:16" s="17" customFormat="1" ht="33" customHeight="1" x14ac:dyDescent="0.3">
      <c r="A409" s="618"/>
      <c r="B409" s="401">
        <v>46193</v>
      </c>
      <c r="C409" s="4"/>
      <c r="D409" s="4"/>
      <c r="E409" s="291"/>
      <c r="F409" s="608"/>
      <c r="G409" s="16"/>
      <c r="H409" s="612"/>
      <c r="I409" s="608"/>
      <c r="J409" s="608"/>
      <c r="K409" s="125"/>
      <c r="L409" s="16"/>
      <c r="M409" s="8"/>
      <c r="N409" s="608"/>
      <c r="O409" s="440"/>
      <c r="P409" s="572"/>
    </row>
    <row r="410" spans="1:16" s="17" customFormat="1" ht="33" customHeight="1" x14ac:dyDescent="0.3">
      <c r="A410" s="323" t="s">
        <v>0</v>
      </c>
      <c r="B410" s="324" t="s">
        <v>1</v>
      </c>
      <c r="C410" s="323" t="s">
        <v>2</v>
      </c>
      <c r="D410" s="323" t="s">
        <v>3</v>
      </c>
      <c r="E410" s="323" t="s">
        <v>4</v>
      </c>
      <c r="F410" s="323" t="s">
        <v>5</v>
      </c>
      <c r="G410" s="323" t="s">
        <v>6</v>
      </c>
      <c r="H410" s="325" t="s">
        <v>7</v>
      </c>
      <c r="I410" s="323" t="s">
        <v>8</v>
      </c>
      <c r="J410" s="323" t="s">
        <v>9</v>
      </c>
      <c r="K410" s="326" t="s">
        <v>10</v>
      </c>
      <c r="L410" s="327" t="s">
        <v>11</v>
      </c>
      <c r="M410" s="323" t="s">
        <v>12</v>
      </c>
      <c r="N410" s="328" t="s">
        <v>13</v>
      </c>
      <c r="O410" s="435" t="s">
        <v>63</v>
      </c>
      <c r="P410" s="323" t="s">
        <v>123</v>
      </c>
    </row>
    <row r="411" spans="1:16" s="17" customFormat="1" ht="33" customHeight="1" x14ac:dyDescent="0.3">
      <c r="A411" s="617" t="s">
        <v>5626</v>
      </c>
      <c r="B411" s="401">
        <v>46195</v>
      </c>
      <c r="C411" s="183" t="s">
        <v>21</v>
      </c>
      <c r="D411" s="183" t="s">
        <v>17</v>
      </c>
      <c r="E411" s="316" t="s">
        <v>78</v>
      </c>
      <c r="F411" s="316" t="s">
        <v>3833</v>
      </c>
      <c r="G411" s="387" t="s">
        <v>207</v>
      </c>
      <c r="H411" s="238" t="s">
        <v>5793</v>
      </c>
      <c r="I411" s="316"/>
      <c r="J411" s="238" t="s">
        <v>5831</v>
      </c>
      <c r="K411" s="239" t="s">
        <v>15</v>
      </c>
      <c r="L411" s="387" t="s">
        <v>4550</v>
      </c>
      <c r="M411" s="8"/>
      <c r="N411" s="608"/>
      <c r="O411" s="439"/>
      <c r="P411" s="572"/>
    </row>
    <row r="412" spans="1:16" s="17" customFormat="1" ht="33" customHeight="1" x14ac:dyDescent="0.3">
      <c r="A412" s="618"/>
      <c r="B412" s="401">
        <v>46196</v>
      </c>
      <c r="C412" s="183" t="s">
        <v>21</v>
      </c>
      <c r="D412" s="183" t="s">
        <v>14</v>
      </c>
      <c r="E412" s="316" t="s">
        <v>1787</v>
      </c>
      <c r="F412" s="316" t="s">
        <v>2817</v>
      </c>
      <c r="G412" s="387" t="s">
        <v>23</v>
      </c>
      <c r="H412" s="238" t="s">
        <v>213</v>
      </c>
      <c r="I412" s="316" t="s">
        <v>90</v>
      </c>
      <c r="J412" s="238"/>
      <c r="K412" s="239" t="s">
        <v>15</v>
      </c>
      <c r="L412" s="387" t="s">
        <v>33</v>
      </c>
      <c r="M412" s="754">
        <v>2</v>
      </c>
      <c r="N412" s="608"/>
      <c r="O412" s="439"/>
      <c r="P412" s="572"/>
    </row>
    <row r="413" spans="1:16" s="17" customFormat="1" ht="33" customHeight="1" x14ac:dyDescent="0.3">
      <c r="A413" s="618"/>
      <c r="B413" s="401">
        <v>46196</v>
      </c>
      <c r="C413" s="4" t="s">
        <v>5988</v>
      </c>
      <c r="D413" s="4" t="s">
        <v>5989</v>
      </c>
      <c r="E413" s="291" t="s">
        <v>5987</v>
      </c>
      <c r="F413" s="726" t="s">
        <v>5984</v>
      </c>
      <c r="G413" s="16" t="s">
        <v>5986</v>
      </c>
      <c r="H413" s="728" t="s">
        <v>5985</v>
      </c>
      <c r="I413" s="726" t="s">
        <v>5993</v>
      </c>
      <c r="J413" s="726" t="s">
        <v>5990</v>
      </c>
      <c r="K413" s="125" t="s">
        <v>5991</v>
      </c>
      <c r="L413" s="16" t="s">
        <v>5992</v>
      </c>
      <c r="M413" s="8">
        <v>4</v>
      </c>
      <c r="N413" s="726"/>
      <c r="O413" s="439"/>
      <c r="P413" s="572"/>
    </row>
    <row r="414" spans="1:16" s="17" customFormat="1" ht="33" customHeight="1" x14ac:dyDescent="0.3">
      <c r="A414" s="618"/>
      <c r="B414" s="401">
        <v>46197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 x14ac:dyDescent="0.3">
      <c r="A415" s="618"/>
      <c r="B415" s="401">
        <v>46198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 x14ac:dyDescent="0.3">
      <c r="A416" s="618"/>
      <c r="B416" s="401">
        <v>46199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 x14ac:dyDescent="0.3">
      <c r="A417" s="619"/>
      <c r="B417" s="370">
        <v>46200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 x14ac:dyDescent="0.3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 x14ac:dyDescent="0.3">
      <c r="A419" s="617" t="s">
        <v>5627</v>
      </c>
      <c r="B419" s="401">
        <v>46202</v>
      </c>
      <c r="C419" s="4"/>
      <c r="D419" s="4"/>
      <c r="E419" s="608"/>
      <c r="F419" s="608"/>
      <c r="G419" s="16"/>
      <c r="H419" s="612"/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 x14ac:dyDescent="0.3">
      <c r="A420" s="618"/>
      <c r="B420" s="401">
        <v>46203</v>
      </c>
      <c r="C420" s="4"/>
      <c r="D420" s="4"/>
      <c r="E420" s="291"/>
      <c r="F420" s="608"/>
      <c r="G420" s="16"/>
      <c r="H420" s="612"/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 x14ac:dyDescent="0.3">
      <c r="A421" s="618"/>
      <c r="B421" s="401">
        <v>46204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 x14ac:dyDescent="0.3">
      <c r="A422" s="618"/>
      <c r="B422" s="401">
        <v>46205</v>
      </c>
      <c r="C422" s="4" t="s">
        <v>21</v>
      </c>
      <c r="D422" s="4" t="s">
        <v>14</v>
      </c>
      <c r="E422" s="608" t="s">
        <v>1787</v>
      </c>
      <c r="F422" s="608" t="s">
        <v>2978</v>
      </c>
      <c r="G422" s="16" t="s">
        <v>4108</v>
      </c>
      <c r="H422" s="612" t="s">
        <v>900</v>
      </c>
      <c r="I422" s="608" t="s">
        <v>5473</v>
      </c>
      <c r="J422" s="612" t="s">
        <v>3074</v>
      </c>
      <c r="K422" s="125" t="s">
        <v>105</v>
      </c>
      <c r="L422" s="16" t="s">
        <v>4379</v>
      </c>
      <c r="M422" s="8">
        <v>2</v>
      </c>
      <c r="N422" s="609"/>
      <c r="O422" s="438"/>
      <c r="P422" s="572"/>
    </row>
    <row r="423" spans="1:16" s="17" customFormat="1" ht="33" customHeight="1" x14ac:dyDescent="0.3">
      <c r="A423" s="618"/>
      <c r="B423" s="401">
        <v>46206</v>
      </c>
      <c r="C423" s="4" t="s">
        <v>21</v>
      </c>
      <c r="D423" s="4" t="s">
        <v>14</v>
      </c>
      <c r="E423" s="608" t="s">
        <v>1787</v>
      </c>
      <c r="F423" s="608" t="s">
        <v>2978</v>
      </c>
      <c r="G423" s="16" t="s">
        <v>843</v>
      </c>
      <c r="H423" s="612" t="s">
        <v>900</v>
      </c>
      <c r="I423" s="608" t="s">
        <v>5473</v>
      </c>
      <c r="J423" s="612" t="s">
        <v>3074</v>
      </c>
      <c r="K423" s="125" t="s">
        <v>15</v>
      </c>
      <c r="L423" s="16" t="s">
        <v>4379</v>
      </c>
      <c r="M423" s="8">
        <v>2</v>
      </c>
      <c r="N423" s="609"/>
      <c r="O423" s="438"/>
      <c r="P423" s="572"/>
    </row>
    <row r="424" spans="1:16" s="17" customFormat="1" ht="33" customHeight="1" x14ac:dyDescent="0.3">
      <c r="A424" s="618"/>
      <c r="B424" s="401">
        <v>46206</v>
      </c>
      <c r="C424" s="4" t="s">
        <v>21</v>
      </c>
      <c r="D424" s="4" t="s">
        <v>14</v>
      </c>
      <c r="E424" s="608" t="s">
        <v>1787</v>
      </c>
      <c r="F424" s="608" t="s">
        <v>2978</v>
      </c>
      <c r="G424" s="16" t="s">
        <v>142</v>
      </c>
      <c r="H424" s="612" t="s">
        <v>900</v>
      </c>
      <c r="I424" s="608" t="s">
        <v>5473</v>
      </c>
      <c r="J424" s="612" t="s">
        <v>3074</v>
      </c>
      <c r="K424" s="125" t="s">
        <v>105</v>
      </c>
      <c r="L424" s="16" t="s">
        <v>4379</v>
      </c>
      <c r="M424" s="8">
        <v>2</v>
      </c>
      <c r="N424" s="609"/>
      <c r="O424" s="438"/>
      <c r="P424" s="572"/>
    </row>
    <row r="425" spans="1:16" s="17" customFormat="1" ht="33" customHeight="1" x14ac:dyDescent="0.3">
      <c r="A425" s="619"/>
      <c r="B425" s="370">
        <v>46207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  <row r="426" spans="1:16" s="17" customFormat="1" ht="33" customHeight="1" x14ac:dyDescent="0.3">
      <c r="A426" s="323" t="s">
        <v>0</v>
      </c>
      <c r="B426" s="324" t="s">
        <v>1</v>
      </c>
      <c r="C426" s="323" t="s">
        <v>2</v>
      </c>
      <c r="D426" s="323" t="s">
        <v>3</v>
      </c>
      <c r="E426" s="323" t="s">
        <v>4</v>
      </c>
      <c r="F426" s="323" t="s">
        <v>5</v>
      </c>
      <c r="G426" s="323" t="s">
        <v>6</v>
      </c>
      <c r="H426" s="325" t="s">
        <v>7</v>
      </c>
      <c r="I426" s="323" t="s">
        <v>8</v>
      </c>
      <c r="J426" s="323" t="s">
        <v>9</v>
      </c>
      <c r="K426" s="326" t="s">
        <v>10</v>
      </c>
      <c r="L426" s="327" t="s">
        <v>11</v>
      </c>
      <c r="M426" s="323" t="s">
        <v>12</v>
      </c>
      <c r="N426" s="328" t="s">
        <v>13</v>
      </c>
      <c r="O426" s="435" t="s">
        <v>63</v>
      </c>
      <c r="P426" s="323" t="s">
        <v>123</v>
      </c>
    </row>
    <row r="427" spans="1:16" s="17" customFormat="1" ht="33" customHeight="1" x14ac:dyDescent="0.3">
      <c r="A427" s="617" t="s">
        <v>5628</v>
      </c>
      <c r="B427" s="401">
        <v>46209</v>
      </c>
      <c r="C427" s="4"/>
      <c r="D427" s="4"/>
      <c r="E427" s="608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 x14ac:dyDescent="0.3">
      <c r="A428" s="618"/>
      <c r="B428" s="401">
        <v>46210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 x14ac:dyDescent="0.3">
      <c r="A429" s="618"/>
      <c r="B429" s="401">
        <v>46211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 x14ac:dyDescent="0.3">
      <c r="A430" s="618"/>
      <c r="B430" s="401">
        <v>46212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 x14ac:dyDescent="0.3">
      <c r="A431" s="618"/>
      <c r="B431" s="401">
        <v>46213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 x14ac:dyDescent="0.3">
      <c r="A432" s="619"/>
      <c r="B432" s="370">
        <v>46214</v>
      </c>
      <c r="C432" s="4"/>
      <c r="D432" s="4"/>
      <c r="E432" s="291"/>
      <c r="F432" s="608"/>
      <c r="G432" s="16"/>
      <c r="H432" s="612"/>
      <c r="I432" s="608"/>
      <c r="J432" s="608"/>
      <c r="K432" s="125"/>
      <c r="L432" s="16"/>
      <c r="M432" s="8"/>
      <c r="N432" s="608"/>
      <c r="O432" s="440"/>
      <c r="P432" s="572"/>
    </row>
    <row r="433" spans="1:16" s="17" customFormat="1" ht="33" customHeight="1" x14ac:dyDescent="0.3">
      <c r="A433" s="323" t="s">
        <v>0</v>
      </c>
      <c r="B433" s="324" t="s">
        <v>1</v>
      </c>
      <c r="C433" s="323" t="s">
        <v>2</v>
      </c>
      <c r="D433" s="323" t="s">
        <v>3</v>
      </c>
      <c r="E433" s="323" t="s">
        <v>4</v>
      </c>
      <c r="F433" s="323" t="s">
        <v>5</v>
      </c>
      <c r="G433" s="323" t="s">
        <v>6</v>
      </c>
      <c r="H433" s="325" t="s">
        <v>7</v>
      </c>
      <c r="I433" s="323" t="s">
        <v>8</v>
      </c>
      <c r="J433" s="323" t="s">
        <v>9</v>
      </c>
      <c r="K433" s="326" t="s">
        <v>10</v>
      </c>
      <c r="L433" s="327" t="s">
        <v>11</v>
      </c>
      <c r="M433" s="323" t="s">
        <v>12</v>
      </c>
      <c r="N433" s="328" t="s">
        <v>13</v>
      </c>
      <c r="O433" s="435" t="s">
        <v>63</v>
      </c>
      <c r="P433" s="323" t="s">
        <v>123</v>
      </c>
    </row>
    <row r="434" spans="1:16" s="17" customFormat="1" ht="33" customHeight="1" x14ac:dyDescent="0.3">
      <c r="A434" s="617" t="s">
        <v>5629</v>
      </c>
      <c r="B434" s="401">
        <v>46216</v>
      </c>
      <c r="C434" s="4"/>
      <c r="D434" s="4"/>
      <c r="E434" s="608"/>
      <c r="F434" s="608"/>
      <c r="G434" s="16"/>
      <c r="H434" s="612"/>
      <c r="I434" s="608"/>
      <c r="J434" s="608"/>
      <c r="K434" s="125"/>
      <c r="L434" s="16"/>
      <c r="M434" s="8"/>
      <c r="N434" s="608"/>
      <c r="O434" s="439"/>
      <c r="P434" s="572"/>
    </row>
    <row r="435" spans="1:16" s="17" customFormat="1" ht="33" customHeight="1" x14ac:dyDescent="0.3">
      <c r="A435" s="618"/>
      <c r="B435" s="401">
        <v>46217</v>
      </c>
      <c r="C435" s="4"/>
      <c r="D435" s="4"/>
      <c r="E435" s="291"/>
      <c r="F435" s="608"/>
      <c r="G435" s="16"/>
      <c r="H435" s="612"/>
      <c r="I435" s="608"/>
      <c r="J435" s="608"/>
      <c r="K435" s="125"/>
      <c r="L435" s="16"/>
      <c r="M435" s="8"/>
      <c r="N435" s="608"/>
      <c r="O435" s="439"/>
      <c r="P435" s="572"/>
    </row>
    <row r="436" spans="1:16" s="17" customFormat="1" ht="33" customHeight="1" x14ac:dyDescent="0.3">
      <c r="A436" s="618"/>
      <c r="B436" s="401">
        <v>46218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 x14ac:dyDescent="0.3">
      <c r="A437" s="618"/>
      <c r="B437" s="401">
        <v>46219</v>
      </c>
      <c r="C437" s="4"/>
      <c r="D437" s="4"/>
      <c r="E437" s="608"/>
      <c r="F437" s="608"/>
      <c r="G437" s="16"/>
      <c r="H437" s="612"/>
      <c r="I437" s="608"/>
      <c r="J437" s="612"/>
      <c r="K437" s="125"/>
      <c r="L437" s="16"/>
      <c r="M437" s="8"/>
      <c r="N437" s="609"/>
      <c r="O437" s="438"/>
      <c r="P437" s="572"/>
    </row>
    <row r="438" spans="1:16" s="17" customFormat="1" ht="33" customHeight="1" x14ac:dyDescent="0.3">
      <c r="A438" s="618"/>
      <c r="B438" s="401">
        <v>46220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 x14ac:dyDescent="0.3">
      <c r="A439" s="619"/>
      <c r="B439" s="370">
        <v>46221</v>
      </c>
      <c r="C439" s="4"/>
      <c r="D439" s="4"/>
      <c r="E439" s="291"/>
      <c r="F439" s="608"/>
      <c r="G439" s="16"/>
      <c r="H439" s="612"/>
      <c r="I439" s="608"/>
      <c r="J439" s="608"/>
      <c r="K439" s="125"/>
      <c r="L439" s="16"/>
      <c r="M439" s="8"/>
      <c r="N439" s="608"/>
      <c r="O439" s="440"/>
      <c r="P439" s="572"/>
    </row>
    <row r="440" spans="1:16" s="17" customFormat="1" ht="33" customHeight="1" x14ac:dyDescent="0.3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5" t="s">
        <v>63</v>
      </c>
      <c r="P440" s="323" t="s">
        <v>123</v>
      </c>
    </row>
    <row r="441" spans="1:16" s="17" customFormat="1" ht="33" customHeight="1" x14ac:dyDescent="0.3">
      <c r="A441" s="617" t="s">
        <v>5630</v>
      </c>
      <c r="B441" s="401">
        <v>46223</v>
      </c>
      <c r="C441" s="4" t="s">
        <v>113</v>
      </c>
      <c r="D441" s="4" t="s">
        <v>2202</v>
      </c>
      <c r="E441" s="668" t="s">
        <v>899</v>
      </c>
      <c r="F441" s="668" t="s">
        <v>1968</v>
      </c>
      <c r="G441" s="16" t="s">
        <v>376</v>
      </c>
      <c r="H441" s="669" t="s">
        <v>4109</v>
      </c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 x14ac:dyDescent="0.3">
      <c r="A442" s="618"/>
      <c r="B442" s="401">
        <v>46224</v>
      </c>
      <c r="C442" s="4" t="s">
        <v>113</v>
      </c>
      <c r="D442" s="4" t="s">
        <v>2202</v>
      </c>
      <c r="E442" s="668" t="s">
        <v>899</v>
      </c>
      <c r="F442" s="668" t="s">
        <v>1968</v>
      </c>
      <c r="G442" s="16" t="s">
        <v>5358</v>
      </c>
      <c r="H442" s="669" t="s">
        <v>4109</v>
      </c>
      <c r="I442" s="608"/>
      <c r="J442" s="608"/>
      <c r="K442" s="125"/>
      <c r="L442" s="16"/>
      <c r="M442" s="8"/>
      <c r="N442" s="608"/>
      <c r="O442" s="439"/>
      <c r="P442" s="572"/>
    </row>
    <row r="443" spans="1:16" s="17" customFormat="1" ht="33" customHeight="1" x14ac:dyDescent="0.3">
      <c r="A443" s="618"/>
      <c r="B443" s="401">
        <v>46225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 x14ac:dyDescent="0.3">
      <c r="A444" s="618"/>
      <c r="B444" s="401">
        <v>46226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 x14ac:dyDescent="0.3">
      <c r="A445" s="618"/>
      <c r="B445" s="401">
        <v>46227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 x14ac:dyDescent="0.3">
      <c r="A446" s="619"/>
      <c r="B446" s="370">
        <v>46228</v>
      </c>
      <c r="C446" s="4"/>
      <c r="D446" s="4"/>
      <c r="E446" s="291"/>
      <c r="F446" s="608"/>
      <c r="G446" s="16"/>
      <c r="H446" s="612"/>
      <c r="I446" s="608"/>
      <c r="J446" s="608"/>
      <c r="K446" s="125"/>
      <c r="L446" s="16"/>
      <c r="M446" s="8"/>
      <c r="N446" s="608"/>
      <c r="O446" s="440"/>
      <c r="P446" s="572"/>
    </row>
    <row r="447" spans="1:16" s="17" customFormat="1" ht="33" customHeight="1" x14ac:dyDescent="0.3">
      <c r="A447" s="323" t="s">
        <v>0</v>
      </c>
      <c r="B447" s="324" t="s">
        <v>1</v>
      </c>
      <c r="C447" s="323" t="s">
        <v>2</v>
      </c>
      <c r="D447" s="323" t="s">
        <v>3</v>
      </c>
      <c r="E447" s="323" t="s">
        <v>4</v>
      </c>
      <c r="F447" s="323" t="s">
        <v>5</v>
      </c>
      <c r="G447" s="323" t="s">
        <v>6</v>
      </c>
      <c r="H447" s="325" t="s">
        <v>7</v>
      </c>
      <c r="I447" s="323" t="s">
        <v>8</v>
      </c>
      <c r="J447" s="323" t="s">
        <v>9</v>
      </c>
      <c r="K447" s="326" t="s">
        <v>10</v>
      </c>
      <c r="L447" s="327" t="s">
        <v>11</v>
      </c>
      <c r="M447" s="323" t="s">
        <v>12</v>
      </c>
      <c r="N447" s="328" t="s">
        <v>13</v>
      </c>
      <c r="O447" s="435" t="s">
        <v>63</v>
      </c>
      <c r="P447" s="323" t="s">
        <v>123</v>
      </c>
    </row>
    <row r="448" spans="1:16" s="17" customFormat="1" ht="33" customHeight="1" x14ac:dyDescent="0.3">
      <c r="A448" s="617" t="s">
        <v>5631</v>
      </c>
      <c r="B448" s="401">
        <v>46230</v>
      </c>
      <c r="C448" s="4"/>
      <c r="D448" s="4"/>
      <c r="E448" s="608"/>
      <c r="F448" s="608"/>
      <c r="G448" s="16"/>
      <c r="H448" s="612"/>
      <c r="I448" s="608"/>
      <c r="J448" s="608"/>
      <c r="K448" s="125"/>
      <c r="L448" s="16"/>
      <c r="M448" s="8"/>
      <c r="N448" s="608"/>
      <c r="O448" s="439"/>
      <c r="P448" s="572"/>
    </row>
    <row r="449" spans="1:16" s="17" customFormat="1" ht="33" customHeight="1" x14ac:dyDescent="0.3">
      <c r="A449" s="618"/>
      <c r="B449" s="401">
        <v>46231</v>
      </c>
      <c r="C449" s="4"/>
      <c r="D449" s="4"/>
      <c r="E449" s="291"/>
      <c r="F449" s="608"/>
      <c r="G449" s="16"/>
      <c r="H449" s="612"/>
      <c r="I449" s="608"/>
      <c r="J449" s="608"/>
      <c r="K449" s="125"/>
      <c r="L449" s="16"/>
      <c r="M449" s="8"/>
      <c r="N449" s="608"/>
      <c r="O449" s="439"/>
      <c r="P449" s="572"/>
    </row>
    <row r="450" spans="1:16" s="17" customFormat="1" ht="33" customHeight="1" x14ac:dyDescent="0.3">
      <c r="A450" s="618"/>
      <c r="B450" s="401">
        <v>46232</v>
      </c>
      <c r="C450" s="4"/>
      <c r="D450" s="4"/>
      <c r="E450" s="608"/>
      <c r="F450" s="608"/>
      <c r="G450" s="16"/>
      <c r="H450" s="612"/>
      <c r="I450" s="608"/>
      <c r="J450" s="612"/>
      <c r="K450" s="125"/>
      <c r="L450" s="16"/>
      <c r="M450" s="8"/>
      <c r="N450" s="609"/>
      <c r="O450" s="438"/>
      <c r="P450" s="572"/>
    </row>
    <row r="451" spans="1:16" s="17" customFormat="1" ht="33" customHeight="1" x14ac:dyDescent="0.3">
      <c r="A451" s="618"/>
      <c r="B451" s="401">
        <v>46233</v>
      </c>
      <c r="C451" s="4"/>
      <c r="D451" s="4"/>
      <c r="E451" s="608"/>
      <c r="F451" s="608"/>
      <c r="G451" s="16"/>
      <c r="H451" s="612"/>
      <c r="I451" s="608"/>
      <c r="J451" s="612"/>
      <c r="K451" s="125"/>
      <c r="L451" s="16"/>
      <c r="M451" s="8"/>
      <c r="N451" s="609"/>
      <c r="O451" s="438"/>
      <c r="P451" s="572"/>
    </row>
    <row r="452" spans="1:16" s="17" customFormat="1" ht="33" customHeight="1" x14ac:dyDescent="0.3">
      <c r="A452" s="618"/>
      <c r="B452" s="401">
        <v>46234</v>
      </c>
      <c r="C452" s="4"/>
      <c r="D452" s="4"/>
      <c r="E452" s="608"/>
      <c r="F452" s="608"/>
      <c r="G452" s="16"/>
      <c r="H452" s="612"/>
      <c r="I452" s="608"/>
      <c r="J452" s="612"/>
      <c r="K452" s="125"/>
      <c r="L452" s="16"/>
      <c r="M452" s="8"/>
      <c r="N452" s="609"/>
      <c r="O452" s="438"/>
      <c r="P452" s="572"/>
    </row>
    <row r="453" spans="1:16" s="17" customFormat="1" ht="33" customHeight="1" x14ac:dyDescent="0.3">
      <c r="A453" s="619"/>
      <c r="B453" s="370">
        <v>46235</v>
      </c>
      <c r="C453" s="4"/>
      <c r="D453" s="4"/>
      <c r="E453" s="291"/>
      <c r="F453" s="608"/>
      <c r="G453" s="16"/>
      <c r="H453" s="612"/>
      <c r="I453" s="608"/>
      <c r="J453" s="608"/>
      <c r="K453" s="125"/>
      <c r="L453" s="16"/>
      <c r="M453" s="8"/>
      <c r="N453" s="608"/>
      <c r="O453" s="440"/>
      <c r="P453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I1481" sqref="I148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 x14ac:dyDescent="0.3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 x14ac:dyDescent="0.3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 x14ac:dyDescent="0.3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 x14ac:dyDescent="0.3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 x14ac:dyDescent="0.3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 x14ac:dyDescent="0.3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 x14ac:dyDescent="0.3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x14ac:dyDescent="0.3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 x14ac:dyDescent="0.3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 x14ac:dyDescent="0.3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 x14ac:dyDescent="0.3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 x14ac:dyDescent="0.3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 x14ac:dyDescent="0.3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 x14ac:dyDescent="0.3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 x14ac:dyDescent="0.3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x14ac:dyDescent="0.3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x14ac:dyDescent="0.3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x14ac:dyDescent="0.3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x14ac:dyDescent="0.3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x14ac:dyDescent="0.3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x14ac:dyDescent="0.3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x14ac:dyDescent="0.3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x14ac:dyDescent="0.3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 x14ac:dyDescent="0.3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 x14ac:dyDescent="0.3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 x14ac:dyDescent="0.3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 x14ac:dyDescent="0.3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 x14ac:dyDescent="0.3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 x14ac:dyDescent="0.3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 x14ac:dyDescent="0.3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 x14ac:dyDescent="0.3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 x14ac:dyDescent="0.3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 x14ac:dyDescent="0.3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 x14ac:dyDescent="0.3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26" t="s">
        <v>849</v>
      </c>
      <c r="C167" s="8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27"/>
      <c r="C168" s="8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27"/>
      <c r="C169" s="8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28"/>
      <c r="C170" s="8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27"/>
      <c r="C178" s="8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28"/>
      <c r="C179" s="8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27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 x14ac:dyDescent="0.3">
      <c r="A182" s="55">
        <v>36</v>
      </c>
      <c r="B182" s="827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 x14ac:dyDescent="0.3">
      <c r="A183" s="55">
        <v>36</v>
      </c>
      <c r="B183" s="827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27"/>
      <c r="C187" s="8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28"/>
      <c r="C188" s="8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26" t="s">
        <v>939</v>
      </c>
      <c r="C192" s="8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27"/>
      <c r="C193" s="8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27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27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27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28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26" t="s">
        <v>20</v>
      </c>
      <c r="C200" s="8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27"/>
      <c r="C201" s="8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27"/>
      <c r="C202" s="8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28"/>
      <c r="C203" s="8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26" t="s">
        <v>20</v>
      </c>
      <c r="C207" s="8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27"/>
      <c r="C208" s="8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26" t="s">
        <v>20</v>
      </c>
      <c r="C218" s="8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27"/>
      <c r="C219" s="8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3" t="s">
        <v>247</v>
      </c>
    </row>
    <row r="226" spans="1:14" x14ac:dyDescent="0.3">
      <c r="A226" s="55">
        <v>44</v>
      </c>
      <c r="B226" s="8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9"/>
    </row>
    <row r="227" spans="1:14" x14ac:dyDescent="0.3">
      <c r="A227" s="55">
        <v>44</v>
      </c>
      <c r="B227" s="8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 x14ac:dyDescent="0.3">
      <c r="A228" s="55">
        <v>44</v>
      </c>
      <c r="B228" s="8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27"/>
      <c r="C249" s="8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 x14ac:dyDescent="0.3">
      <c r="A250" s="55">
        <v>48</v>
      </c>
      <c r="B250" s="828"/>
      <c r="C250" s="8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 x14ac:dyDescent="0.3">
      <c r="A251" s="55">
        <v>48</v>
      </c>
      <c r="B251" s="8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27"/>
      <c r="C256" s="8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 x14ac:dyDescent="0.3">
      <c r="A257" s="55">
        <v>49</v>
      </c>
      <c r="B257" s="828"/>
      <c r="C257" s="8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 x14ac:dyDescent="0.3">
      <c r="A258" s="55">
        <v>49</v>
      </c>
      <c r="B258" s="8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x14ac:dyDescent="0.3">
      <c r="A261" s="55">
        <v>49</v>
      </c>
      <c r="B261" s="8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7" t="s">
        <v>1103</v>
      </c>
    </row>
    <row r="262" spans="1:14" ht="25.5" x14ac:dyDescent="0.3">
      <c r="A262" s="132">
        <v>49</v>
      </c>
      <c r="B262" s="8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8"/>
    </row>
    <row r="263" spans="1:14" ht="16.5" customHeight="1" x14ac:dyDescent="0.3">
      <c r="A263" s="55">
        <v>50</v>
      </c>
      <c r="B263" s="826" t="s">
        <v>20</v>
      </c>
      <c r="C263" s="8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27"/>
      <c r="C264" s="8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27"/>
      <c r="C265" s="8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27"/>
      <c r="C266" s="8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28"/>
      <c r="C267" s="8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39" t="s">
        <v>658</v>
      </c>
      <c r="C268" s="8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x14ac:dyDescent="0.3">
      <c r="A269" s="55">
        <v>51</v>
      </c>
      <c r="B269" s="840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x14ac:dyDescent="0.3">
      <c r="A270" s="55">
        <v>51</v>
      </c>
      <c r="B270" s="841"/>
      <c r="C270" s="8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 x14ac:dyDescent="0.3">
      <c r="A271" s="55">
        <v>52</v>
      </c>
      <c r="B271" s="826" t="s">
        <v>20</v>
      </c>
      <c r="C271" s="8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27"/>
      <c r="C272" s="8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27"/>
      <c r="C273" s="8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27"/>
      <c r="C275" s="8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27"/>
      <c r="C276" s="8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 x14ac:dyDescent="0.3">
      <c r="A279" s="55">
        <v>1</v>
      </c>
      <c r="B279" s="826" t="s">
        <v>20</v>
      </c>
      <c r="C279" s="8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28"/>
      <c r="C280" s="8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26" t="s">
        <v>64</v>
      </c>
      <c r="C281" s="8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27"/>
      <c r="C282" s="8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27"/>
      <c r="C283" s="8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27"/>
      <c r="C284" s="8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66" t="s">
        <v>123</v>
      </c>
      <c r="C287" s="8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x14ac:dyDescent="0.3">
      <c r="A288" s="55">
        <v>2</v>
      </c>
      <c r="B288" s="867"/>
      <c r="C288" s="8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x14ac:dyDescent="0.3">
      <c r="A289" s="55">
        <v>2</v>
      </c>
      <c r="B289" s="839" t="s">
        <v>64</v>
      </c>
      <c r="C289" s="8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40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x14ac:dyDescent="0.3">
      <c r="A291" s="55">
        <v>2</v>
      </c>
      <c r="B291" s="840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7" t="s">
        <v>638</v>
      </c>
      <c r="K291" s="855" t="s">
        <v>671</v>
      </c>
      <c r="L291" s="148" t="s">
        <v>309</v>
      </c>
      <c r="M291" s="846" t="s">
        <v>672</v>
      </c>
      <c r="N291" s="148" t="s">
        <v>723</v>
      </c>
    </row>
    <row r="292" spans="1:15" x14ac:dyDescent="0.3">
      <c r="A292" s="55">
        <v>2</v>
      </c>
      <c r="B292" s="840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8"/>
      <c r="K292" s="856"/>
      <c r="L292" s="148" t="s">
        <v>309</v>
      </c>
      <c r="M292" s="847"/>
      <c r="N292" s="148" t="s">
        <v>723</v>
      </c>
    </row>
    <row r="293" spans="1:15" x14ac:dyDescent="0.3">
      <c r="A293" s="55">
        <v>2</v>
      </c>
      <c r="B293" s="840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x14ac:dyDescent="0.3">
      <c r="A294" s="55">
        <v>2</v>
      </c>
      <c r="B294" s="840"/>
      <c r="C294" s="8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x14ac:dyDescent="0.3">
      <c r="A295" s="55">
        <v>2</v>
      </c>
      <c r="B295" s="8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 x14ac:dyDescent="0.3">
      <c r="A296" s="55">
        <v>3</v>
      </c>
      <c r="B296" s="826" t="s">
        <v>20</v>
      </c>
      <c r="C296" s="8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27"/>
      <c r="C297" s="8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28"/>
      <c r="C298" s="8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26" t="s">
        <v>20</v>
      </c>
      <c r="C302" s="8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27"/>
      <c r="C303" s="8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27"/>
      <c r="C304" s="8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27"/>
      <c r="C305" s="8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28"/>
      <c r="C306" s="8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26" t="s">
        <v>20</v>
      </c>
      <c r="C308" s="8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28"/>
      <c r="C309" s="8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39" t="s">
        <v>307</v>
      </c>
      <c r="C313" s="8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x14ac:dyDescent="0.3">
      <c r="A314" s="55">
        <v>6</v>
      </c>
      <c r="B314" s="841"/>
      <c r="C314" s="8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 x14ac:dyDescent="0.3">
      <c r="A316" s="55">
        <v>7</v>
      </c>
      <c r="B316" s="826" t="s">
        <v>20</v>
      </c>
      <c r="C316" s="8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27"/>
      <c r="C317" s="8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28"/>
      <c r="C318" s="8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26" t="s">
        <v>20</v>
      </c>
      <c r="C322" s="8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28"/>
      <c r="C323" s="8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26" t="s">
        <v>20</v>
      </c>
      <c r="C329" s="8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27"/>
      <c r="C330" s="8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28"/>
      <c r="C331" s="8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26" t="s">
        <v>20</v>
      </c>
      <c r="C334" s="8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27"/>
      <c r="C335" s="8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27"/>
      <c r="C336" s="8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28"/>
      <c r="C337" s="8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26" t="s">
        <v>20</v>
      </c>
      <c r="C342" s="8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27"/>
      <c r="C343" s="8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27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28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x14ac:dyDescent="0.3">
      <c r="A352" s="55">
        <v>12</v>
      </c>
      <c r="B352" s="8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x14ac:dyDescent="0.3">
      <c r="A353" s="55">
        <v>12</v>
      </c>
      <c r="B353" s="8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x14ac:dyDescent="0.3">
      <c r="A354" s="55">
        <v>12</v>
      </c>
      <c r="B354" s="8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x14ac:dyDescent="0.3">
      <c r="A355" s="55">
        <v>12</v>
      </c>
      <c r="B355" s="8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x14ac:dyDescent="0.3">
      <c r="A357" s="55">
        <v>12</v>
      </c>
      <c r="B357" s="8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x14ac:dyDescent="0.3">
      <c r="A359" s="55">
        <v>12</v>
      </c>
      <c r="B359" s="8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39" t="s">
        <v>307</v>
      </c>
      <c r="C375" s="128" t="s">
        <v>1531</v>
      </c>
      <c r="D375" s="837" t="s">
        <v>306</v>
      </c>
      <c r="E375" s="837" t="s">
        <v>322</v>
      </c>
      <c r="F375" s="837" t="s">
        <v>307</v>
      </c>
      <c r="G375" s="842">
        <v>4266</v>
      </c>
      <c r="H375" s="837" t="s">
        <v>640</v>
      </c>
      <c r="I375" s="842" t="s">
        <v>1533</v>
      </c>
      <c r="J375" s="837" t="s">
        <v>1534</v>
      </c>
      <c r="K375" s="844" t="s">
        <v>692</v>
      </c>
      <c r="L375" s="837" t="s">
        <v>324</v>
      </c>
      <c r="M375" s="846" t="s">
        <v>1535</v>
      </c>
      <c r="N375" s="837" t="s">
        <v>425</v>
      </c>
    </row>
    <row r="376" spans="1:19" x14ac:dyDescent="0.3">
      <c r="A376" s="199" t="s">
        <v>1539</v>
      </c>
      <c r="B376" s="840"/>
      <c r="C376" s="129" t="s">
        <v>1532</v>
      </c>
      <c r="D376" s="838"/>
      <c r="E376" s="838"/>
      <c r="F376" s="838"/>
      <c r="G376" s="843"/>
      <c r="H376" s="838"/>
      <c r="I376" s="843"/>
      <c r="J376" s="838"/>
      <c r="K376" s="845"/>
      <c r="L376" s="838"/>
      <c r="M376" s="847"/>
      <c r="N376" s="838"/>
    </row>
    <row r="377" spans="1:19" x14ac:dyDescent="0.3">
      <c r="A377" s="199" t="s">
        <v>1539</v>
      </c>
      <c r="B377" s="840"/>
      <c r="C377" s="128" t="s">
        <v>1536</v>
      </c>
      <c r="D377" s="837" t="s">
        <v>306</v>
      </c>
      <c r="E377" s="837" t="s">
        <v>322</v>
      </c>
      <c r="F377" s="837" t="s">
        <v>307</v>
      </c>
      <c r="G377" s="842">
        <v>3306</v>
      </c>
      <c r="H377" s="837" t="s">
        <v>1153</v>
      </c>
      <c r="I377" s="842" t="s">
        <v>1538</v>
      </c>
      <c r="J377" s="837" t="s">
        <v>1534</v>
      </c>
      <c r="K377" s="844" t="s">
        <v>692</v>
      </c>
      <c r="L377" s="837" t="s">
        <v>324</v>
      </c>
      <c r="M377" s="846" t="s">
        <v>1535</v>
      </c>
      <c r="N377" s="837" t="s">
        <v>425</v>
      </c>
    </row>
    <row r="378" spans="1:19" x14ac:dyDescent="0.3">
      <c r="A378" s="199" t="s">
        <v>1539</v>
      </c>
      <c r="B378" s="841"/>
      <c r="C378" s="129" t="s">
        <v>1537</v>
      </c>
      <c r="D378" s="838"/>
      <c r="E378" s="838"/>
      <c r="F378" s="838"/>
      <c r="G378" s="843"/>
      <c r="H378" s="838"/>
      <c r="I378" s="843"/>
      <c r="J378" s="838"/>
      <c r="K378" s="845"/>
      <c r="L378" s="838"/>
      <c r="M378" s="847"/>
      <c r="N378" s="838"/>
    </row>
    <row r="379" spans="1:19" ht="27" customHeight="1" x14ac:dyDescent="0.3">
      <c r="A379" s="123">
        <v>15</v>
      </c>
      <c r="B379" s="8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2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2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2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2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2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2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2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2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2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2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2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2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2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2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2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19" t="s">
        <v>1782</v>
      </c>
      <c r="C403" s="226" t="s">
        <v>1748</v>
      </c>
      <c r="D403" s="831" t="s">
        <v>306</v>
      </c>
      <c r="E403" s="831" t="s">
        <v>322</v>
      </c>
      <c r="F403" s="831" t="s">
        <v>307</v>
      </c>
      <c r="G403" s="833">
        <v>3306</v>
      </c>
      <c r="H403" s="831" t="s">
        <v>1153</v>
      </c>
      <c r="I403" s="833" t="s">
        <v>1749</v>
      </c>
      <c r="J403" s="831" t="s">
        <v>664</v>
      </c>
      <c r="K403" s="835" t="s">
        <v>1288</v>
      </c>
      <c r="L403" s="831" t="s">
        <v>324</v>
      </c>
      <c r="M403" s="829" t="s">
        <v>1750</v>
      </c>
      <c r="N403" s="831" t="s">
        <v>665</v>
      </c>
    </row>
    <row r="404" spans="1:14" x14ac:dyDescent="0.3">
      <c r="A404" s="123">
        <v>18</v>
      </c>
      <c r="B404" s="820"/>
      <c r="C404" s="226" t="s">
        <v>1751</v>
      </c>
      <c r="D404" s="832"/>
      <c r="E404" s="832"/>
      <c r="F404" s="832"/>
      <c r="G404" s="834"/>
      <c r="H404" s="832"/>
      <c r="I404" s="834"/>
      <c r="J404" s="832"/>
      <c r="K404" s="836"/>
      <c r="L404" s="832"/>
      <c r="M404" s="830"/>
      <c r="N404" s="832"/>
    </row>
    <row r="405" spans="1:14" ht="22.5" x14ac:dyDescent="0.3">
      <c r="A405" s="123">
        <v>18</v>
      </c>
      <c r="B405" s="8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 x14ac:dyDescent="0.3">
      <c r="A406" s="123">
        <v>18</v>
      </c>
      <c r="B406" s="820"/>
      <c r="C406" s="226" t="s">
        <v>1755</v>
      </c>
      <c r="D406" s="831" t="s">
        <v>306</v>
      </c>
      <c r="E406" s="831" t="s">
        <v>322</v>
      </c>
      <c r="F406" s="831" t="s">
        <v>307</v>
      </c>
      <c r="G406" s="833" t="s">
        <v>1756</v>
      </c>
      <c r="H406" s="831" t="s">
        <v>347</v>
      </c>
      <c r="I406" s="833" t="s">
        <v>1154</v>
      </c>
      <c r="J406" s="831" t="s">
        <v>664</v>
      </c>
      <c r="K406" s="831" t="s">
        <v>1757</v>
      </c>
      <c r="L406" s="831" t="s">
        <v>324</v>
      </c>
      <c r="M406" s="829" t="s">
        <v>1758</v>
      </c>
      <c r="N406" s="831" t="s">
        <v>665</v>
      </c>
    </row>
    <row r="407" spans="1:14" x14ac:dyDescent="0.3">
      <c r="A407" s="123">
        <v>18</v>
      </c>
      <c r="B407" s="820"/>
      <c r="C407" s="226" t="s">
        <v>1759</v>
      </c>
      <c r="D407" s="832"/>
      <c r="E407" s="832"/>
      <c r="F407" s="832"/>
      <c r="G407" s="834"/>
      <c r="H407" s="832"/>
      <c r="I407" s="834"/>
      <c r="J407" s="832"/>
      <c r="K407" s="832"/>
      <c r="L407" s="832"/>
      <c r="M407" s="830"/>
      <c r="N407" s="832"/>
    </row>
    <row r="408" spans="1:14" ht="16.5" customHeight="1" x14ac:dyDescent="0.3">
      <c r="A408" s="123">
        <v>18</v>
      </c>
      <c r="B408" s="820"/>
      <c r="C408" s="228" t="s">
        <v>1760</v>
      </c>
      <c r="D408" s="831" t="s">
        <v>306</v>
      </c>
      <c r="E408" s="831" t="s">
        <v>322</v>
      </c>
      <c r="F408" s="831" t="s">
        <v>307</v>
      </c>
      <c r="G408" s="833" t="s">
        <v>1761</v>
      </c>
      <c r="H408" s="831" t="s">
        <v>329</v>
      </c>
      <c r="I408" s="833" t="s">
        <v>1762</v>
      </c>
      <c r="J408" s="831" t="s">
        <v>664</v>
      </c>
      <c r="K408" s="831" t="s">
        <v>1763</v>
      </c>
      <c r="L408" s="831" t="s">
        <v>324</v>
      </c>
      <c r="M408" s="829" t="s">
        <v>1764</v>
      </c>
      <c r="N408" s="831" t="s">
        <v>1765</v>
      </c>
    </row>
    <row r="409" spans="1:14" x14ac:dyDescent="0.3">
      <c r="A409" s="123">
        <v>18</v>
      </c>
      <c r="B409" s="821"/>
      <c r="C409" s="226" t="s">
        <v>1766</v>
      </c>
      <c r="D409" s="832"/>
      <c r="E409" s="832"/>
      <c r="F409" s="832"/>
      <c r="G409" s="834"/>
      <c r="H409" s="832"/>
      <c r="I409" s="834"/>
      <c r="J409" s="832"/>
      <c r="K409" s="832"/>
      <c r="L409" s="832"/>
      <c r="M409" s="830"/>
      <c r="N409" s="832"/>
    </row>
    <row r="410" spans="1:14" ht="16.5" customHeight="1" x14ac:dyDescent="0.3">
      <c r="A410" s="123">
        <v>18</v>
      </c>
      <c r="B410" s="819" t="s">
        <v>253</v>
      </c>
      <c r="C410" s="916" t="s">
        <v>1767</v>
      </c>
      <c r="D410" s="831" t="s">
        <v>311</v>
      </c>
      <c r="E410" s="831" t="s">
        <v>320</v>
      </c>
      <c r="F410" s="831" t="s">
        <v>709</v>
      </c>
      <c r="G410" s="831" t="s">
        <v>1768</v>
      </c>
      <c r="H410" s="916" t="s">
        <v>1769</v>
      </c>
      <c r="I410" s="227" t="s">
        <v>1770</v>
      </c>
      <c r="J410" s="831"/>
      <c r="K410" s="918" t="s">
        <v>1771</v>
      </c>
      <c r="L410" s="831" t="s">
        <v>309</v>
      </c>
      <c r="M410" s="829" t="s">
        <v>1764</v>
      </c>
      <c r="N410" s="831" t="s">
        <v>1772</v>
      </c>
    </row>
    <row r="411" spans="1:14" x14ac:dyDescent="0.3">
      <c r="A411" s="123">
        <v>18</v>
      </c>
      <c r="B411" s="820"/>
      <c r="C411" s="917"/>
      <c r="D411" s="832"/>
      <c r="E411" s="832"/>
      <c r="F411" s="832"/>
      <c r="G411" s="832"/>
      <c r="H411" s="917"/>
      <c r="I411" s="227" t="s">
        <v>1773</v>
      </c>
      <c r="J411" s="832"/>
      <c r="K411" s="919"/>
      <c r="L411" s="832"/>
      <c r="M411" s="830"/>
      <c r="N411" s="832"/>
    </row>
    <row r="412" spans="1:14" ht="22.5" x14ac:dyDescent="0.3">
      <c r="A412" s="123">
        <v>18</v>
      </c>
      <c r="B412" s="8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 x14ac:dyDescent="0.3">
      <c r="A413" s="123">
        <v>18</v>
      </c>
      <c r="B413" s="820"/>
      <c r="C413" s="916" t="s">
        <v>1776</v>
      </c>
      <c r="D413" s="916" t="s">
        <v>700</v>
      </c>
      <c r="E413" s="831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1" t="s">
        <v>638</v>
      </c>
      <c r="K413" s="831" t="s">
        <v>731</v>
      </c>
      <c r="L413" s="831" t="s">
        <v>309</v>
      </c>
      <c r="M413" s="829" t="s">
        <v>1780</v>
      </c>
      <c r="N413" s="831" t="s">
        <v>1781</v>
      </c>
    </row>
    <row r="414" spans="1:14" x14ac:dyDescent="0.3">
      <c r="A414" s="123">
        <v>18</v>
      </c>
      <c r="B414" s="821"/>
      <c r="C414" s="917"/>
      <c r="D414" s="917"/>
      <c r="E414" s="832"/>
      <c r="F414" s="917"/>
      <c r="G414" s="917"/>
      <c r="H414" s="917"/>
      <c r="I414" s="26"/>
      <c r="J414" s="832"/>
      <c r="K414" s="832"/>
      <c r="L414" s="832"/>
      <c r="M414" s="830"/>
      <c r="N414" s="832"/>
    </row>
    <row r="415" spans="1:14" ht="16.5" customHeight="1" x14ac:dyDescent="0.3">
      <c r="A415" s="123">
        <v>19</v>
      </c>
      <c r="B415" s="819" t="s">
        <v>20</v>
      </c>
      <c r="C415" s="148" t="s">
        <v>1794</v>
      </c>
      <c r="D415" s="837" t="s">
        <v>306</v>
      </c>
      <c r="E415" s="837" t="s">
        <v>322</v>
      </c>
      <c r="F415" s="837" t="s">
        <v>307</v>
      </c>
      <c r="G415" s="842" t="s">
        <v>1796</v>
      </c>
      <c r="H415" s="837" t="s">
        <v>1797</v>
      </c>
      <c r="I415" s="842" t="s">
        <v>1792</v>
      </c>
      <c r="J415" s="837" t="s">
        <v>664</v>
      </c>
      <c r="K415" s="148" t="s">
        <v>1520</v>
      </c>
      <c r="L415" s="837" t="s">
        <v>324</v>
      </c>
      <c r="M415" s="846" t="s">
        <v>1799</v>
      </c>
      <c r="N415" s="837" t="s">
        <v>665</v>
      </c>
    </row>
    <row r="416" spans="1:14" x14ac:dyDescent="0.3">
      <c r="A416" s="123">
        <v>19</v>
      </c>
      <c r="B416" s="820"/>
      <c r="C416" s="148" t="s">
        <v>1795</v>
      </c>
      <c r="D416" s="838"/>
      <c r="E416" s="838"/>
      <c r="F416" s="838"/>
      <c r="G416" s="843"/>
      <c r="H416" s="838"/>
      <c r="I416" s="843"/>
      <c r="J416" s="838"/>
      <c r="K416" s="148" t="s">
        <v>1798</v>
      </c>
      <c r="L416" s="838"/>
      <c r="M416" s="847"/>
      <c r="N416" s="838"/>
    </row>
    <row r="417" spans="1:14" x14ac:dyDescent="0.3">
      <c r="A417" s="123">
        <v>19</v>
      </c>
      <c r="B417" s="820"/>
      <c r="C417" s="148" t="s">
        <v>1800</v>
      </c>
      <c r="D417" s="837" t="s">
        <v>306</v>
      </c>
      <c r="E417" s="837" t="s">
        <v>322</v>
      </c>
      <c r="F417" s="837" t="s">
        <v>307</v>
      </c>
      <c r="G417" s="842" t="s">
        <v>1801</v>
      </c>
      <c r="H417" s="837" t="s">
        <v>1802</v>
      </c>
      <c r="I417" s="842" t="s">
        <v>1803</v>
      </c>
      <c r="J417" s="837" t="s">
        <v>664</v>
      </c>
      <c r="K417" s="855" t="s">
        <v>1155</v>
      </c>
      <c r="L417" s="837" t="s">
        <v>324</v>
      </c>
      <c r="M417" s="846" t="s">
        <v>1804</v>
      </c>
      <c r="N417" s="837" t="s">
        <v>665</v>
      </c>
    </row>
    <row r="418" spans="1:14" x14ac:dyDescent="0.3">
      <c r="A418" s="123">
        <v>19</v>
      </c>
      <c r="B418" s="821"/>
      <c r="C418" s="148" t="s">
        <v>1795</v>
      </c>
      <c r="D418" s="838"/>
      <c r="E418" s="838"/>
      <c r="F418" s="838"/>
      <c r="G418" s="843"/>
      <c r="H418" s="838"/>
      <c r="I418" s="843"/>
      <c r="J418" s="838"/>
      <c r="K418" s="856"/>
      <c r="L418" s="838"/>
      <c r="M418" s="847"/>
      <c r="N418" s="838"/>
    </row>
    <row r="419" spans="1:14" ht="16.5" customHeight="1" x14ac:dyDescent="0.3">
      <c r="A419" s="123">
        <v>19</v>
      </c>
      <c r="B419" s="819" t="s">
        <v>21</v>
      </c>
      <c r="C419" s="870" t="s">
        <v>1805</v>
      </c>
      <c r="D419" s="870" t="s">
        <v>700</v>
      </c>
      <c r="E419" s="837" t="s">
        <v>675</v>
      </c>
      <c r="F419" s="870" t="s">
        <v>1806</v>
      </c>
      <c r="G419" s="870" t="s">
        <v>1807</v>
      </c>
      <c r="H419" s="870" t="s">
        <v>662</v>
      </c>
      <c r="I419" s="842" t="s">
        <v>1808</v>
      </c>
      <c r="J419" s="837"/>
      <c r="K419" s="920" t="s">
        <v>1809</v>
      </c>
      <c r="L419" s="837" t="s">
        <v>309</v>
      </c>
      <c r="M419" s="846" t="s">
        <v>1810</v>
      </c>
      <c r="N419" s="149" t="s">
        <v>1811</v>
      </c>
    </row>
    <row r="420" spans="1:14" x14ac:dyDescent="0.3">
      <c r="A420" s="123">
        <v>19</v>
      </c>
      <c r="B420" s="820"/>
      <c r="C420" s="872"/>
      <c r="D420" s="872"/>
      <c r="E420" s="838"/>
      <c r="F420" s="872"/>
      <c r="G420" s="872"/>
      <c r="H420" s="872"/>
      <c r="I420" s="843"/>
      <c r="J420" s="838"/>
      <c r="K420" s="921"/>
      <c r="L420" s="838"/>
      <c r="M420" s="847"/>
      <c r="N420" s="149" t="s">
        <v>1812</v>
      </c>
    </row>
    <row r="421" spans="1:14" x14ac:dyDescent="0.3">
      <c r="A421" s="123">
        <v>19</v>
      </c>
      <c r="B421" s="820"/>
      <c r="C421" s="922" t="s">
        <v>1813</v>
      </c>
      <c r="D421" s="870" t="s">
        <v>700</v>
      </c>
      <c r="E421" s="837" t="s">
        <v>320</v>
      </c>
      <c r="F421" s="837" t="s">
        <v>337</v>
      </c>
      <c r="G421" s="870" t="s">
        <v>353</v>
      </c>
      <c r="H421" s="870" t="s">
        <v>1814</v>
      </c>
      <c r="I421" s="842" t="s">
        <v>1815</v>
      </c>
      <c r="J421" s="837" t="s">
        <v>638</v>
      </c>
      <c r="K421" s="924" t="s">
        <v>692</v>
      </c>
      <c r="L421" s="837" t="s">
        <v>309</v>
      </c>
      <c r="M421" s="846" t="s">
        <v>1816</v>
      </c>
      <c r="N421" s="148" t="s">
        <v>1817</v>
      </c>
    </row>
    <row r="422" spans="1:14" x14ac:dyDescent="0.3">
      <c r="A422" s="123">
        <v>19</v>
      </c>
      <c r="B422" s="820"/>
      <c r="C422" s="923"/>
      <c r="D422" s="872"/>
      <c r="E422" s="838"/>
      <c r="F422" s="838"/>
      <c r="G422" s="872"/>
      <c r="H422" s="872"/>
      <c r="I422" s="843"/>
      <c r="J422" s="838"/>
      <c r="K422" s="925"/>
      <c r="L422" s="838"/>
      <c r="M422" s="847"/>
      <c r="N422" s="148" t="s">
        <v>1818</v>
      </c>
    </row>
    <row r="423" spans="1:14" x14ac:dyDescent="0.3">
      <c r="A423" s="123">
        <v>19</v>
      </c>
      <c r="B423" s="8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x14ac:dyDescent="0.3">
      <c r="A424" s="123">
        <v>19</v>
      </c>
      <c r="B424" s="820"/>
      <c r="C424" s="870" t="s">
        <v>1820</v>
      </c>
      <c r="D424" s="870" t="s">
        <v>700</v>
      </c>
      <c r="E424" s="837" t="s">
        <v>320</v>
      </c>
      <c r="F424" s="837" t="s">
        <v>709</v>
      </c>
      <c r="G424" s="837" t="s">
        <v>1768</v>
      </c>
      <c r="H424" s="870" t="s">
        <v>1821</v>
      </c>
      <c r="I424" s="149" t="s">
        <v>1822</v>
      </c>
      <c r="J424" s="837" t="s">
        <v>638</v>
      </c>
      <c r="K424" s="837" t="s">
        <v>692</v>
      </c>
      <c r="L424" s="837" t="s">
        <v>309</v>
      </c>
      <c r="M424" s="846" t="s">
        <v>1535</v>
      </c>
      <c r="N424" s="842" t="s">
        <v>1824</v>
      </c>
    </row>
    <row r="425" spans="1:14" x14ac:dyDescent="0.3">
      <c r="A425" s="123">
        <v>19</v>
      </c>
      <c r="B425" s="820"/>
      <c r="C425" s="872"/>
      <c r="D425" s="872"/>
      <c r="E425" s="838"/>
      <c r="F425" s="838"/>
      <c r="G425" s="838"/>
      <c r="H425" s="872"/>
      <c r="I425" s="149" t="s">
        <v>1823</v>
      </c>
      <c r="J425" s="838"/>
      <c r="K425" s="838"/>
      <c r="L425" s="838"/>
      <c r="M425" s="847"/>
      <c r="N425" s="843"/>
    </row>
    <row r="426" spans="1:14" x14ac:dyDescent="0.3">
      <c r="A426" s="123">
        <v>19</v>
      </c>
      <c r="B426" s="8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x14ac:dyDescent="0.3">
      <c r="A427" s="123">
        <v>20</v>
      </c>
      <c r="B427" s="8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x14ac:dyDescent="0.3">
      <c r="A443" s="123">
        <v>21</v>
      </c>
      <c r="B443" s="8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19" t="s">
        <v>2078</v>
      </c>
      <c r="C452" s="243" t="s">
        <v>1906</v>
      </c>
      <c r="D452" s="815" t="s">
        <v>306</v>
      </c>
      <c r="E452" s="815" t="s">
        <v>322</v>
      </c>
      <c r="F452" s="815" t="s">
        <v>307</v>
      </c>
      <c r="G452" s="815">
        <v>3306</v>
      </c>
      <c r="H452" s="815" t="s">
        <v>1153</v>
      </c>
      <c r="I452" s="815" t="s">
        <v>1907</v>
      </c>
      <c r="J452" s="815" t="s">
        <v>1111</v>
      </c>
      <c r="K452" s="815" t="s">
        <v>692</v>
      </c>
      <c r="L452" s="815" t="s">
        <v>324</v>
      </c>
      <c r="M452" s="824" t="s">
        <v>1908</v>
      </c>
      <c r="N452" s="815" t="s">
        <v>665</v>
      </c>
    </row>
    <row r="453" spans="1:14" x14ac:dyDescent="0.3">
      <c r="A453" s="123">
        <v>23</v>
      </c>
      <c r="B453" s="820"/>
      <c r="C453" s="243" t="s">
        <v>1909</v>
      </c>
      <c r="D453" s="816"/>
      <c r="E453" s="816"/>
      <c r="F453" s="816"/>
      <c r="G453" s="816"/>
      <c r="H453" s="816"/>
      <c r="I453" s="816"/>
      <c r="J453" s="816"/>
      <c r="K453" s="816"/>
      <c r="L453" s="816"/>
      <c r="M453" s="825"/>
      <c r="N453" s="816"/>
    </row>
    <row r="454" spans="1:14" x14ac:dyDescent="0.3">
      <c r="A454" s="123">
        <v>23</v>
      </c>
      <c r="B454" s="820"/>
      <c r="C454" s="243" t="s">
        <v>1910</v>
      </c>
      <c r="D454" s="815" t="s">
        <v>306</v>
      </c>
      <c r="E454" s="815" t="s">
        <v>322</v>
      </c>
      <c r="F454" s="815" t="s">
        <v>307</v>
      </c>
      <c r="G454" s="817" t="s">
        <v>1418</v>
      </c>
      <c r="H454" s="815" t="s">
        <v>1911</v>
      </c>
      <c r="I454" s="817" t="s">
        <v>1154</v>
      </c>
      <c r="J454" s="815" t="s">
        <v>664</v>
      </c>
      <c r="K454" s="926" t="s">
        <v>1763</v>
      </c>
      <c r="L454" s="815" t="s">
        <v>324</v>
      </c>
      <c r="M454" s="824" t="s">
        <v>1535</v>
      </c>
      <c r="N454" s="815" t="s">
        <v>665</v>
      </c>
    </row>
    <row r="455" spans="1:14" x14ac:dyDescent="0.3">
      <c r="A455" s="123">
        <v>23</v>
      </c>
      <c r="B455" s="820"/>
      <c r="C455" s="243" t="s">
        <v>1909</v>
      </c>
      <c r="D455" s="816"/>
      <c r="E455" s="816"/>
      <c r="F455" s="816"/>
      <c r="G455" s="818"/>
      <c r="H455" s="816"/>
      <c r="I455" s="818"/>
      <c r="J455" s="816"/>
      <c r="K455" s="927"/>
      <c r="L455" s="816"/>
      <c r="M455" s="825"/>
      <c r="N455" s="816"/>
    </row>
    <row r="456" spans="1:14" x14ac:dyDescent="0.3">
      <c r="A456" s="123">
        <v>23</v>
      </c>
      <c r="B456" s="8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x14ac:dyDescent="0.3">
      <c r="A457" s="123">
        <v>23</v>
      </c>
      <c r="B457" s="820"/>
      <c r="C457" s="243" t="s">
        <v>1917</v>
      </c>
      <c r="D457" s="815" t="s">
        <v>306</v>
      </c>
      <c r="E457" s="815" t="s">
        <v>322</v>
      </c>
      <c r="F457" s="815" t="s">
        <v>307</v>
      </c>
      <c r="G457" s="817">
        <v>4267</v>
      </c>
      <c r="H457" s="815" t="s">
        <v>640</v>
      </c>
      <c r="I457" s="817" t="s">
        <v>1154</v>
      </c>
      <c r="J457" s="815" t="s">
        <v>664</v>
      </c>
      <c r="K457" s="926" t="s">
        <v>1763</v>
      </c>
      <c r="L457" s="815" t="s">
        <v>324</v>
      </c>
      <c r="M457" s="824" t="s">
        <v>1535</v>
      </c>
      <c r="N457" s="815" t="s">
        <v>665</v>
      </c>
    </row>
    <row r="458" spans="1:14" x14ac:dyDescent="0.3">
      <c r="A458" s="123">
        <v>23</v>
      </c>
      <c r="B458" s="820"/>
      <c r="C458" s="243" t="s">
        <v>1918</v>
      </c>
      <c r="D458" s="816"/>
      <c r="E458" s="816"/>
      <c r="F458" s="816"/>
      <c r="G458" s="818"/>
      <c r="H458" s="816"/>
      <c r="I458" s="818"/>
      <c r="J458" s="816"/>
      <c r="K458" s="927"/>
      <c r="L458" s="816"/>
      <c r="M458" s="825"/>
      <c r="N458" s="816"/>
    </row>
    <row r="459" spans="1:14" x14ac:dyDescent="0.3">
      <c r="A459" s="123">
        <v>23</v>
      </c>
      <c r="B459" s="820"/>
      <c r="C459" s="243" t="s">
        <v>1917</v>
      </c>
      <c r="D459" s="815" t="s">
        <v>306</v>
      </c>
      <c r="E459" s="815" t="s">
        <v>322</v>
      </c>
      <c r="F459" s="815" t="s">
        <v>307</v>
      </c>
      <c r="G459" s="817" t="s">
        <v>1919</v>
      </c>
      <c r="H459" s="815" t="s">
        <v>662</v>
      </c>
      <c r="I459" s="817" t="s">
        <v>1920</v>
      </c>
      <c r="J459" s="815" t="s">
        <v>349</v>
      </c>
      <c r="K459" s="928" t="s">
        <v>1916</v>
      </c>
      <c r="L459" s="815" t="s">
        <v>324</v>
      </c>
      <c r="M459" s="824" t="s">
        <v>1535</v>
      </c>
      <c r="N459" s="815" t="s">
        <v>425</v>
      </c>
    </row>
    <row r="460" spans="1:14" x14ac:dyDescent="0.3">
      <c r="A460" s="123">
        <v>23</v>
      </c>
      <c r="B460" s="821"/>
      <c r="C460" s="244" t="s">
        <v>1918</v>
      </c>
      <c r="D460" s="816"/>
      <c r="E460" s="816"/>
      <c r="F460" s="816"/>
      <c r="G460" s="818"/>
      <c r="H460" s="816"/>
      <c r="I460" s="818"/>
      <c r="J460" s="816"/>
      <c r="K460" s="929"/>
      <c r="L460" s="816"/>
      <c r="M460" s="825"/>
      <c r="N460" s="816"/>
    </row>
    <row r="461" spans="1:14" x14ac:dyDescent="0.3">
      <c r="A461" s="123">
        <v>23</v>
      </c>
      <c r="B461" s="8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x14ac:dyDescent="0.3">
      <c r="A462" s="123">
        <v>23</v>
      </c>
      <c r="B462" s="820"/>
      <c r="C462" s="815" t="s">
        <v>1921</v>
      </c>
      <c r="D462" s="815" t="s">
        <v>311</v>
      </c>
      <c r="E462" s="815" t="s">
        <v>675</v>
      </c>
      <c r="F462" s="815" t="s">
        <v>1926</v>
      </c>
      <c r="G462" s="815" t="s">
        <v>1927</v>
      </c>
      <c r="H462" s="822" t="s">
        <v>347</v>
      </c>
      <c r="I462" s="242" t="s">
        <v>1928</v>
      </c>
      <c r="J462" s="815"/>
      <c r="K462" s="817" t="s">
        <v>1924</v>
      </c>
      <c r="L462" s="815" t="s">
        <v>309</v>
      </c>
      <c r="M462" s="824" t="s">
        <v>1828</v>
      </c>
      <c r="N462" s="817" t="s">
        <v>1925</v>
      </c>
    </row>
    <row r="463" spans="1:14" x14ac:dyDescent="0.3">
      <c r="A463" s="123">
        <v>23</v>
      </c>
      <c r="B463" s="820"/>
      <c r="C463" s="816"/>
      <c r="D463" s="816"/>
      <c r="E463" s="816"/>
      <c r="F463" s="816"/>
      <c r="G463" s="816"/>
      <c r="H463" s="823"/>
      <c r="I463" s="242" t="s">
        <v>1929</v>
      </c>
      <c r="J463" s="816"/>
      <c r="K463" s="818"/>
      <c r="L463" s="816"/>
      <c r="M463" s="825"/>
      <c r="N463" s="818"/>
    </row>
    <row r="464" spans="1:14" ht="24" x14ac:dyDescent="0.3">
      <c r="A464" s="123">
        <v>23</v>
      </c>
      <c r="B464" s="8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x14ac:dyDescent="0.3">
      <c r="A465" s="123">
        <v>23</v>
      </c>
      <c r="B465" s="8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x14ac:dyDescent="0.3">
      <c r="A466" s="123">
        <v>24</v>
      </c>
      <c r="B466" s="8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x14ac:dyDescent="0.3">
      <c r="A482" s="123">
        <v>26</v>
      </c>
      <c r="B482" s="8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x14ac:dyDescent="0.3">
      <c r="A636" s="123">
        <v>49</v>
      </c>
      <c r="B636" s="8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x14ac:dyDescent="0.3">
      <c r="A641" s="123">
        <v>50</v>
      </c>
      <c r="B641" s="8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x14ac:dyDescent="0.3">
      <c r="A642" s="123">
        <v>50</v>
      </c>
      <c r="B642" s="8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x14ac:dyDescent="0.3">
      <c r="A643" s="123">
        <v>51</v>
      </c>
      <c r="B643" s="8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x14ac:dyDescent="0.3">
      <c r="A646" s="123">
        <v>51</v>
      </c>
      <c r="B646" s="8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x14ac:dyDescent="0.3">
      <c r="A647" s="123">
        <v>51</v>
      </c>
      <c r="B647" s="8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x14ac:dyDescent="0.3">
      <c r="A648" s="123">
        <v>51</v>
      </c>
      <c r="B648" s="82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x14ac:dyDescent="0.3">
      <c r="A649" s="123">
        <v>51</v>
      </c>
      <c r="B649" s="8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x14ac:dyDescent="0.3">
      <c r="A650" s="123">
        <v>52</v>
      </c>
      <c r="B650" s="8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x14ac:dyDescent="0.3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x14ac:dyDescent="0.3">
      <c r="A654" s="123">
        <v>1</v>
      </c>
      <c r="B654" s="8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x14ac:dyDescent="0.3">
      <c r="A655" s="123">
        <v>1</v>
      </c>
      <c r="B655" s="8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x14ac:dyDescent="0.3">
      <c r="A657" s="123">
        <v>1</v>
      </c>
      <c r="B657" s="8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x14ac:dyDescent="0.3">
      <c r="A658" s="123">
        <v>2</v>
      </c>
      <c r="B658" s="8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x14ac:dyDescent="0.3">
      <c r="A663" s="123">
        <v>3</v>
      </c>
      <c r="B663" s="8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x14ac:dyDescent="0.3">
      <c r="A668" s="123">
        <v>4</v>
      </c>
      <c r="B668" s="8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x14ac:dyDescent="0.3">
      <c r="A671" s="123">
        <v>4</v>
      </c>
      <c r="B671" s="8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 x14ac:dyDescent="0.3">
      <c r="A673" s="356">
        <v>6</v>
      </c>
      <c r="B673" s="930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x14ac:dyDescent="0.3">
      <c r="A674" s="123">
        <v>6</v>
      </c>
      <c r="B674" s="8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x14ac:dyDescent="0.3">
      <c r="A677" s="123">
        <v>6</v>
      </c>
      <c r="B677" s="8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x14ac:dyDescent="0.3">
      <c r="A678" s="123">
        <v>7</v>
      </c>
      <c r="B678" s="8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x14ac:dyDescent="0.3">
      <c r="A684" s="123">
        <v>7</v>
      </c>
      <c r="B684" s="8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x14ac:dyDescent="0.3">
      <c r="A685" s="123">
        <v>8</v>
      </c>
      <c r="B685" s="8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x14ac:dyDescent="0.3">
      <c r="A686" s="123">
        <v>8</v>
      </c>
      <c r="B686" s="8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x14ac:dyDescent="0.3">
      <c r="A687" s="123">
        <v>8</v>
      </c>
      <c r="B687" s="820"/>
      <c r="C687" s="148" t="s">
        <v>2726</v>
      </c>
      <c r="D687" s="837" t="s">
        <v>306</v>
      </c>
      <c r="E687" s="837" t="s">
        <v>322</v>
      </c>
      <c r="F687" s="837" t="s">
        <v>307</v>
      </c>
      <c r="G687" s="842" t="s">
        <v>2719</v>
      </c>
      <c r="H687" s="837" t="s">
        <v>1047</v>
      </c>
      <c r="I687" s="842" t="s">
        <v>704</v>
      </c>
      <c r="J687" s="837" t="s">
        <v>664</v>
      </c>
      <c r="K687" s="934" t="s">
        <v>1763</v>
      </c>
      <c r="L687" s="837"/>
      <c r="M687" s="846" t="s">
        <v>458</v>
      </c>
      <c r="N687" s="837" t="s">
        <v>665</v>
      </c>
    </row>
    <row r="688" spans="1:14" x14ac:dyDescent="0.3">
      <c r="A688" s="123">
        <v>8</v>
      </c>
      <c r="B688" s="820"/>
      <c r="C688" s="148" t="s">
        <v>2727</v>
      </c>
      <c r="D688" s="838"/>
      <c r="E688" s="838"/>
      <c r="F688" s="838"/>
      <c r="G688" s="843"/>
      <c r="H688" s="838"/>
      <c r="I688" s="843"/>
      <c r="J688" s="838"/>
      <c r="K688" s="935"/>
      <c r="L688" s="838"/>
      <c r="M688" s="847"/>
      <c r="N688" s="838"/>
    </row>
    <row r="689" spans="1:14" x14ac:dyDescent="0.3">
      <c r="A689" s="123">
        <v>8</v>
      </c>
      <c r="B689" s="8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 x14ac:dyDescent="0.3">
      <c r="A690" s="123">
        <v>8</v>
      </c>
      <c r="B690" s="820"/>
      <c r="C690" s="148" t="s">
        <v>2730</v>
      </c>
      <c r="D690" s="837" t="s">
        <v>306</v>
      </c>
      <c r="E690" s="837" t="s">
        <v>322</v>
      </c>
      <c r="F690" s="837" t="s">
        <v>307</v>
      </c>
      <c r="G690" s="842" t="s">
        <v>2731</v>
      </c>
      <c r="H690" s="837" t="s">
        <v>640</v>
      </c>
      <c r="I690" s="842" t="s">
        <v>668</v>
      </c>
      <c r="J690" s="837" t="s">
        <v>349</v>
      </c>
      <c r="K690" s="936" t="s">
        <v>2732</v>
      </c>
      <c r="L690" s="837"/>
      <c r="M690" s="846" t="s">
        <v>2769</v>
      </c>
      <c r="N690" s="837" t="s">
        <v>425</v>
      </c>
    </row>
    <row r="691" spans="1:14" x14ac:dyDescent="0.3">
      <c r="A691" s="123">
        <v>8</v>
      </c>
      <c r="B691" s="821"/>
      <c r="C691" s="148" t="s">
        <v>2723</v>
      </c>
      <c r="D691" s="838"/>
      <c r="E691" s="838"/>
      <c r="F691" s="838"/>
      <c r="G691" s="843"/>
      <c r="H691" s="838"/>
      <c r="I691" s="843"/>
      <c r="J691" s="838"/>
      <c r="K691" s="937"/>
      <c r="L691" s="838"/>
      <c r="M691" s="847"/>
      <c r="N691" s="838"/>
    </row>
    <row r="692" spans="1:14" x14ac:dyDescent="0.3">
      <c r="A692" s="123">
        <v>8</v>
      </c>
      <c r="B692" s="8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 x14ac:dyDescent="0.3">
      <c r="A693" s="123">
        <v>8</v>
      </c>
      <c r="B693" s="820"/>
      <c r="C693" s="837" t="s">
        <v>2768</v>
      </c>
      <c r="D693" s="837" t="s">
        <v>311</v>
      </c>
      <c r="E693" s="837" t="s">
        <v>675</v>
      </c>
      <c r="F693" s="149" t="s">
        <v>1806</v>
      </c>
      <c r="G693" s="842" t="s">
        <v>689</v>
      </c>
      <c r="H693" s="842" t="s">
        <v>662</v>
      </c>
      <c r="I693" s="842" t="s">
        <v>2739</v>
      </c>
      <c r="J693" s="842"/>
      <c r="K693" s="842" t="s">
        <v>698</v>
      </c>
      <c r="L693" s="837" t="s">
        <v>309</v>
      </c>
      <c r="M693" s="846" t="s">
        <v>672</v>
      </c>
      <c r="N693" s="837" t="s">
        <v>2740</v>
      </c>
    </row>
    <row r="694" spans="1:14" x14ac:dyDescent="0.3">
      <c r="A694" s="123">
        <v>8</v>
      </c>
      <c r="B694" s="821"/>
      <c r="C694" s="838"/>
      <c r="D694" s="838"/>
      <c r="E694" s="838"/>
      <c r="F694" s="149" t="s">
        <v>2738</v>
      </c>
      <c r="G694" s="843"/>
      <c r="H694" s="843"/>
      <c r="I694" s="843"/>
      <c r="J694" s="843"/>
      <c r="K694" s="843"/>
      <c r="L694" s="838"/>
      <c r="M694" s="847"/>
      <c r="N694" s="868"/>
    </row>
    <row r="695" spans="1:14" x14ac:dyDescent="0.3">
      <c r="A695" s="123">
        <v>9</v>
      </c>
      <c r="B695" s="8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x14ac:dyDescent="0.3">
      <c r="A696" s="123">
        <v>9</v>
      </c>
      <c r="B696" s="8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x14ac:dyDescent="0.3">
      <c r="A697" s="123">
        <v>9</v>
      </c>
      <c r="B697" s="820"/>
      <c r="C697" s="243" t="s">
        <v>2745</v>
      </c>
      <c r="D697" s="815" t="s">
        <v>306</v>
      </c>
      <c r="E697" s="815" t="s">
        <v>322</v>
      </c>
      <c r="F697" s="815" t="s">
        <v>307</v>
      </c>
      <c r="G697" s="817" t="s">
        <v>2746</v>
      </c>
      <c r="H697" s="815" t="s">
        <v>405</v>
      </c>
      <c r="I697" s="817" t="s">
        <v>2747</v>
      </c>
      <c r="J697" s="815" t="s">
        <v>664</v>
      </c>
      <c r="K697" s="938" t="s">
        <v>1757</v>
      </c>
      <c r="L697" s="815"/>
      <c r="M697" s="824">
        <v>750000</v>
      </c>
      <c r="N697" s="815" t="s">
        <v>665</v>
      </c>
    </row>
    <row r="698" spans="1:14" x14ac:dyDescent="0.3">
      <c r="A698" s="123">
        <v>9</v>
      </c>
      <c r="B698" s="820"/>
      <c r="C698" s="243" t="s">
        <v>2748</v>
      </c>
      <c r="D698" s="816"/>
      <c r="E698" s="816"/>
      <c r="F698" s="816"/>
      <c r="G698" s="818"/>
      <c r="H698" s="816"/>
      <c r="I698" s="818"/>
      <c r="J698" s="816"/>
      <c r="K698" s="939"/>
      <c r="L698" s="816"/>
      <c r="M698" s="825"/>
      <c r="N698" s="816"/>
    </row>
    <row r="699" spans="1:14" x14ac:dyDescent="0.3">
      <c r="A699" s="123">
        <v>9</v>
      </c>
      <c r="B699" s="820"/>
      <c r="C699" s="243" t="s">
        <v>2745</v>
      </c>
      <c r="D699" s="815" t="s">
        <v>306</v>
      </c>
      <c r="E699" s="815" t="s">
        <v>322</v>
      </c>
      <c r="F699" s="815" t="s">
        <v>307</v>
      </c>
      <c r="G699" s="817" t="s">
        <v>2749</v>
      </c>
      <c r="H699" s="815" t="s">
        <v>662</v>
      </c>
      <c r="I699" s="817" t="s">
        <v>668</v>
      </c>
      <c r="J699" s="815" t="s">
        <v>349</v>
      </c>
      <c r="K699" s="940" t="s">
        <v>2732</v>
      </c>
      <c r="L699" s="815"/>
      <c r="M699" s="824">
        <v>1000000</v>
      </c>
      <c r="N699" s="815" t="s">
        <v>425</v>
      </c>
    </row>
    <row r="700" spans="1:14" x14ac:dyDescent="0.3">
      <c r="A700" s="123">
        <v>9</v>
      </c>
      <c r="B700" s="820"/>
      <c r="C700" s="243" t="s">
        <v>2750</v>
      </c>
      <c r="D700" s="816"/>
      <c r="E700" s="816"/>
      <c r="F700" s="816"/>
      <c r="G700" s="818"/>
      <c r="H700" s="816"/>
      <c r="I700" s="818"/>
      <c r="J700" s="816"/>
      <c r="K700" s="941"/>
      <c r="L700" s="816"/>
      <c r="M700" s="825"/>
      <c r="N700" s="816"/>
    </row>
    <row r="701" spans="1:14" x14ac:dyDescent="0.3">
      <c r="A701" s="123">
        <v>9</v>
      </c>
      <c r="B701" s="8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x14ac:dyDescent="0.3">
      <c r="A702" s="123">
        <v>10</v>
      </c>
      <c r="B702" s="8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x14ac:dyDescent="0.3">
      <c r="A706" s="123">
        <v>11</v>
      </c>
      <c r="B706" s="8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x14ac:dyDescent="0.3">
      <c r="A710" s="123">
        <v>12</v>
      </c>
      <c r="B710" s="8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2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x14ac:dyDescent="0.3">
      <c r="A730" s="123">
        <v>15</v>
      </c>
      <c r="B730" s="8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2" t="s">
        <v>2821</v>
      </c>
    </row>
    <row r="734" spans="1:14" ht="27" x14ac:dyDescent="0.3">
      <c r="A734" s="123">
        <v>15</v>
      </c>
      <c r="B734" s="8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3"/>
    </row>
    <row r="735" spans="1:14" x14ac:dyDescent="0.3">
      <c r="A735" s="123">
        <v>15</v>
      </c>
      <c r="B735" s="8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x14ac:dyDescent="0.3">
      <c r="A745" s="231">
        <v>16</v>
      </c>
      <c r="B745" s="82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x14ac:dyDescent="0.3">
      <c r="A746" s="123">
        <v>17</v>
      </c>
      <c r="B746" s="8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1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x14ac:dyDescent="0.3">
      <c r="A761" s="123">
        <v>19</v>
      </c>
      <c r="B761" s="8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x14ac:dyDescent="0.3">
      <c r="A763" s="123">
        <v>19</v>
      </c>
      <c r="B763" s="8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x14ac:dyDescent="0.3">
      <c r="A764" s="123">
        <v>20</v>
      </c>
      <c r="B764" s="8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x14ac:dyDescent="0.3">
      <c r="A767" s="123">
        <v>20</v>
      </c>
      <c r="B767" s="8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x14ac:dyDescent="0.3">
      <c r="A769" s="123">
        <v>20</v>
      </c>
      <c r="B769" s="8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x14ac:dyDescent="0.3">
      <c r="A770" s="231">
        <v>20</v>
      </c>
      <c r="B770" s="82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x14ac:dyDescent="0.3">
      <c r="A771" s="123">
        <v>21</v>
      </c>
      <c r="B771" s="8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3">
        <v>21</v>
      </c>
      <c r="B774" s="8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3">
        <v>21</v>
      </c>
      <c r="B775" s="8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x14ac:dyDescent="0.3">
      <c r="A793" s="123">
        <v>24</v>
      </c>
      <c r="B793" s="8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x14ac:dyDescent="0.3">
      <c r="A794" s="123">
        <v>25</v>
      </c>
      <c r="B794" s="8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x14ac:dyDescent="0.3">
      <c r="A798" s="123">
        <v>26</v>
      </c>
      <c r="B798" s="8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1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x14ac:dyDescent="0.3">
      <c r="A804" s="123">
        <v>26</v>
      </c>
      <c r="B804" s="82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x14ac:dyDescent="0.3">
      <c r="A805" s="123">
        <v>26</v>
      </c>
      <c r="B805" s="82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x14ac:dyDescent="0.3">
      <c r="A806" s="123">
        <v>26</v>
      </c>
      <c r="B806" s="82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x14ac:dyDescent="0.3">
      <c r="A807" s="123">
        <v>27</v>
      </c>
      <c r="B807" s="8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9">
        <v>28</v>
      </c>
      <c r="B820" s="8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x14ac:dyDescent="0.3">
      <c r="A827" s="123">
        <v>28</v>
      </c>
      <c r="B827" s="8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x14ac:dyDescent="0.3">
      <c r="A829" s="123">
        <v>28</v>
      </c>
      <c r="B829" s="8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x14ac:dyDescent="0.3">
      <c r="A830" s="123">
        <v>28</v>
      </c>
      <c r="B830" s="8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x14ac:dyDescent="0.3">
      <c r="A831" s="123">
        <v>28</v>
      </c>
      <c r="B831" s="8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x14ac:dyDescent="0.3">
      <c r="A833" s="123">
        <v>28</v>
      </c>
      <c r="B833" s="8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19" t="s">
        <v>3097</v>
      </c>
      <c r="C835" s="148" t="s">
        <v>3079</v>
      </c>
      <c r="D835" s="837" t="s">
        <v>306</v>
      </c>
      <c r="E835" s="837" t="s">
        <v>322</v>
      </c>
      <c r="F835" s="837" t="s">
        <v>307</v>
      </c>
      <c r="G835" s="842" t="s">
        <v>3051</v>
      </c>
      <c r="H835" s="837" t="s">
        <v>1993</v>
      </c>
      <c r="I835" s="842" t="s">
        <v>3052</v>
      </c>
      <c r="J835" s="837" t="s">
        <v>664</v>
      </c>
      <c r="K835" s="148" t="s">
        <v>3081</v>
      </c>
      <c r="L835" s="837"/>
      <c r="M835" s="945" t="s">
        <v>3082</v>
      </c>
      <c r="N835" s="148" t="s">
        <v>3083</v>
      </c>
    </row>
    <row r="836" spans="1:14" x14ac:dyDescent="0.3">
      <c r="A836" s="123">
        <v>29</v>
      </c>
      <c r="B836" s="820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 x14ac:dyDescent="0.3">
      <c r="A837" s="123">
        <v>29</v>
      </c>
      <c r="B837" s="820"/>
      <c r="C837" s="148"/>
      <c r="D837" s="838"/>
      <c r="E837" s="838"/>
      <c r="F837" s="838"/>
      <c r="G837" s="843"/>
      <c r="H837" s="838"/>
      <c r="I837" s="843"/>
      <c r="J837" s="838"/>
      <c r="K837" s="148"/>
      <c r="L837" s="838"/>
      <c r="M837" s="947"/>
      <c r="N837" s="148" t="s">
        <v>3084</v>
      </c>
    </row>
    <row r="838" spans="1:14" x14ac:dyDescent="0.3">
      <c r="A838" s="123">
        <v>29</v>
      </c>
      <c r="B838" s="8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x14ac:dyDescent="0.3">
      <c r="A839" s="123">
        <v>29</v>
      </c>
      <c r="B839" s="8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x14ac:dyDescent="0.3">
      <c r="A840" s="123">
        <v>29</v>
      </c>
      <c r="B840" s="819" t="s">
        <v>21</v>
      </c>
      <c r="C840" s="111" t="s">
        <v>3087</v>
      </c>
      <c r="D840" s="837" t="s">
        <v>311</v>
      </c>
      <c r="E840" s="837" t="s">
        <v>320</v>
      </c>
      <c r="F840" s="842" t="s">
        <v>2601</v>
      </c>
      <c r="G840" s="842" t="s">
        <v>3059</v>
      </c>
      <c r="H840" s="842" t="s">
        <v>3060</v>
      </c>
      <c r="I840" s="842" t="s">
        <v>3061</v>
      </c>
      <c r="J840" s="842" t="s">
        <v>702</v>
      </c>
      <c r="K840" s="842" t="s">
        <v>3062</v>
      </c>
      <c r="L840" s="837" t="s">
        <v>309</v>
      </c>
      <c r="M840" s="945" t="s">
        <v>1816</v>
      </c>
      <c r="N840" s="837" t="s">
        <v>3088</v>
      </c>
    </row>
    <row r="841" spans="1:14" x14ac:dyDescent="0.3">
      <c r="A841" s="123">
        <v>29</v>
      </c>
      <c r="B841" s="820"/>
      <c r="C841" s="111" t="s">
        <v>3065</v>
      </c>
      <c r="D841" s="838"/>
      <c r="E841" s="838"/>
      <c r="F841" s="843"/>
      <c r="G841" s="843"/>
      <c r="H841" s="843"/>
      <c r="I841" s="843"/>
      <c r="J841" s="843"/>
      <c r="K841" s="843"/>
      <c r="L841" s="838"/>
      <c r="M841" s="947"/>
      <c r="N841" s="838"/>
    </row>
    <row r="842" spans="1:14" x14ac:dyDescent="0.3">
      <c r="A842" s="123">
        <v>29</v>
      </c>
      <c r="B842" s="8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x14ac:dyDescent="0.3">
      <c r="A843" s="123">
        <v>29</v>
      </c>
      <c r="B843" s="8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x14ac:dyDescent="0.3">
      <c r="A844" s="123">
        <v>29</v>
      </c>
      <c r="B844" s="820"/>
      <c r="C844" s="111" t="s">
        <v>3079</v>
      </c>
      <c r="D844" s="837" t="s">
        <v>311</v>
      </c>
      <c r="E844" s="837" t="s">
        <v>320</v>
      </c>
      <c r="F844" s="842" t="s">
        <v>3068</v>
      </c>
      <c r="G844" s="842" t="s">
        <v>1919</v>
      </c>
      <c r="H844" s="842" t="s">
        <v>3069</v>
      </c>
      <c r="I844" s="149" t="s">
        <v>3090</v>
      </c>
      <c r="J844" s="842"/>
      <c r="K844" s="842" t="s">
        <v>3070</v>
      </c>
      <c r="L844" s="837" t="s">
        <v>309</v>
      </c>
      <c r="M844" s="948" t="s">
        <v>3092</v>
      </c>
      <c r="N844" s="837" t="s">
        <v>1206</v>
      </c>
    </row>
    <row r="845" spans="1:14" x14ac:dyDescent="0.3">
      <c r="A845" s="123">
        <v>29</v>
      </c>
      <c r="B845" s="820"/>
      <c r="C845" s="111" t="s">
        <v>3089</v>
      </c>
      <c r="D845" s="838"/>
      <c r="E845" s="838"/>
      <c r="F845" s="843"/>
      <c r="G845" s="843"/>
      <c r="H845" s="843"/>
      <c r="I845" s="149" t="s">
        <v>3091</v>
      </c>
      <c r="J845" s="843"/>
      <c r="K845" s="843"/>
      <c r="L845" s="838"/>
      <c r="M845" s="949"/>
      <c r="N845" s="838"/>
    </row>
    <row r="846" spans="1:14" x14ac:dyDescent="0.3">
      <c r="A846" s="123">
        <v>29</v>
      </c>
      <c r="B846" s="820"/>
      <c r="C846" s="111" t="s">
        <v>3079</v>
      </c>
      <c r="D846" s="837" t="s">
        <v>311</v>
      </c>
      <c r="E846" s="837" t="s">
        <v>320</v>
      </c>
      <c r="F846" s="842" t="s">
        <v>2601</v>
      </c>
      <c r="G846" s="842" t="s">
        <v>3059</v>
      </c>
      <c r="H846" s="842" t="s">
        <v>3060</v>
      </c>
      <c r="I846" s="842" t="s">
        <v>3071</v>
      </c>
      <c r="J846" s="842" t="s">
        <v>702</v>
      </c>
      <c r="K846" s="842" t="s">
        <v>1054</v>
      </c>
      <c r="L846" s="837" t="s">
        <v>309</v>
      </c>
      <c r="M846" s="945" t="s">
        <v>3094</v>
      </c>
      <c r="N846" s="837" t="s">
        <v>3095</v>
      </c>
    </row>
    <row r="847" spans="1:14" x14ac:dyDescent="0.3">
      <c r="A847" s="123">
        <v>29</v>
      </c>
      <c r="B847" s="820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 x14ac:dyDescent="0.3">
      <c r="A848" s="123">
        <v>29</v>
      </c>
      <c r="B848" s="820"/>
      <c r="C848" s="111" t="s">
        <v>3093</v>
      </c>
      <c r="D848" s="838"/>
      <c r="E848" s="838"/>
      <c r="F848" s="843"/>
      <c r="G848" s="843"/>
      <c r="H848" s="843"/>
      <c r="I848" s="843"/>
      <c r="J848" s="843"/>
      <c r="K848" s="843"/>
      <c r="L848" s="838"/>
      <c r="M848" s="947"/>
      <c r="N848" s="838"/>
    </row>
    <row r="849" spans="1:14" x14ac:dyDescent="0.3">
      <c r="A849" s="123">
        <v>29</v>
      </c>
      <c r="B849" s="820"/>
      <c r="C849" s="111" t="s">
        <v>3096</v>
      </c>
      <c r="D849" s="837" t="s">
        <v>311</v>
      </c>
      <c r="E849" s="837" t="s">
        <v>320</v>
      </c>
      <c r="F849" s="842" t="s">
        <v>337</v>
      </c>
      <c r="G849" s="842" t="s">
        <v>3072</v>
      </c>
      <c r="H849" s="842" t="s">
        <v>354</v>
      </c>
      <c r="I849" s="842" t="s">
        <v>310</v>
      </c>
      <c r="J849" s="842" t="s">
        <v>638</v>
      </c>
      <c r="K849" s="842" t="s">
        <v>3073</v>
      </c>
      <c r="L849" s="837" t="s">
        <v>309</v>
      </c>
      <c r="M849" s="945" t="s">
        <v>1816</v>
      </c>
      <c r="N849" s="837" t="s">
        <v>3095</v>
      </c>
    </row>
    <row r="850" spans="1:14" x14ac:dyDescent="0.3">
      <c r="A850" s="123">
        <v>29</v>
      </c>
      <c r="B850" s="821"/>
      <c r="C850" s="111" t="s">
        <v>3089</v>
      </c>
      <c r="D850" s="838"/>
      <c r="E850" s="838"/>
      <c r="F850" s="843"/>
      <c r="G850" s="843"/>
      <c r="H850" s="843"/>
      <c r="I850" s="843"/>
      <c r="J850" s="843"/>
      <c r="K850" s="843"/>
      <c r="L850" s="838"/>
      <c r="M850" s="947"/>
      <c r="N850" s="838"/>
    </row>
    <row r="851" spans="1:14" x14ac:dyDescent="0.3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 x14ac:dyDescent="0.3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x14ac:dyDescent="0.3">
      <c r="A853" s="123">
        <v>30</v>
      </c>
      <c r="B853" s="953"/>
      <c r="C853" s="148" t="s">
        <v>3106</v>
      </c>
      <c r="D853" s="837" t="s">
        <v>306</v>
      </c>
      <c r="E853" s="837" t="s">
        <v>322</v>
      </c>
      <c r="F853" s="837" t="s">
        <v>307</v>
      </c>
      <c r="G853" s="842" t="s">
        <v>3051</v>
      </c>
      <c r="H853" s="837" t="s">
        <v>1993</v>
      </c>
      <c r="I853" s="842" t="s">
        <v>3108</v>
      </c>
      <c r="J853" s="837" t="s">
        <v>664</v>
      </c>
      <c r="K853" s="148" t="s">
        <v>3109</v>
      </c>
      <c r="L853" s="837"/>
      <c r="M853" s="846" t="s">
        <v>3110</v>
      </c>
      <c r="N853" s="837" t="s">
        <v>665</v>
      </c>
    </row>
    <row r="854" spans="1:14" x14ac:dyDescent="0.3">
      <c r="A854" s="123">
        <v>30</v>
      </c>
      <c r="B854" s="953"/>
      <c r="C854" s="148" t="s">
        <v>3107</v>
      </c>
      <c r="D854" s="838"/>
      <c r="E854" s="838"/>
      <c r="F854" s="838"/>
      <c r="G854" s="843"/>
      <c r="H854" s="838"/>
      <c r="I854" s="843"/>
      <c r="J854" s="838"/>
      <c r="K854" s="148" t="s">
        <v>655</v>
      </c>
      <c r="L854" s="838"/>
      <c r="M854" s="847"/>
      <c r="N854" s="838"/>
    </row>
    <row r="855" spans="1:14" x14ac:dyDescent="0.3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x14ac:dyDescent="0.3">
      <c r="A856" s="123">
        <v>30</v>
      </c>
      <c r="B856" s="819" t="s">
        <v>3116</v>
      </c>
      <c r="C856" s="950" t="s">
        <v>3117</v>
      </c>
      <c r="D856" s="837" t="s">
        <v>311</v>
      </c>
      <c r="E856" s="837" t="s">
        <v>320</v>
      </c>
      <c r="F856" s="842" t="s">
        <v>2601</v>
      </c>
      <c r="G856" s="842" t="s">
        <v>2749</v>
      </c>
      <c r="H856" s="842" t="s">
        <v>347</v>
      </c>
      <c r="I856" s="842" t="s">
        <v>3118</v>
      </c>
      <c r="J856" s="842" t="s">
        <v>638</v>
      </c>
      <c r="K856" s="842" t="s">
        <v>698</v>
      </c>
      <c r="L856" s="837" t="s">
        <v>309</v>
      </c>
      <c r="M856" s="846" t="s">
        <v>1810</v>
      </c>
      <c r="N856" s="148" t="s">
        <v>3119</v>
      </c>
    </row>
    <row r="857" spans="1:14" x14ac:dyDescent="0.3">
      <c r="A857" s="123">
        <v>30</v>
      </c>
      <c r="B857" s="820"/>
      <c r="C857" s="951"/>
      <c r="D857" s="838"/>
      <c r="E857" s="838"/>
      <c r="F857" s="843"/>
      <c r="G857" s="843"/>
      <c r="H857" s="843"/>
      <c r="I857" s="843"/>
      <c r="J857" s="843"/>
      <c r="K857" s="843"/>
      <c r="L857" s="838"/>
      <c r="M857" s="847"/>
      <c r="N857" s="148" t="s">
        <v>3120</v>
      </c>
    </row>
    <row r="858" spans="1:14" ht="16.5" customHeight="1" x14ac:dyDescent="0.3">
      <c r="A858" s="123">
        <v>30</v>
      </c>
      <c r="B858" s="820"/>
      <c r="C858" s="950" t="s">
        <v>3117</v>
      </c>
      <c r="D858" s="837" t="s">
        <v>311</v>
      </c>
      <c r="E858" s="837" t="s">
        <v>320</v>
      </c>
      <c r="F858" s="842" t="s">
        <v>709</v>
      </c>
      <c r="G858" s="149" t="s">
        <v>3121</v>
      </c>
      <c r="H858" s="842" t="s">
        <v>640</v>
      </c>
      <c r="I858" s="842" t="s">
        <v>3122</v>
      </c>
      <c r="J858" s="842"/>
      <c r="K858" s="842" t="s">
        <v>692</v>
      </c>
      <c r="L858" s="837" t="s">
        <v>309</v>
      </c>
      <c r="M858" s="846" t="s">
        <v>1535</v>
      </c>
      <c r="N858" s="837" t="s">
        <v>1772</v>
      </c>
    </row>
    <row r="859" spans="1:14" x14ac:dyDescent="0.3">
      <c r="A859" s="123">
        <v>30</v>
      </c>
      <c r="B859" s="820"/>
      <c r="C859" s="951"/>
      <c r="D859" s="838"/>
      <c r="E859" s="838"/>
      <c r="F859" s="843"/>
      <c r="G859" s="149">
        <v>2651</v>
      </c>
      <c r="H859" s="843"/>
      <c r="I859" s="843"/>
      <c r="J859" s="843"/>
      <c r="K859" s="843"/>
      <c r="L859" s="838"/>
      <c r="M859" s="847"/>
      <c r="N859" s="838"/>
    </row>
    <row r="860" spans="1:14" x14ac:dyDescent="0.3">
      <c r="A860" s="123">
        <v>30</v>
      </c>
      <c r="B860" s="820"/>
      <c r="C860" s="950" t="s">
        <v>3123</v>
      </c>
      <c r="D860" s="837" t="s">
        <v>311</v>
      </c>
      <c r="E860" s="837" t="s">
        <v>320</v>
      </c>
      <c r="F860" s="842" t="s">
        <v>720</v>
      </c>
      <c r="G860" s="842" t="s">
        <v>1756</v>
      </c>
      <c r="H860" s="842" t="s">
        <v>347</v>
      </c>
      <c r="I860" s="149" t="s">
        <v>3124</v>
      </c>
      <c r="J860" s="842"/>
      <c r="K860" s="842" t="s">
        <v>3126</v>
      </c>
      <c r="L860" s="837" t="s">
        <v>309</v>
      </c>
      <c r="M860" s="846" t="s">
        <v>1933</v>
      </c>
      <c r="N860" s="837" t="s">
        <v>1206</v>
      </c>
    </row>
    <row r="861" spans="1:14" x14ac:dyDescent="0.3">
      <c r="A861" s="123">
        <v>30</v>
      </c>
      <c r="B861" s="820"/>
      <c r="C861" s="951"/>
      <c r="D861" s="838"/>
      <c r="E861" s="838"/>
      <c r="F861" s="843"/>
      <c r="G861" s="843"/>
      <c r="H861" s="843"/>
      <c r="I861" s="149" t="s">
        <v>3125</v>
      </c>
      <c r="J861" s="843"/>
      <c r="K861" s="843"/>
      <c r="L861" s="838"/>
      <c r="M861" s="847"/>
      <c r="N861" s="838"/>
    </row>
    <row r="862" spans="1:14" x14ac:dyDescent="0.3">
      <c r="A862" s="123">
        <v>30</v>
      </c>
      <c r="B862" s="820"/>
      <c r="C862" s="111" t="s">
        <v>3127</v>
      </c>
      <c r="D862" s="837" t="s">
        <v>311</v>
      </c>
      <c r="E862" s="837" t="s">
        <v>320</v>
      </c>
      <c r="F862" s="842" t="s">
        <v>690</v>
      </c>
      <c r="G862" s="842" t="s">
        <v>3066</v>
      </c>
      <c r="H862" s="842" t="s">
        <v>354</v>
      </c>
      <c r="I862" s="842" t="s">
        <v>3129</v>
      </c>
      <c r="J862" s="842" t="s">
        <v>638</v>
      </c>
      <c r="K862" s="842" t="s">
        <v>655</v>
      </c>
      <c r="L862" s="837" t="s">
        <v>309</v>
      </c>
      <c r="M862" s="846" t="s">
        <v>1535</v>
      </c>
      <c r="N862" s="837" t="s">
        <v>1206</v>
      </c>
    </row>
    <row r="863" spans="1:14" x14ac:dyDescent="0.3">
      <c r="A863" s="123">
        <v>30</v>
      </c>
      <c r="B863" s="820"/>
      <c r="C863" s="111" t="s">
        <v>3128</v>
      </c>
      <c r="D863" s="838"/>
      <c r="E863" s="838"/>
      <c r="F863" s="843"/>
      <c r="G863" s="843"/>
      <c r="H863" s="843"/>
      <c r="I863" s="843"/>
      <c r="J863" s="843"/>
      <c r="K863" s="843"/>
      <c r="L863" s="838"/>
      <c r="M863" s="847"/>
      <c r="N863" s="838"/>
    </row>
    <row r="864" spans="1:14" x14ac:dyDescent="0.3">
      <c r="A864" s="123">
        <v>30</v>
      </c>
      <c r="B864" s="820"/>
      <c r="C864" s="111" t="s">
        <v>3130</v>
      </c>
      <c r="D864" s="837" t="s">
        <v>311</v>
      </c>
      <c r="E864" s="837" t="s">
        <v>320</v>
      </c>
      <c r="F864" s="842" t="s">
        <v>337</v>
      </c>
      <c r="G864" s="842" t="s">
        <v>3072</v>
      </c>
      <c r="H864" s="842" t="s">
        <v>354</v>
      </c>
      <c r="I864" s="842" t="s">
        <v>3131</v>
      </c>
      <c r="J864" s="842" t="s">
        <v>638</v>
      </c>
      <c r="K864" s="842" t="s">
        <v>713</v>
      </c>
      <c r="L864" s="837" t="s">
        <v>309</v>
      </c>
      <c r="M864" s="846" t="s">
        <v>1810</v>
      </c>
      <c r="N864" s="837" t="s">
        <v>1206</v>
      </c>
    </row>
    <row r="865" spans="1:14" x14ac:dyDescent="0.3">
      <c r="A865" s="123">
        <v>30</v>
      </c>
      <c r="B865" s="820"/>
      <c r="C865" s="111" t="s">
        <v>3107</v>
      </c>
      <c r="D865" s="838"/>
      <c r="E865" s="838"/>
      <c r="F865" s="843"/>
      <c r="G865" s="843"/>
      <c r="H865" s="843"/>
      <c r="I865" s="843"/>
      <c r="J865" s="843"/>
      <c r="K865" s="843"/>
      <c r="L865" s="838"/>
      <c r="M865" s="847"/>
      <c r="N865" s="838"/>
    </row>
    <row r="866" spans="1:14" ht="25.5" x14ac:dyDescent="0.3">
      <c r="A866" s="123">
        <v>30</v>
      </c>
      <c r="B866" s="8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x14ac:dyDescent="0.3">
      <c r="A867" s="123">
        <v>30</v>
      </c>
      <c r="B867" s="820"/>
      <c r="C867" s="950" t="s">
        <v>3111</v>
      </c>
      <c r="D867" s="837" t="s">
        <v>311</v>
      </c>
      <c r="E867" s="837" t="s">
        <v>675</v>
      </c>
      <c r="F867" s="842" t="s">
        <v>660</v>
      </c>
      <c r="G867" s="842" t="s">
        <v>661</v>
      </c>
      <c r="H867" s="842" t="s">
        <v>662</v>
      </c>
      <c r="I867" s="149" t="s">
        <v>3134</v>
      </c>
      <c r="J867" s="842" t="s">
        <v>638</v>
      </c>
      <c r="K867" s="842" t="s">
        <v>731</v>
      </c>
      <c r="L867" s="837" t="s">
        <v>309</v>
      </c>
      <c r="M867" s="846" t="s">
        <v>1828</v>
      </c>
      <c r="N867" s="837" t="s">
        <v>3136</v>
      </c>
    </row>
    <row r="868" spans="1:14" x14ac:dyDescent="0.3">
      <c r="A868" s="123">
        <v>30</v>
      </c>
      <c r="B868" s="821"/>
      <c r="C868" s="951"/>
      <c r="D868" s="838"/>
      <c r="E868" s="838"/>
      <c r="F868" s="843"/>
      <c r="G868" s="843"/>
      <c r="H868" s="843"/>
      <c r="I868" s="149" t="s">
        <v>3135</v>
      </c>
      <c r="J868" s="843"/>
      <c r="K868" s="843"/>
      <c r="L868" s="838"/>
      <c r="M868" s="847"/>
      <c r="N868" s="838"/>
    </row>
    <row r="869" spans="1:14" x14ac:dyDescent="0.3">
      <c r="A869" s="123">
        <v>31</v>
      </c>
      <c r="B869" s="8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 x14ac:dyDescent="0.3">
      <c r="A870" s="123">
        <v>31</v>
      </c>
      <c r="B870" s="820"/>
      <c r="C870" s="148" t="s">
        <v>3140</v>
      </c>
      <c r="D870" s="837" t="s">
        <v>306</v>
      </c>
      <c r="E870" s="837" t="s">
        <v>322</v>
      </c>
      <c r="F870" s="837" t="s">
        <v>307</v>
      </c>
      <c r="G870" s="842">
        <v>1566</v>
      </c>
      <c r="H870" s="837" t="s">
        <v>1911</v>
      </c>
      <c r="I870" s="842" t="s">
        <v>3142</v>
      </c>
      <c r="J870" s="837" t="s">
        <v>664</v>
      </c>
      <c r="K870" s="837" t="s">
        <v>3143</v>
      </c>
      <c r="L870" s="837"/>
      <c r="M870" s="846" t="s">
        <v>3144</v>
      </c>
      <c r="N870" s="837" t="s">
        <v>665</v>
      </c>
    </row>
    <row r="871" spans="1:14" x14ac:dyDescent="0.3">
      <c r="A871" s="123">
        <v>31</v>
      </c>
      <c r="B871" s="820"/>
      <c r="C871" s="148" t="s">
        <v>3141</v>
      </c>
      <c r="D871" s="838"/>
      <c r="E871" s="838"/>
      <c r="F871" s="838"/>
      <c r="G871" s="843"/>
      <c r="H871" s="838"/>
      <c r="I871" s="843"/>
      <c r="J871" s="838"/>
      <c r="K871" s="838"/>
      <c r="L871" s="838"/>
      <c r="M871" s="847"/>
      <c r="N871" s="838"/>
    </row>
    <row r="872" spans="1:14" x14ac:dyDescent="0.3">
      <c r="A872" s="123">
        <v>31</v>
      </c>
      <c r="B872" s="8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 x14ac:dyDescent="0.3">
      <c r="A873" s="123">
        <v>31</v>
      </c>
      <c r="B873" s="820"/>
      <c r="C873" s="390" t="s">
        <v>3140</v>
      </c>
      <c r="D873" s="837" t="s">
        <v>306</v>
      </c>
      <c r="E873" s="837" t="s">
        <v>322</v>
      </c>
      <c r="F873" s="837" t="s">
        <v>307</v>
      </c>
      <c r="G873" s="842" t="s">
        <v>3147</v>
      </c>
      <c r="H873" s="837" t="s">
        <v>3148</v>
      </c>
      <c r="I873" s="842" t="s">
        <v>332</v>
      </c>
      <c r="J873" s="837" t="s">
        <v>1534</v>
      </c>
      <c r="K873" s="837" t="s">
        <v>1157</v>
      </c>
      <c r="L873" s="837"/>
      <c r="M873" s="846" t="s">
        <v>3149</v>
      </c>
      <c r="N873" s="837" t="s">
        <v>425</v>
      </c>
    </row>
    <row r="874" spans="1:14" x14ac:dyDescent="0.3">
      <c r="A874" s="123">
        <v>31</v>
      </c>
      <c r="B874" s="821"/>
      <c r="C874" s="390" t="s">
        <v>3146</v>
      </c>
      <c r="D874" s="838"/>
      <c r="E874" s="838"/>
      <c r="F874" s="838"/>
      <c r="G874" s="843"/>
      <c r="H874" s="838"/>
      <c r="I874" s="843"/>
      <c r="J874" s="838"/>
      <c r="K874" s="838"/>
      <c r="L874" s="838"/>
      <c r="M874" s="847"/>
      <c r="N874" s="838"/>
    </row>
    <row r="875" spans="1:14" x14ac:dyDescent="0.3">
      <c r="A875" s="123">
        <v>31</v>
      </c>
      <c r="B875" s="8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 x14ac:dyDescent="0.3">
      <c r="A876" s="123">
        <v>31</v>
      </c>
      <c r="B876" s="820"/>
      <c r="C876" s="837" t="s">
        <v>3128</v>
      </c>
      <c r="D876" s="837" t="s">
        <v>311</v>
      </c>
      <c r="E876" s="837" t="s">
        <v>675</v>
      </c>
      <c r="F876" s="842" t="s">
        <v>660</v>
      </c>
      <c r="G876" s="842" t="s">
        <v>661</v>
      </c>
      <c r="H876" s="842" t="s">
        <v>662</v>
      </c>
      <c r="I876" s="149" t="s">
        <v>3134</v>
      </c>
      <c r="J876" s="842"/>
      <c r="K876" s="842" t="s">
        <v>698</v>
      </c>
      <c r="L876" s="837" t="s">
        <v>309</v>
      </c>
      <c r="M876" s="846" t="s">
        <v>3139</v>
      </c>
      <c r="N876" s="837" t="s">
        <v>3152</v>
      </c>
    </row>
    <row r="877" spans="1:14" x14ac:dyDescent="0.3">
      <c r="A877" s="123">
        <v>31</v>
      </c>
      <c r="B877" s="820"/>
      <c r="C877" s="838"/>
      <c r="D877" s="838"/>
      <c r="E877" s="838"/>
      <c r="F877" s="843"/>
      <c r="G877" s="843"/>
      <c r="H877" s="843"/>
      <c r="I877" s="149" t="s">
        <v>3135</v>
      </c>
      <c r="J877" s="843"/>
      <c r="K877" s="843"/>
      <c r="L877" s="838"/>
      <c r="M877" s="847"/>
      <c r="N877" s="838"/>
    </row>
    <row r="878" spans="1:14" ht="16.5" customHeight="1" x14ac:dyDescent="0.3">
      <c r="A878" s="123">
        <v>31</v>
      </c>
      <c r="B878" s="820"/>
      <c r="C878" s="148" t="s">
        <v>3153</v>
      </c>
      <c r="D878" s="837" t="s">
        <v>311</v>
      </c>
      <c r="E878" s="837" t="s">
        <v>320</v>
      </c>
      <c r="F878" s="842" t="s">
        <v>3068</v>
      </c>
      <c r="G878" s="842" t="s">
        <v>1919</v>
      </c>
      <c r="H878" s="842" t="s">
        <v>3069</v>
      </c>
      <c r="I878" s="842" t="s">
        <v>3154</v>
      </c>
      <c r="J878" s="842"/>
      <c r="K878" s="842" t="s">
        <v>3155</v>
      </c>
      <c r="L878" s="837" t="s">
        <v>309</v>
      </c>
      <c r="M878" s="846" t="s">
        <v>3156</v>
      </c>
      <c r="N878" s="837" t="s">
        <v>3151</v>
      </c>
    </row>
    <row r="879" spans="1:14" x14ac:dyDescent="0.3">
      <c r="A879" s="123">
        <v>31</v>
      </c>
      <c r="B879" s="820"/>
      <c r="C879" s="148" t="s">
        <v>3111</v>
      </c>
      <c r="D879" s="838"/>
      <c r="E879" s="838"/>
      <c r="F879" s="843"/>
      <c r="G879" s="843"/>
      <c r="H879" s="843"/>
      <c r="I879" s="843"/>
      <c r="J879" s="843"/>
      <c r="K879" s="843"/>
      <c r="L879" s="838"/>
      <c r="M879" s="847"/>
      <c r="N879" s="838"/>
    </row>
    <row r="880" spans="1:14" x14ac:dyDescent="0.3">
      <c r="A880" s="123">
        <v>31</v>
      </c>
      <c r="B880" s="8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x14ac:dyDescent="0.3">
      <c r="A881" s="123">
        <v>31</v>
      </c>
      <c r="B881" s="82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x14ac:dyDescent="0.3">
      <c r="A882" s="123">
        <v>31</v>
      </c>
      <c r="B882" s="8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 x14ac:dyDescent="0.3">
      <c r="A883" s="123">
        <v>31</v>
      </c>
      <c r="B883" s="820"/>
      <c r="C883" s="111" t="s">
        <v>3166</v>
      </c>
      <c r="D883" s="837" t="s">
        <v>311</v>
      </c>
      <c r="E883" s="837" t="s">
        <v>320</v>
      </c>
      <c r="F883" s="842" t="s">
        <v>337</v>
      </c>
      <c r="G883" s="842" t="s">
        <v>3168</v>
      </c>
      <c r="H883" s="842" t="s">
        <v>3169</v>
      </c>
      <c r="I883" s="842" t="s">
        <v>3170</v>
      </c>
      <c r="J883" s="842" t="s">
        <v>3171</v>
      </c>
      <c r="K883" s="842" t="s">
        <v>3172</v>
      </c>
      <c r="L883" s="837" t="s">
        <v>309</v>
      </c>
      <c r="M883" s="846" t="s">
        <v>3173</v>
      </c>
      <c r="N883" s="837" t="s">
        <v>3136</v>
      </c>
    </row>
    <row r="884" spans="1:14" x14ac:dyDescent="0.3">
      <c r="A884" s="123">
        <v>31</v>
      </c>
      <c r="B884" s="821"/>
      <c r="C884" s="111" t="s">
        <v>3167</v>
      </c>
      <c r="D884" s="838"/>
      <c r="E884" s="838"/>
      <c r="F884" s="843"/>
      <c r="G884" s="843"/>
      <c r="H884" s="843"/>
      <c r="I884" s="843"/>
      <c r="J884" s="843"/>
      <c r="K884" s="843"/>
      <c r="L884" s="838"/>
      <c r="M884" s="847"/>
      <c r="N884" s="838"/>
    </row>
    <row r="885" spans="1:14" ht="27" x14ac:dyDescent="0.3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 x14ac:dyDescent="0.3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 x14ac:dyDescent="0.3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 x14ac:dyDescent="0.3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x14ac:dyDescent="0.3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x14ac:dyDescent="0.3">
      <c r="A890" s="123">
        <v>32</v>
      </c>
      <c r="B890" s="956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x14ac:dyDescent="0.3">
      <c r="A891" s="123">
        <v>32</v>
      </c>
      <c r="B891" s="956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x14ac:dyDescent="0.3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 x14ac:dyDescent="0.3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 x14ac:dyDescent="0.3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x14ac:dyDescent="0.3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x14ac:dyDescent="0.3">
      <c r="A896" s="123">
        <v>33</v>
      </c>
      <c r="B896" s="955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x14ac:dyDescent="0.3">
      <c r="A897" s="123">
        <v>33</v>
      </c>
      <c r="B897" s="956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x14ac:dyDescent="0.3">
      <c r="A898" s="123">
        <v>33</v>
      </c>
      <c r="B898" s="957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 x14ac:dyDescent="0.3">
      <c r="A899" s="123">
        <v>34</v>
      </c>
      <c r="B899" s="8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27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2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2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2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x14ac:dyDescent="0.3">
      <c r="A904" s="123">
        <v>34</v>
      </c>
      <c r="B904" s="82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x14ac:dyDescent="0.3">
      <c r="A905" s="123">
        <v>34</v>
      </c>
      <c r="B905" s="82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x14ac:dyDescent="0.3">
      <c r="A906" s="123">
        <v>34</v>
      </c>
      <c r="B906" s="82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x14ac:dyDescent="0.3">
      <c r="A907" s="123">
        <v>34</v>
      </c>
      <c r="B907" s="82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x14ac:dyDescent="0.3">
      <c r="A908" s="123">
        <v>34</v>
      </c>
      <c r="B908" s="82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x14ac:dyDescent="0.3">
      <c r="A909" s="123">
        <v>34</v>
      </c>
      <c r="B909" s="82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x14ac:dyDescent="0.3">
      <c r="A910" s="123">
        <v>34</v>
      </c>
      <c r="B910" s="8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 x14ac:dyDescent="0.3">
      <c r="A911" s="123">
        <v>35</v>
      </c>
      <c r="B911" s="82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2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2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2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2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2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26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x14ac:dyDescent="0.3">
      <c r="A918" s="123">
        <v>35</v>
      </c>
      <c r="B918" s="82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x14ac:dyDescent="0.3">
      <c r="A919" s="123">
        <v>35</v>
      </c>
      <c r="B919" s="827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x14ac:dyDescent="0.3">
      <c r="A920" s="123">
        <v>35</v>
      </c>
      <c r="B920" s="827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x14ac:dyDescent="0.3">
      <c r="A921" s="123">
        <v>35</v>
      </c>
      <c r="B921" s="82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x14ac:dyDescent="0.3">
      <c r="A922" s="123">
        <v>35</v>
      </c>
      <c r="B922" s="8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x14ac:dyDescent="0.3">
      <c r="A923" s="123">
        <v>35</v>
      </c>
      <c r="B923" s="82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x14ac:dyDescent="0.3">
      <c r="A924" s="123">
        <v>35</v>
      </c>
      <c r="B924" s="827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x14ac:dyDescent="0.3">
      <c r="A925" s="123">
        <v>35</v>
      </c>
      <c r="B925" s="8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 x14ac:dyDescent="0.3">
      <c r="A926" s="123">
        <v>35</v>
      </c>
      <c r="B926" s="828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 x14ac:dyDescent="0.3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1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1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 x14ac:dyDescent="0.3">
      <c r="A934" s="123">
        <v>36</v>
      </c>
      <c r="B934" s="81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x14ac:dyDescent="0.3">
      <c r="A935" s="123">
        <v>36</v>
      </c>
      <c r="B935" s="81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x14ac:dyDescent="0.3">
      <c r="A936" s="123">
        <v>36</v>
      </c>
      <c r="B936" s="81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x14ac:dyDescent="0.3">
      <c r="A937" s="123">
        <v>36</v>
      </c>
      <c r="B937" s="81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 x14ac:dyDescent="0.3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1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1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1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1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 x14ac:dyDescent="0.3">
      <c r="A947" s="123">
        <v>37</v>
      </c>
      <c r="B947" s="81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x14ac:dyDescent="0.3">
      <c r="A948" s="123">
        <v>37</v>
      </c>
      <c r="B948" s="81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1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x14ac:dyDescent="0.3">
      <c r="A950" s="123">
        <v>37</v>
      </c>
      <c r="B950" s="81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x14ac:dyDescent="0.3">
      <c r="A951" s="123">
        <v>37</v>
      </c>
      <c r="B951" s="81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x14ac:dyDescent="0.3">
      <c r="A952" s="123">
        <v>37</v>
      </c>
      <c r="B952" s="81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1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x14ac:dyDescent="0.3">
      <c r="A954" s="123">
        <v>38</v>
      </c>
      <c r="B954" s="81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1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1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1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1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1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1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1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x14ac:dyDescent="0.3">
      <c r="A963" s="123">
        <v>38</v>
      </c>
      <c r="B963" s="81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1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1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1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1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1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1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1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1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1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1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1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1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 x14ac:dyDescent="0.3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1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1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1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1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1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1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1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1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1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1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1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1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1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1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1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1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1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1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1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x14ac:dyDescent="0.3">
      <c r="A1005" s="123">
        <v>43</v>
      </c>
      <c r="B1005" s="81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1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1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1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1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1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1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1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1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1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1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1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1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1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1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1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1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1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1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1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1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1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1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1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1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1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1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1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1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1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1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1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1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1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1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1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1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1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1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1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1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1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1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1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1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1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1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1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1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1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1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1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1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1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1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1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1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1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1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1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1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1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1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1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1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1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1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1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1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1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1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1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1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1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1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1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1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1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1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1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1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1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1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1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1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1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1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1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1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1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1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1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1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1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1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1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1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1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1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1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x14ac:dyDescent="0.3">
      <c r="A1117" s="123">
        <v>50</v>
      </c>
      <c r="B1117" s="81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 x14ac:dyDescent="0.3">
      <c r="A1118" s="123">
        <v>50</v>
      </c>
      <c r="B1118" s="81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 x14ac:dyDescent="0.3">
      <c r="A1119" s="123">
        <v>50</v>
      </c>
      <c r="B1119" s="81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1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1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1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1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1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1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1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1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1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1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1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1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1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1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1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1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1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1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1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1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1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1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1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1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1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1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1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1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1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1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1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1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1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1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1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1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1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1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1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1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1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1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1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1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1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1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1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1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1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1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1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1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1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1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1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1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1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x14ac:dyDescent="0.3">
      <c r="A1177" s="123">
        <v>53</v>
      </c>
      <c r="B1177" s="81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 x14ac:dyDescent="0.3">
      <c r="A1178" s="123">
        <v>53</v>
      </c>
      <c r="B1178" s="81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x14ac:dyDescent="0.3">
      <c r="A1179" s="123">
        <v>53</v>
      </c>
      <c r="B1179" s="81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x14ac:dyDescent="0.3">
      <c r="A1180" s="123">
        <v>53</v>
      </c>
      <c r="B1180" s="81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x14ac:dyDescent="0.3">
      <c r="A1181" s="123">
        <v>53</v>
      </c>
      <c r="B1181" s="81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x14ac:dyDescent="0.3">
      <c r="A1182" s="123">
        <v>53</v>
      </c>
      <c r="B1182" s="81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x14ac:dyDescent="0.3">
      <c r="A1183" s="123">
        <v>53</v>
      </c>
      <c r="B1183" s="81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1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1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x14ac:dyDescent="0.3">
      <c r="A1186" s="123">
        <v>1</v>
      </c>
      <c r="B1186" s="81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 x14ac:dyDescent="0.3">
      <c r="A1187" s="123">
        <v>1</v>
      </c>
      <c r="B1187" s="81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x14ac:dyDescent="0.3">
      <c r="A1188" s="123">
        <v>1</v>
      </c>
      <c r="B1188" s="81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x14ac:dyDescent="0.3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x14ac:dyDescent="0.3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 x14ac:dyDescent="0.3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 x14ac:dyDescent="0.3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 x14ac:dyDescent="0.3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x14ac:dyDescent="0.3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x14ac:dyDescent="0.3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x14ac:dyDescent="0.3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x14ac:dyDescent="0.3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x14ac:dyDescent="0.3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x14ac:dyDescent="0.3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x14ac:dyDescent="0.3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x14ac:dyDescent="0.3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x14ac:dyDescent="0.3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x14ac:dyDescent="0.3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 x14ac:dyDescent="0.3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x14ac:dyDescent="0.3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x14ac:dyDescent="0.3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x14ac:dyDescent="0.3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x14ac:dyDescent="0.3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8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 x14ac:dyDescent="0.3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86" t="s">
        <v>5010</v>
      </c>
      <c r="J1209" s="806"/>
      <c r="K1209" s="806"/>
      <c r="L1209" s="799"/>
      <c r="M1209" s="809"/>
      <c r="N1209" s="799"/>
    </row>
    <row r="1210" spans="1:14" x14ac:dyDescent="0.3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x14ac:dyDescent="0.3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x14ac:dyDescent="0.3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 x14ac:dyDescent="0.3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 x14ac:dyDescent="0.3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 x14ac:dyDescent="0.3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x14ac:dyDescent="0.3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x14ac:dyDescent="0.3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x14ac:dyDescent="0.3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x14ac:dyDescent="0.3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x14ac:dyDescent="0.3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x14ac:dyDescent="0.3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x14ac:dyDescent="0.3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 x14ac:dyDescent="0.3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 x14ac:dyDescent="0.3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x14ac:dyDescent="0.3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x14ac:dyDescent="0.3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x14ac:dyDescent="0.3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x14ac:dyDescent="0.3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x14ac:dyDescent="0.3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 x14ac:dyDescent="0.3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 x14ac:dyDescent="0.3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 x14ac:dyDescent="0.3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x14ac:dyDescent="0.3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x14ac:dyDescent="0.3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x14ac:dyDescent="0.3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x14ac:dyDescent="0.3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x14ac:dyDescent="0.3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x14ac:dyDescent="0.3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x14ac:dyDescent="0.3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x14ac:dyDescent="0.3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x14ac:dyDescent="0.3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x14ac:dyDescent="0.3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x14ac:dyDescent="0.3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 x14ac:dyDescent="0.3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 x14ac:dyDescent="0.3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 x14ac:dyDescent="0.3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x14ac:dyDescent="0.3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x14ac:dyDescent="0.3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x14ac:dyDescent="0.3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x14ac:dyDescent="0.3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 x14ac:dyDescent="0.3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 x14ac:dyDescent="0.3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x14ac:dyDescent="0.3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x14ac:dyDescent="0.3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8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 x14ac:dyDescent="0.3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86" t="s">
        <v>5105</v>
      </c>
      <c r="J1255" s="806"/>
      <c r="K1255" s="806"/>
      <c r="L1255" s="799"/>
      <c r="M1255" s="809"/>
      <c r="N1255" s="799"/>
    </row>
    <row r="1256" spans="1:14" x14ac:dyDescent="0.3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8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 x14ac:dyDescent="0.3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86" t="s">
        <v>5105</v>
      </c>
      <c r="J1257" s="806"/>
      <c r="K1257" s="806"/>
      <c r="L1257" s="799"/>
      <c r="M1257" s="809"/>
      <c r="N1257" s="799"/>
    </row>
    <row r="1258" spans="1:14" x14ac:dyDescent="0.3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 x14ac:dyDescent="0.3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 x14ac:dyDescent="0.3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 x14ac:dyDescent="0.3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 x14ac:dyDescent="0.3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x14ac:dyDescent="0.3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x14ac:dyDescent="0.3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x14ac:dyDescent="0.3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x14ac:dyDescent="0.3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x14ac:dyDescent="0.3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x14ac:dyDescent="0.3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85" t="s">
        <v>5125</v>
      </c>
      <c r="H1268" s="391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 x14ac:dyDescent="0.3">
      <c r="A1269" s="123">
        <v>6</v>
      </c>
      <c r="B1269" s="798"/>
      <c r="C1269" s="806"/>
      <c r="D1269" s="799"/>
      <c r="E1269" s="799"/>
      <c r="F1269" s="149" t="s">
        <v>5124</v>
      </c>
      <c r="G1269" s="485" t="s">
        <v>5126</v>
      </c>
      <c r="H1269" s="391" t="s">
        <v>5127</v>
      </c>
      <c r="I1269" s="806"/>
      <c r="J1269" s="806"/>
      <c r="K1269" s="806"/>
      <c r="L1269" s="799"/>
      <c r="M1269" s="809"/>
      <c r="N1269" s="799"/>
    </row>
    <row r="1270" spans="1:14" ht="24" x14ac:dyDescent="0.3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x14ac:dyDescent="0.3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x14ac:dyDescent="0.3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 x14ac:dyDescent="0.3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 x14ac:dyDescent="0.3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x14ac:dyDescent="0.3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x14ac:dyDescent="0.3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x14ac:dyDescent="0.3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x14ac:dyDescent="0.3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x14ac:dyDescent="0.3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x14ac:dyDescent="0.3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 x14ac:dyDescent="0.3">
      <c r="A1281" s="123">
        <v>8</v>
      </c>
      <c r="B1281" s="798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x14ac:dyDescent="0.3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 x14ac:dyDescent="0.3">
      <c r="A1283" s="123">
        <v>8</v>
      </c>
      <c r="B1283" s="798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 x14ac:dyDescent="0.3">
      <c r="A1284" s="123">
        <v>8</v>
      </c>
      <c r="B1284" s="798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x14ac:dyDescent="0.3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x14ac:dyDescent="0.3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x14ac:dyDescent="0.3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x14ac:dyDescent="0.3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x14ac:dyDescent="0.3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16" t="s">
        <v>5123</v>
      </c>
      <c r="G1289" s="517" t="s">
        <v>5125</v>
      </c>
      <c r="H1289" s="51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 x14ac:dyDescent="0.3">
      <c r="A1290" s="123">
        <v>8</v>
      </c>
      <c r="B1290" s="798"/>
      <c r="C1290" s="806"/>
      <c r="D1290" s="799"/>
      <c r="E1290" s="799"/>
      <c r="F1290" s="149" t="s">
        <v>5124</v>
      </c>
      <c r="G1290" s="485" t="s">
        <v>5126</v>
      </c>
      <c r="H1290" s="487" t="s">
        <v>5127</v>
      </c>
      <c r="I1290" s="806"/>
      <c r="J1290" s="806"/>
      <c r="K1290" s="806"/>
      <c r="L1290" s="799"/>
      <c r="M1290" s="809"/>
      <c r="N1290" s="799"/>
    </row>
    <row r="1291" spans="1:14" x14ac:dyDescent="0.3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1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 x14ac:dyDescent="0.3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 x14ac:dyDescent="0.3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1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 x14ac:dyDescent="0.3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 x14ac:dyDescent="0.3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x14ac:dyDescent="0.3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x14ac:dyDescent="0.3">
      <c r="A1297" s="123">
        <v>9</v>
      </c>
      <c r="B1297" s="798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x14ac:dyDescent="0.3">
      <c r="A1298" s="123">
        <v>9</v>
      </c>
      <c r="B1298" s="798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 x14ac:dyDescent="0.3">
      <c r="A1299" s="123">
        <v>9</v>
      </c>
      <c r="B1299" s="798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 x14ac:dyDescent="0.3">
      <c r="A1300" s="123">
        <v>9</v>
      </c>
      <c r="B1300" s="798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 x14ac:dyDescent="0.3">
      <c r="A1301" s="123">
        <v>9</v>
      </c>
      <c r="B1301" s="798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x14ac:dyDescent="0.3">
      <c r="A1302" s="123">
        <v>9</v>
      </c>
      <c r="B1302" s="798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x14ac:dyDescent="0.3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x14ac:dyDescent="0.3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2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 x14ac:dyDescent="0.3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86" t="s">
        <v>5177</v>
      </c>
      <c r="J1305" s="806"/>
      <c r="K1305" s="806"/>
      <c r="L1305" s="799"/>
      <c r="M1305" s="809"/>
      <c r="N1305" s="799"/>
    </row>
    <row r="1306" spans="1:14" x14ac:dyDescent="0.3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16" t="s">
        <v>689</v>
      </c>
      <c r="H1306" s="805" t="s">
        <v>5180</v>
      </c>
      <c r="I1306" s="51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 x14ac:dyDescent="0.3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 x14ac:dyDescent="0.3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x14ac:dyDescent="0.3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1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 x14ac:dyDescent="0.3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 x14ac:dyDescent="0.3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x14ac:dyDescent="0.3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1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 x14ac:dyDescent="0.3">
      <c r="A1313" s="123">
        <v>9</v>
      </c>
      <c r="B1313" s="798"/>
      <c r="C1313" s="806"/>
      <c r="D1313" s="799"/>
      <c r="E1313" s="799"/>
      <c r="F1313" s="806"/>
      <c r="G1313" s="48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 x14ac:dyDescent="0.3">
      <c r="A1314" s="123">
        <v>10</v>
      </c>
      <c r="B1314" s="798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x14ac:dyDescent="0.3">
      <c r="A1315" s="123">
        <v>10</v>
      </c>
      <c r="B1315" s="798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 x14ac:dyDescent="0.3">
      <c r="A1316" s="123">
        <v>10</v>
      </c>
      <c r="B1316" s="798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 x14ac:dyDescent="0.3">
      <c r="A1317" s="123">
        <v>10</v>
      </c>
      <c r="B1317" s="798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x14ac:dyDescent="0.3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x14ac:dyDescent="0.3">
      <c r="A1319" s="123">
        <v>10</v>
      </c>
      <c r="B1319" s="798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x14ac:dyDescent="0.3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x14ac:dyDescent="0.3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8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 x14ac:dyDescent="0.3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86" t="s">
        <v>5177</v>
      </c>
      <c r="J1322" s="806"/>
      <c r="K1322" s="806"/>
      <c r="L1322" s="799"/>
      <c r="M1322" s="809"/>
      <c r="N1322" s="799"/>
    </row>
    <row r="1323" spans="1:14" x14ac:dyDescent="0.3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x14ac:dyDescent="0.3">
      <c r="A1324" s="123">
        <v>10</v>
      </c>
      <c r="B1324" s="798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x14ac:dyDescent="0.3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x14ac:dyDescent="0.3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8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 x14ac:dyDescent="0.3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86" t="s">
        <v>5177</v>
      </c>
      <c r="J1327" s="806"/>
      <c r="K1327" s="806"/>
      <c r="L1327" s="799"/>
      <c r="M1327" s="809"/>
      <c r="N1327" s="799"/>
    </row>
    <row r="1328" spans="1:14" ht="25.5" x14ac:dyDescent="0.3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x14ac:dyDescent="0.3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1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 x14ac:dyDescent="0.3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 x14ac:dyDescent="0.3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17" t="s">
        <v>5126</v>
      </c>
      <c r="H1331" s="800" t="s">
        <v>347</v>
      </c>
      <c r="I1331" s="51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 x14ac:dyDescent="0.3">
      <c r="A1332" s="123">
        <v>10</v>
      </c>
      <c r="B1332" s="798"/>
      <c r="C1332" s="806"/>
      <c r="D1332" s="799"/>
      <c r="E1332" s="799"/>
      <c r="F1332" s="806"/>
      <c r="G1332" s="48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 x14ac:dyDescent="0.3">
      <c r="A1333" s="123">
        <v>11</v>
      </c>
      <c r="B1333" s="798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x14ac:dyDescent="0.3">
      <c r="A1334" s="123">
        <v>11</v>
      </c>
      <c r="B1334" s="798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 x14ac:dyDescent="0.3">
      <c r="A1335" s="123">
        <v>11</v>
      </c>
      <c r="B1335" s="798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 x14ac:dyDescent="0.3">
      <c r="A1336" s="123">
        <v>11</v>
      </c>
      <c r="B1336" s="798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 x14ac:dyDescent="0.3">
      <c r="A1337" s="123">
        <v>11</v>
      </c>
      <c r="B1337" s="798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x14ac:dyDescent="0.3">
      <c r="A1338" s="123">
        <v>11</v>
      </c>
      <c r="B1338" s="798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x14ac:dyDescent="0.3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20" t="s">
        <v>5126</v>
      </c>
      <c r="H1339" s="800" t="s">
        <v>347</v>
      </c>
      <c r="I1339" s="52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 x14ac:dyDescent="0.3">
      <c r="A1340" s="123">
        <v>11</v>
      </c>
      <c r="B1340" s="798"/>
      <c r="C1340" s="801"/>
      <c r="D1340" s="796"/>
      <c r="E1340" s="796"/>
      <c r="F1340" s="801"/>
      <c r="G1340" s="486" t="s">
        <v>5215</v>
      </c>
      <c r="H1340" s="801"/>
      <c r="I1340" s="486" t="s">
        <v>5217</v>
      </c>
      <c r="J1340" s="801"/>
      <c r="K1340" s="801"/>
      <c r="L1340" s="796"/>
      <c r="M1340" s="804"/>
      <c r="N1340" s="801"/>
    </row>
    <row r="1341" spans="1:14" x14ac:dyDescent="0.3">
      <c r="A1341" s="123">
        <v>11</v>
      </c>
      <c r="B1341" s="798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x14ac:dyDescent="0.3">
      <c r="A1342" s="123">
        <v>11</v>
      </c>
      <c r="B1342" s="798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x14ac:dyDescent="0.3">
      <c r="A1343" s="123">
        <v>11</v>
      </c>
      <c r="B1343" s="798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 x14ac:dyDescent="0.3">
      <c r="A1344" s="123">
        <v>12</v>
      </c>
      <c r="B1344" s="798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x14ac:dyDescent="0.3">
      <c r="A1345" s="123">
        <v>12</v>
      </c>
      <c r="B1345" s="798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x14ac:dyDescent="0.3">
      <c r="A1346" s="123">
        <v>12</v>
      </c>
      <c r="B1346" s="798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 x14ac:dyDescent="0.3">
      <c r="A1347" s="123">
        <v>12</v>
      </c>
      <c r="B1347" s="798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 x14ac:dyDescent="0.3">
      <c r="A1348" s="123">
        <v>12</v>
      </c>
      <c r="B1348" s="798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 x14ac:dyDescent="0.3">
      <c r="A1349" s="123">
        <v>12</v>
      </c>
      <c r="B1349" s="798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x14ac:dyDescent="0.3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x14ac:dyDescent="0.3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x14ac:dyDescent="0.3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x14ac:dyDescent="0.3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x14ac:dyDescent="0.3">
      <c r="A1354" s="123">
        <v>13</v>
      </c>
      <c r="B1354" s="798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x14ac:dyDescent="0.3">
      <c r="A1355" s="123">
        <v>13</v>
      </c>
      <c r="B1355" s="798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x14ac:dyDescent="0.3">
      <c r="A1356" s="123">
        <v>13</v>
      </c>
      <c r="B1356" s="798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x14ac:dyDescent="0.3">
      <c r="A1357" s="123">
        <v>13</v>
      </c>
      <c r="B1357" s="798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 x14ac:dyDescent="0.3">
      <c r="A1358" s="123">
        <v>13</v>
      </c>
      <c r="B1358" s="798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 x14ac:dyDescent="0.3">
      <c r="A1359" s="123">
        <v>13</v>
      </c>
      <c r="B1359" s="798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x14ac:dyDescent="0.3">
      <c r="A1360" s="123">
        <v>13</v>
      </c>
      <c r="B1360" s="798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x14ac:dyDescent="0.3">
      <c r="A1361" s="123">
        <v>13</v>
      </c>
      <c r="B1361" s="798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x14ac:dyDescent="0.3">
      <c r="A1362" s="123">
        <v>13</v>
      </c>
      <c r="B1362" s="798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x14ac:dyDescent="0.3">
      <c r="A1363" s="123">
        <v>13</v>
      </c>
      <c r="B1363" s="798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x14ac:dyDescent="0.3">
      <c r="A1364" s="123">
        <v>13</v>
      </c>
      <c r="B1364" s="798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x14ac:dyDescent="0.3">
      <c r="A1365" s="123">
        <v>13</v>
      </c>
      <c r="B1365" s="798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x14ac:dyDescent="0.3">
      <c r="A1366" s="123">
        <v>13</v>
      </c>
      <c r="B1366" s="798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x14ac:dyDescent="0.3">
      <c r="A1367" s="123">
        <v>13</v>
      </c>
      <c r="B1367" s="798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x14ac:dyDescent="0.3">
      <c r="A1368" s="123">
        <v>13</v>
      </c>
      <c r="B1368" s="798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 x14ac:dyDescent="0.3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6" t="s">
        <v>5443</v>
      </c>
    </row>
    <row r="1370" spans="1:14" x14ac:dyDescent="0.3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6"/>
    </row>
    <row r="1371" spans="1:14" x14ac:dyDescent="0.3">
      <c r="A1371" s="123">
        <v>14</v>
      </c>
      <c r="B1371" s="795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 x14ac:dyDescent="0.3">
      <c r="A1372" s="123">
        <v>14</v>
      </c>
      <c r="B1372" s="795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x14ac:dyDescent="0.3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x14ac:dyDescent="0.3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 x14ac:dyDescent="0.3">
      <c r="A1375" s="123">
        <v>14</v>
      </c>
      <c r="B1375" s="795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x14ac:dyDescent="0.3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x14ac:dyDescent="0.3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x14ac:dyDescent="0.3">
      <c r="A1378" s="123">
        <v>14</v>
      </c>
      <c r="B1378" s="797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x14ac:dyDescent="0.3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x14ac:dyDescent="0.3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x14ac:dyDescent="0.3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x14ac:dyDescent="0.3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x14ac:dyDescent="0.3">
      <c r="A1383" s="123">
        <v>15</v>
      </c>
      <c r="B1383" s="81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 x14ac:dyDescent="0.3">
      <c r="A1384" s="123">
        <v>15</v>
      </c>
      <c r="B1384" s="81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x14ac:dyDescent="0.3">
      <c r="A1385" s="123">
        <v>15</v>
      </c>
      <c r="B1385" s="81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 x14ac:dyDescent="0.3">
      <c r="A1386" s="123">
        <v>15</v>
      </c>
      <c r="B1386" s="81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x14ac:dyDescent="0.3">
      <c r="A1387" s="123">
        <v>15</v>
      </c>
      <c r="B1387" s="81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 x14ac:dyDescent="0.3">
      <c r="A1388" s="123">
        <v>15</v>
      </c>
      <c r="B1388" s="81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x14ac:dyDescent="0.3">
      <c r="A1389" s="123">
        <v>15</v>
      </c>
      <c r="B1389" s="81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x14ac:dyDescent="0.3">
      <c r="A1390" s="123">
        <v>15</v>
      </c>
      <c r="B1390" s="81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x14ac:dyDescent="0.3">
      <c r="A1391" s="123">
        <v>15</v>
      </c>
      <c r="B1391" s="81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x14ac:dyDescent="0.3">
      <c r="A1392" s="123">
        <v>15</v>
      </c>
      <c r="B1392" s="81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x14ac:dyDescent="0.3">
      <c r="A1393" s="123">
        <v>15</v>
      </c>
      <c r="B1393" s="81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 x14ac:dyDescent="0.3">
      <c r="A1394" s="123">
        <v>15</v>
      </c>
      <c r="B1394" s="81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x14ac:dyDescent="0.3">
      <c r="A1395" s="123">
        <v>15</v>
      </c>
      <c r="B1395" s="81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x14ac:dyDescent="0.3">
      <c r="A1396" s="123">
        <v>15</v>
      </c>
      <c r="B1396" s="81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x14ac:dyDescent="0.3">
      <c r="A1397" s="123">
        <v>15</v>
      </c>
      <c r="B1397" s="81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 x14ac:dyDescent="0.3">
      <c r="A1398" s="123">
        <v>16</v>
      </c>
      <c r="B1398" s="81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x14ac:dyDescent="0.3">
      <c r="A1399" s="123">
        <v>16</v>
      </c>
      <c r="B1399" s="81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 x14ac:dyDescent="0.3">
      <c r="A1400" s="123">
        <v>16</v>
      </c>
      <c r="B1400" s="81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 x14ac:dyDescent="0.3">
      <c r="A1401" s="123">
        <v>16</v>
      </c>
      <c r="B1401" s="81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x14ac:dyDescent="0.3">
      <c r="A1402" s="123">
        <v>16</v>
      </c>
      <c r="B1402" s="81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 x14ac:dyDescent="0.3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 x14ac:dyDescent="0.3">
      <c r="A1404" s="123">
        <v>16</v>
      </c>
      <c r="B1404" s="81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x14ac:dyDescent="0.3">
      <c r="A1405" s="616">
        <v>17</v>
      </c>
      <c r="B1405" s="798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 x14ac:dyDescent="0.3">
      <c r="A1406" s="616">
        <v>17</v>
      </c>
      <c r="B1406" s="798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 x14ac:dyDescent="0.3">
      <c r="A1407" s="616">
        <v>17</v>
      </c>
      <c r="B1407" s="798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 x14ac:dyDescent="0.3">
      <c r="A1408" s="616">
        <v>17</v>
      </c>
      <c r="B1408" s="798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 x14ac:dyDescent="0.3">
      <c r="A1409" s="616">
        <v>17</v>
      </c>
      <c r="B1409" s="798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x14ac:dyDescent="0.3">
      <c r="A1410" s="616">
        <v>17</v>
      </c>
      <c r="B1410" s="81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x14ac:dyDescent="0.3">
      <c r="A1411" s="616">
        <v>17</v>
      </c>
      <c r="B1411" s="82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 x14ac:dyDescent="0.3">
      <c r="A1412" s="616">
        <v>17</v>
      </c>
      <c r="B1412" s="82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 x14ac:dyDescent="0.3">
      <c r="A1413" s="616">
        <v>17</v>
      </c>
      <c r="B1413" s="82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 x14ac:dyDescent="0.3">
      <c r="A1414" s="616">
        <v>17</v>
      </c>
      <c r="B1414" s="82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 x14ac:dyDescent="0.3">
      <c r="A1415" s="616">
        <v>18</v>
      </c>
      <c r="B1415" s="798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x14ac:dyDescent="0.3">
      <c r="A1416" s="616">
        <v>18</v>
      </c>
      <c r="B1416" s="798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 x14ac:dyDescent="0.3">
      <c r="A1417" s="616">
        <v>18</v>
      </c>
      <c r="B1417" s="798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 x14ac:dyDescent="0.3">
      <c r="A1418" s="616">
        <v>18</v>
      </c>
      <c r="B1418" s="798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x14ac:dyDescent="0.3">
      <c r="A1419" s="616">
        <v>18</v>
      </c>
      <c r="B1419" s="798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x14ac:dyDescent="0.3">
      <c r="A1420" s="616">
        <v>18</v>
      </c>
      <c r="B1420" s="798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x14ac:dyDescent="0.3">
      <c r="A1421" s="616">
        <v>18</v>
      </c>
      <c r="B1421" s="798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 x14ac:dyDescent="0.3">
      <c r="A1422" s="616">
        <v>18</v>
      </c>
      <c r="B1422" s="798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 x14ac:dyDescent="0.3">
      <c r="A1423" s="616">
        <v>18</v>
      </c>
      <c r="B1423" s="798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x14ac:dyDescent="0.3">
      <c r="A1424" s="616">
        <v>18</v>
      </c>
      <c r="B1424" s="798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 x14ac:dyDescent="0.3">
      <c r="A1425" s="616">
        <v>19</v>
      </c>
      <c r="B1425" s="964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x14ac:dyDescent="0.3">
      <c r="A1426" s="616">
        <v>19</v>
      </c>
      <c r="B1426" s="964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 x14ac:dyDescent="0.3">
      <c r="A1427" s="616">
        <v>19</v>
      </c>
      <c r="B1427" s="964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x14ac:dyDescent="0.3">
      <c r="A1428" s="616">
        <v>19</v>
      </c>
      <c r="B1428" s="964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 x14ac:dyDescent="0.3">
      <c r="A1429" s="616">
        <v>19</v>
      </c>
      <c r="B1429" s="96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x14ac:dyDescent="0.3">
      <c r="A1430" s="616">
        <v>19</v>
      </c>
      <c r="B1430" s="96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x14ac:dyDescent="0.3">
      <c r="A1431" s="616">
        <v>19</v>
      </c>
      <c r="B1431" s="96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x14ac:dyDescent="0.3">
      <c r="A1432" s="616">
        <v>19</v>
      </c>
      <c r="B1432" s="96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 x14ac:dyDescent="0.3">
      <c r="A1433" s="743">
        <v>20</v>
      </c>
      <c r="B1433" s="819" t="s">
        <v>5878</v>
      </c>
      <c r="C1433" s="677" t="s">
        <v>5859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5860</v>
      </c>
      <c r="J1433" s="673" t="s">
        <v>1534</v>
      </c>
      <c r="K1433" s="678" t="s">
        <v>5861</v>
      </c>
      <c r="L1433" s="678"/>
      <c r="M1433" s="718">
        <v>1500000</v>
      </c>
      <c r="N1433" s="711"/>
    </row>
    <row r="1434" spans="1:14" x14ac:dyDescent="0.3">
      <c r="A1434" s="743">
        <v>20</v>
      </c>
      <c r="B1434" s="820"/>
      <c r="C1434" s="677" t="s">
        <v>5862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x14ac:dyDescent="0.3">
      <c r="A1435" s="743">
        <v>20</v>
      </c>
      <c r="B1435" s="820"/>
      <c r="C1435" s="677" t="s">
        <v>5863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5864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 x14ac:dyDescent="0.3">
      <c r="A1436" s="743">
        <v>20</v>
      </c>
      <c r="B1436" s="820"/>
      <c r="C1436" s="677" t="s">
        <v>5865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5866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x14ac:dyDescent="0.3">
      <c r="A1437" s="743">
        <v>20</v>
      </c>
      <c r="B1437" s="821"/>
      <c r="C1437" s="677" t="s">
        <v>5867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5864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x14ac:dyDescent="0.3">
      <c r="A1438" s="743">
        <v>20</v>
      </c>
      <c r="B1438" s="819" t="s">
        <v>21</v>
      </c>
      <c r="C1438" s="677" t="s">
        <v>5868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5869</v>
      </c>
      <c r="J1438" s="677" t="s">
        <v>5870</v>
      </c>
      <c r="K1438" s="677" t="s">
        <v>713</v>
      </c>
      <c r="L1438" s="678" t="s">
        <v>309</v>
      </c>
      <c r="M1438" s="718">
        <v>250000</v>
      </c>
      <c r="N1438" s="673" t="s">
        <v>5871</v>
      </c>
    </row>
    <row r="1439" spans="1:14" x14ac:dyDescent="0.3">
      <c r="A1439" s="743">
        <v>20</v>
      </c>
      <c r="B1439" s="820"/>
      <c r="C1439" s="959" t="s">
        <v>5862</v>
      </c>
      <c r="D1439" s="960" t="s">
        <v>311</v>
      </c>
      <c r="E1439" s="960" t="s">
        <v>320</v>
      </c>
      <c r="F1439" s="961" t="s">
        <v>5188</v>
      </c>
      <c r="G1439" s="692" t="s">
        <v>1919</v>
      </c>
      <c r="H1439" s="961" t="s">
        <v>347</v>
      </c>
      <c r="I1439" s="961" t="s">
        <v>5872</v>
      </c>
      <c r="J1439" s="961"/>
      <c r="K1439" s="961" t="s">
        <v>692</v>
      </c>
      <c r="L1439" s="960" t="s">
        <v>309</v>
      </c>
      <c r="M1439" s="962">
        <v>500000</v>
      </c>
      <c r="N1439" s="963"/>
    </row>
    <row r="1440" spans="1:14" x14ac:dyDescent="0.3">
      <c r="A1440" s="743">
        <v>20</v>
      </c>
      <c r="B1440" s="820"/>
      <c r="C1440" s="959"/>
      <c r="D1440" s="960"/>
      <c r="E1440" s="960"/>
      <c r="F1440" s="961"/>
      <c r="G1440" s="692" t="s">
        <v>5189</v>
      </c>
      <c r="H1440" s="961"/>
      <c r="I1440" s="961"/>
      <c r="J1440" s="961"/>
      <c r="K1440" s="961"/>
      <c r="L1440" s="960"/>
      <c r="M1440" s="962"/>
      <c r="N1440" s="963"/>
    </row>
    <row r="1441" spans="1:14" ht="24" x14ac:dyDescent="0.3">
      <c r="A1441" s="743">
        <v>20</v>
      </c>
      <c r="B1441" s="821"/>
      <c r="C1441" s="677" t="s">
        <v>5873</v>
      </c>
      <c r="D1441" s="678" t="s">
        <v>311</v>
      </c>
      <c r="E1441" s="678" t="s">
        <v>320</v>
      </c>
      <c r="F1441" s="677" t="s">
        <v>5874</v>
      </c>
      <c r="G1441" s="677">
        <v>124001</v>
      </c>
      <c r="H1441" s="677" t="s">
        <v>5875</v>
      </c>
      <c r="I1441" s="677" t="s">
        <v>5876</v>
      </c>
      <c r="J1441" s="677" t="s">
        <v>5877</v>
      </c>
      <c r="K1441" s="677" t="s">
        <v>3192</v>
      </c>
      <c r="L1441" s="678" t="s">
        <v>309</v>
      </c>
      <c r="M1441" s="718">
        <v>300000</v>
      </c>
      <c r="N1441" s="673"/>
    </row>
    <row r="1442" spans="1:14" x14ac:dyDescent="0.3">
      <c r="A1442" s="743">
        <v>21</v>
      </c>
      <c r="B1442" s="958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 x14ac:dyDescent="0.3">
      <c r="A1443" s="743">
        <v>21</v>
      </c>
      <c r="B1443" s="958"/>
      <c r="C1443" s="672">
        <v>46165</v>
      </c>
      <c r="D1443" s="660" t="s">
        <v>19</v>
      </c>
      <c r="E1443" s="660" t="s">
        <v>25</v>
      </c>
      <c r="F1443" s="677" t="s">
        <v>5840</v>
      </c>
      <c r="G1443" s="677" t="s">
        <v>5841</v>
      </c>
      <c r="H1443" s="677" t="s">
        <v>5842</v>
      </c>
      <c r="I1443" s="679" t="s">
        <v>5843</v>
      </c>
      <c r="J1443" s="678"/>
      <c r="K1443" s="678" t="s">
        <v>5844</v>
      </c>
      <c r="L1443" s="678"/>
      <c r="M1443" s="718">
        <v>250000</v>
      </c>
      <c r="N1443" s="26"/>
    </row>
    <row r="1444" spans="1:14" ht="24" x14ac:dyDescent="0.3">
      <c r="A1444" s="743">
        <v>21</v>
      </c>
      <c r="B1444" s="958"/>
      <c r="C1444" s="672" t="s">
        <v>5848</v>
      </c>
      <c r="D1444" s="660" t="s">
        <v>19</v>
      </c>
      <c r="E1444" s="660" t="s">
        <v>25</v>
      </c>
      <c r="F1444" s="677" t="s">
        <v>5840</v>
      </c>
      <c r="G1444" s="677" t="s">
        <v>5845</v>
      </c>
      <c r="H1444" s="677" t="s">
        <v>5846</v>
      </c>
      <c r="I1444" s="679" t="s">
        <v>5847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 x14ac:dyDescent="0.3">
      <c r="A1445" s="743">
        <v>21</v>
      </c>
      <c r="B1445" s="958"/>
      <c r="C1445" s="672" t="s">
        <v>5848</v>
      </c>
      <c r="D1445" s="660" t="s">
        <v>19</v>
      </c>
      <c r="E1445" s="660" t="s">
        <v>25</v>
      </c>
      <c r="F1445" s="677" t="s">
        <v>5840</v>
      </c>
      <c r="G1445" s="677" t="s">
        <v>5856</v>
      </c>
      <c r="H1445" s="677" t="s">
        <v>5857</v>
      </c>
      <c r="I1445" s="679" t="s">
        <v>5858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x14ac:dyDescent="0.3">
      <c r="A1446" s="743">
        <v>21</v>
      </c>
      <c r="B1446" s="958"/>
      <c r="C1446" s="672" t="s">
        <v>5853</v>
      </c>
      <c r="D1446" s="660" t="s">
        <v>19</v>
      </c>
      <c r="E1446" s="660" t="s">
        <v>25</v>
      </c>
      <c r="F1446" s="677" t="s">
        <v>5840</v>
      </c>
      <c r="G1446" s="661" t="s">
        <v>5849</v>
      </c>
      <c r="H1446" s="664" t="s">
        <v>5851</v>
      </c>
      <c r="I1446" s="723" t="s">
        <v>5855</v>
      </c>
      <c r="J1446" s="661"/>
      <c r="K1446" s="723" t="s">
        <v>5854</v>
      </c>
      <c r="L1446" s="678"/>
      <c r="M1446" s="718">
        <f t="shared" ref="M1446:M1447" si="11">250000*2</f>
        <v>500000</v>
      </c>
      <c r="N1446" s="26"/>
    </row>
    <row r="1447" spans="1:14" x14ac:dyDescent="0.3">
      <c r="A1447" s="743">
        <v>21</v>
      </c>
      <c r="B1447" s="958"/>
      <c r="C1447" s="672">
        <v>46171</v>
      </c>
      <c r="D1447" s="660" t="s">
        <v>19</v>
      </c>
      <c r="E1447" s="660" t="s">
        <v>25</v>
      </c>
      <c r="F1447" s="677" t="s">
        <v>5840</v>
      </c>
      <c r="G1447" s="661" t="s">
        <v>5849</v>
      </c>
      <c r="H1447" s="677" t="s">
        <v>5850</v>
      </c>
      <c r="I1447" s="679" t="s">
        <v>5852</v>
      </c>
      <c r="J1447" s="678"/>
      <c r="K1447" s="723" t="s">
        <v>5854</v>
      </c>
      <c r="L1447" s="678"/>
      <c r="M1447" s="718">
        <f t="shared" si="11"/>
        <v>500000</v>
      </c>
      <c r="N1447" s="26"/>
    </row>
    <row r="1448" spans="1:14" x14ac:dyDescent="0.3">
      <c r="A1448" s="756">
        <v>21</v>
      </c>
      <c r="B1448" s="958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x14ac:dyDescent="0.3">
      <c r="A1449" s="756">
        <v>21</v>
      </c>
      <c r="B1449" s="958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x14ac:dyDescent="0.3">
      <c r="A1450" s="756">
        <v>21</v>
      </c>
      <c r="B1450" s="958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 x14ac:dyDescent="0.3">
      <c r="A1451" s="756">
        <v>21</v>
      </c>
      <c r="B1451" s="958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 x14ac:dyDescent="0.3">
      <c r="A1452" s="756">
        <v>21</v>
      </c>
      <c r="B1452" s="958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5834</v>
      </c>
      <c r="I1452" s="723" t="s">
        <v>5833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 x14ac:dyDescent="0.3">
      <c r="A1453" s="756">
        <v>22</v>
      </c>
      <c r="B1453" s="783" t="s">
        <v>20</v>
      </c>
      <c r="C1453" s="689">
        <v>46172</v>
      </c>
      <c r="D1453" s="660" t="s">
        <v>5940</v>
      </c>
      <c r="E1453" s="660" t="s">
        <v>5941</v>
      </c>
      <c r="F1453" s="661" t="s">
        <v>5942</v>
      </c>
      <c r="G1453" s="661" t="s">
        <v>5943</v>
      </c>
      <c r="H1453" s="664" t="s">
        <v>5944</v>
      </c>
      <c r="I1453" s="725" t="s">
        <v>5945</v>
      </c>
      <c r="J1453" s="661" t="s">
        <v>5949</v>
      </c>
      <c r="K1453" s="725" t="s">
        <v>5946</v>
      </c>
      <c r="L1453" s="678"/>
      <c r="M1453" s="744">
        <v>250000</v>
      </c>
      <c r="N1453" s="785" t="s">
        <v>5948</v>
      </c>
    </row>
    <row r="1454" spans="1:14" x14ac:dyDescent="0.3">
      <c r="A1454" s="756">
        <v>22</v>
      </c>
      <c r="B1454" s="784"/>
      <c r="C1454" s="689">
        <v>46172</v>
      </c>
      <c r="D1454" s="660" t="s">
        <v>5940</v>
      </c>
      <c r="E1454" s="660" t="s">
        <v>5941</v>
      </c>
      <c r="F1454" s="661" t="s">
        <v>5942</v>
      </c>
      <c r="G1454" s="715">
        <v>1517</v>
      </c>
      <c r="H1454" s="715" t="s">
        <v>5947</v>
      </c>
      <c r="I1454" s="716" t="s">
        <v>5963</v>
      </c>
      <c r="J1454" s="737" t="s">
        <v>5950</v>
      </c>
      <c r="K1454" s="725" t="s">
        <v>5946</v>
      </c>
      <c r="L1454" s="678"/>
      <c r="M1454" s="744">
        <v>250000</v>
      </c>
      <c r="N1454" s="786"/>
    </row>
    <row r="1455" spans="1:14" x14ac:dyDescent="0.3">
      <c r="A1455" s="756">
        <v>22</v>
      </c>
      <c r="B1455" s="784"/>
      <c r="C1455" s="689" t="s">
        <v>5956</v>
      </c>
      <c r="D1455" s="660" t="s">
        <v>5940</v>
      </c>
      <c r="E1455" s="660" t="s">
        <v>5941</v>
      </c>
      <c r="F1455" s="661" t="s">
        <v>5942</v>
      </c>
      <c r="G1455" s="715" t="s">
        <v>5957</v>
      </c>
      <c r="H1455" s="715" t="s">
        <v>5958</v>
      </c>
      <c r="I1455" s="716" t="s">
        <v>5959</v>
      </c>
      <c r="J1455" s="737" t="s">
        <v>5960</v>
      </c>
      <c r="K1455" s="717" t="s">
        <v>5961</v>
      </c>
      <c r="L1455" s="678"/>
      <c r="M1455" s="744">
        <f>250000*4</f>
        <v>1000000</v>
      </c>
      <c r="N1455" s="738"/>
    </row>
    <row r="1456" spans="1:14" x14ac:dyDescent="0.3">
      <c r="A1456" s="756">
        <v>22</v>
      </c>
      <c r="B1456" s="784"/>
      <c r="C1456" s="689" t="s">
        <v>5964</v>
      </c>
      <c r="D1456" s="660" t="s">
        <v>5940</v>
      </c>
      <c r="E1456" s="660" t="s">
        <v>5941</v>
      </c>
      <c r="F1456" s="661" t="s">
        <v>5942</v>
      </c>
      <c r="G1456" s="715">
        <v>1517</v>
      </c>
      <c r="H1456" s="715" t="s">
        <v>5947</v>
      </c>
      <c r="I1456" s="716" t="s">
        <v>5962</v>
      </c>
      <c r="J1456" s="737" t="s">
        <v>5953</v>
      </c>
      <c r="K1456" s="717" t="s">
        <v>5954</v>
      </c>
      <c r="L1456" s="678"/>
      <c r="M1456" s="744">
        <f>250000*2</f>
        <v>500000</v>
      </c>
      <c r="N1456" s="738"/>
    </row>
    <row r="1457" spans="1:14" x14ac:dyDescent="0.3">
      <c r="A1457" s="756">
        <v>22</v>
      </c>
      <c r="B1457" s="784"/>
      <c r="C1457" s="689" t="s">
        <v>5955</v>
      </c>
      <c r="D1457" s="660" t="s">
        <v>5940</v>
      </c>
      <c r="E1457" s="660" t="s">
        <v>5941</v>
      </c>
      <c r="F1457" s="661" t="s">
        <v>5942</v>
      </c>
      <c r="G1457" s="715">
        <v>7062</v>
      </c>
      <c r="H1457" s="715" t="s">
        <v>5951</v>
      </c>
      <c r="I1457" s="716" t="s">
        <v>5952</v>
      </c>
      <c r="J1457" s="737" t="s">
        <v>5953</v>
      </c>
      <c r="K1457" s="717" t="s">
        <v>5954</v>
      </c>
      <c r="L1457" s="678"/>
      <c r="M1457" s="744">
        <v>500000</v>
      </c>
      <c r="N1457" s="738"/>
    </row>
    <row r="1458" spans="1:14" x14ac:dyDescent="0.3">
      <c r="A1458" s="756">
        <v>22</v>
      </c>
      <c r="B1458" s="784"/>
      <c r="C1458" s="689" t="s">
        <v>5955</v>
      </c>
      <c r="D1458" s="660" t="s">
        <v>5940</v>
      </c>
      <c r="E1458" s="660" t="s">
        <v>5941</v>
      </c>
      <c r="F1458" s="661" t="s">
        <v>5942</v>
      </c>
      <c r="G1458" s="661" t="s">
        <v>5965</v>
      </c>
      <c r="H1458" s="715" t="s">
        <v>5966</v>
      </c>
      <c r="I1458" s="716" t="s">
        <v>5968</v>
      </c>
      <c r="J1458" s="737" t="s">
        <v>5967</v>
      </c>
      <c r="K1458" s="717" t="s">
        <v>5954</v>
      </c>
      <c r="L1458" s="678"/>
      <c r="M1458" s="744">
        <v>500000</v>
      </c>
      <c r="N1458" s="739"/>
    </row>
    <row r="1459" spans="1:14" x14ac:dyDescent="0.3">
      <c r="A1459" s="756">
        <v>22</v>
      </c>
      <c r="B1459" s="783" t="s">
        <v>21</v>
      </c>
      <c r="C1459" s="672">
        <v>46174</v>
      </c>
      <c r="D1459" s="660" t="s">
        <v>5972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5835</v>
      </c>
      <c r="J1459" s="788" t="s">
        <v>3274</v>
      </c>
      <c r="K1459" s="788" t="s">
        <v>3454</v>
      </c>
      <c r="L1459" s="678" t="s">
        <v>3265</v>
      </c>
      <c r="M1459" s="790">
        <v>250000</v>
      </c>
      <c r="N1459" s="740" t="s">
        <v>5970</v>
      </c>
    </row>
    <row r="1460" spans="1:14" x14ac:dyDescent="0.3">
      <c r="A1460" s="756">
        <v>22</v>
      </c>
      <c r="B1460" s="784"/>
      <c r="C1460" s="672">
        <v>46174</v>
      </c>
      <c r="D1460" s="660" t="s">
        <v>5972</v>
      </c>
      <c r="E1460" s="660" t="s">
        <v>14</v>
      </c>
      <c r="F1460" s="661" t="s">
        <v>211</v>
      </c>
      <c r="G1460" s="661" t="s">
        <v>5754</v>
      </c>
      <c r="H1460" s="664" t="s">
        <v>5834</v>
      </c>
      <c r="I1460" s="725" t="s">
        <v>5833</v>
      </c>
      <c r="J1460" s="789"/>
      <c r="K1460" s="789"/>
      <c r="L1460" s="678" t="s">
        <v>3265</v>
      </c>
      <c r="M1460" s="791"/>
      <c r="N1460" s="740" t="s">
        <v>5971</v>
      </c>
    </row>
    <row r="1461" spans="1:14" x14ac:dyDescent="0.3">
      <c r="A1461" s="756">
        <v>22</v>
      </c>
      <c r="B1461" s="784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5902</v>
      </c>
      <c r="L1461" s="678" t="s">
        <v>3265</v>
      </c>
      <c r="M1461" s="719">
        <v>250000</v>
      </c>
      <c r="N1461" s="740" t="s">
        <v>5973</v>
      </c>
    </row>
    <row r="1462" spans="1:14" x14ac:dyDescent="0.3">
      <c r="A1462" s="756">
        <v>22</v>
      </c>
      <c r="B1462" s="784"/>
      <c r="C1462" s="672">
        <v>46175</v>
      </c>
      <c r="D1462" s="660" t="s">
        <v>2064</v>
      </c>
      <c r="E1462" s="660" t="s">
        <v>3264</v>
      </c>
      <c r="F1462" s="725" t="s">
        <v>5969</v>
      </c>
      <c r="G1462" s="661" t="s">
        <v>5797</v>
      </c>
      <c r="H1462" s="664" t="s">
        <v>4091</v>
      </c>
      <c r="I1462" s="591" t="s">
        <v>5981</v>
      </c>
      <c r="J1462" s="661" t="s">
        <v>5904</v>
      </c>
      <c r="K1462" s="725" t="s">
        <v>5885</v>
      </c>
      <c r="L1462" s="660" t="s">
        <v>3265</v>
      </c>
      <c r="M1462" s="719">
        <v>250000</v>
      </c>
      <c r="N1462" s="740" t="s">
        <v>5982</v>
      </c>
    </row>
    <row r="1463" spans="1:14" x14ac:dyDescent="0.3">
      <c r="A1463" s="756">
        <v>22</v>
      </c>
      <c r="B1463" s="784"/>
      <c r="C1463" s="689">
        <v>46177</v>
      </c>
      <c r="D1463" s="660" t="s">
        <v>5906</v>
      </c>
      <c r="E1463" s="660" t="s">
        <v>14</v>
      </c>
      <c r="F1463" s="661" t="s">
        <v>5907</v>
      </c>
      <c r="G1463" s="661" t="s">
        <v>5908</v>
      </c>
      <c r="H1463" s="664" t="s">
        <v>5909</v>
      </c>
      <c r="I1463" s="725" t="s">
        <v>5910</v>
      </c>
      <c r="J1463" s="661" t="s">
        <v>5911</v>
      </c>
      <c r="K1463" s="661" t="s">
        <v>5912</v>
      </c>
      <c r="L1463" s="678" t="s">
        <v>5899</v>
      </c>
      <c r="M1463" s="719">
        <v>600000</v>
      </c>
      <c r="N1463" s="740" t="s">
        <v>5974</v>
      </c>
    </row>
    <row r="1464" spans="1:14" x14ac:dyDescent="0.3">
      <c r="A1464" s="756">
        <v>22</v>
      </c>
      <c r="B1464" s="784"/>
      <c r="C1464" s="672">
        <v>46178</v>
      </c>
      <c r="D1464" s="678" t="s">
        <v>5919</v>
      </c>
      <c r="E1464" s="678" t="s">
        <v>5920</v>
      </c>
      <c r="F1464" s="680" t="s">
        <v>5921</v>
      </c>
      <c r="G1464" s="680" t="s">
        <v>5922</v>
      </c>
      <c r="H1464" s="683" t="s">
        <v>553</v>
      </c>
      <c r="I1464" s="681" t="s">
        <v>5924</v>
      </c>
      <c r="J1464" s="680"/>
      <c r="K1464" s="792" t="s">
        <v>5926</v>
      </c>
      <c r="L1464" s="678" t="s">
        <v>15</v>
      </c>
      <c r="M1464" s="790">
        <v>500000</v>
      </c>
      <c r="N1464" s="740" t="s">
        <v>5975</v>
      </c>
    </row>
    <row r="1465" spans="1:14" x14ac:dyDescent="0.3">
      <c r="A1465" s="756">
        <v>22</v>
      </c>
      <c r="B1465" s="787"/>
      <c r="C1465" s="672">
        <v>46178</v>
      </c>
      <c r="D1465" s="678" t="s">
        <v>5919</v>
      </c>
      <c r="E1465" s="678" t="s">
        <v>5920</v>
      </c>
      <c r="F1465" s="680" t="s">
        <v>5921</v>
      </c>
      <c r="G1465" s="680" t="s">
        <v>5922</v>
      </c>
      <c r="H1465" s="683" t="s">
        <v>5923</v>
      </c>
      <c r="I1465" s="681" t="s">
        <v>5925</v>
      </c>
      <c r="J1465" s="680"/>
      <c r="K1465" s="793"/>
      <c r="L1465" s="678" t="s">
        <v>15</v>
      </c>
      <c r="M1465" s="791"/>
      <c r="N1465" s="740" t="s">
        <v>5976</v>
      </c>
    </row>
    <row r="1466" spans="1:14" x14ac:dyDescent="0.3">
      <c r="A1466" s="1062">
        <v>23</v>
      </c>
      <c r="B1466" s="958" t="s">
        <v>20</v>
      </c>
      <c r="C1466" s="672">
        <v>46179</v>
      </c>
      <c r="D1466" s="660" t="s">
        <v>6081</v>
      </c>
      <c r="E1466" s="660" t="s">
        <v>6082</v>
      </c>
      <c r="F1466" s="661" t="s">
        <v>6083</v>
      </c>
      <c r="G1466" s="661">
        <v>1615</v>
      </c>
      <c r="H1466" s="664" t="s">
        <v>6079</v>
      </c>
      <c r="I1466" s="772" t="s">
        <v>6084</v>
      </c>
      <c r="J1466" s="661" t="s">
        <v>6085</v>
      </c>
      <c r="K1466" s="772" t="s">
        <v>6102</v>
      </c>
      <c r="L1466" s="1061" t="s">
        <v>6087</v>
      </c>
      <c r="M1466" s="768">
        <v>250000</v>
      </c>
      <c r="N1466" s="678" t="s">
        <v>6004</v>
      </c>
    </row>
    <row r="1467" spans="1:14" x14ac:dyDescent="0.3">
      <c r="A1467" s="1062">
        <v>23</v>
      </c>
      <c r="B1467" s="958"/>
      <c r="C1467" s="672" t="s">
        <v>6080</v>
      </c>
      <c r="D1467" s="660" t="s">
        <v>6081</v>
      </c>
      <c r="E1467" s="660" t="s">
        <v>6082</v>
      </c>
      <c r="F1467" s="661" t="s">
        <v>6083</v>
      </c>
      <c r="G1467" s="661">
        <v>1615</v>
      </c>
      <c r="H1467" s="664" t="s">
        <v>6079</v>
      </c>
      <c r="I1467" s="772" t="s">
        <v>6084</v>
      </c>
      <c r="J1467" s="661" t="s">
        <v>6085</v>
      </c>
      <c r="K1467" s="772" t="s">
        <v>6086</v>
      </c>
      <c r="L1467" s="1061" t="s">
        <v>6087</v>
      </c>
      <c r="M1467" s="768">
        <f>250000*5</f>
        <v>1250000</v>
      </c>
      <c r="N1467" s="660"/>
    </row>
    <row r="1468" spans="1:14" x14ac:dyDescent="0.3">
      <c r="A1468" s="1062">
        <v>23</v>
      </c>
      <c r="B1468" s="958"/>
      <c r="C1468" s="672" t="s">
        <v>6088</v>
      </c>
      <c r="D1468" s="660" t="s">
        <v>6081</v>
      </c>
      <c r="E1468" s="660" t="s">
        <v>6082</v>
      </c>
      <c r="F1468" s="661" t="s">
        <v>6083</v>
      </c>
      <c r="G1468" s="766" t="s">
        <v>6089</v>
      </c>
      <c r="H1468" s="766" t="s">
        <v>6090</v>
      </c>
      <c r="I1468" s="767" t="s">
        <v>6091</v>
      </c>
      <c r="J1468" s="678"/>
      <c r="K1468" s="678" t="s">
        <v>6092</v>
      </c>
      <c r="L1468" s="1061" t="s">
        <v>6087</v>
      </c>
      <c r="M1468" s="768">
        <f>250000*2</f>
        <v>500000</v>
      </c>
      <c r="N1468" s="1063"/>
    </row>
    <row r="1469" spans="1:14" ht="24" x14ac:dyDescent="0.3">
      <c r="A1469" s="1062">
        <v>23</v>
      </c>
      <c r="B1469" s="958"/>
      <c r="C1469" s="672" t="s">
        <v>6093</v>
      </c>
      <c r="D1469" s="660" t="s">
        <v>6081</v>
      </c>
      <c r="E1469" s="660" t="s">
        <v>6082</v>
      </c>
      <c r="F1469" s="661" t="s">
        <v>6083</v>
      </c>
      <c r="G1469" s="766" t="s">
        <v>6099</v>
      </c>
      <c r="H1469" s="766" t="s">
        <v>6095</v>
      </c>
      <c r="I1469" s="767" t="s">
        <v>6094</v>
      </c>
      <c r="J1469" s="678"/>
      <c r="K1469" s="678" t="s">
        <v>6100</v>
      </c>
      <c r="L1469" s="1061" t="s">
        <v>6087</v>
      </c>
      <c r="M1469" s="768">
        <f>250000*4</f>
        <v>1000000</v>
      </c>
      <c r="N1469" s="1063"/>
    </row>
    <row r="1470" spans="1:14" x14ac:dyDescent="0.3">
      <c r="A1470" s="1062">
        <v>23</v>
      </c>
      <c r="B1470" s="958"/>
      <c r="C1470" s="672" t="s">
        <v>6096</v>
      </c>
      <c r="D1470" s="660" t="s">
        <v>6081</v>
      </c>
      <c r="E1470" s="660" t="s">
        <v>6082</v>
      </c>
      <c r="F1470" s="661" t="s">
        <v>6083</v>
      </c>
      <c r="G1470" s="766">
        <v>7062</v>
      </c>
      <c r="H1470" s="766" t="s">
        <v>6097</v>
      </c>
      <c r="I1470" s="767" t="s">
        <v>6098</v>
      </c>
      <c r="J1470" s="678"/>
      <c r="K1470" s="678" t="s">
        <v>6101</v>
      </c>
      <c r="L1470" s="1061" t="s">
        <v>6087</v>
      </c>
      <c r="M1470" s="768">
        <f>250000*3</f>
        <v>750000</v>
      </c>
      <c r="N1470" s="1063"/>
    </row>
    <row r="1471" spans="1:14" x14ac:dyDescent="0.3">
      <c r="A1471" s="1062">
        <v>23</v>
      </c>
      <c r="B1471" s="958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5909</v>
      </c>
      <c r="I1471" s="462" t="s">
        <v>5910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6004</v>
      </c>
    </row>
    <row r="1472" spans="1:14" x14ac:dyDescent="0.3">
      <c r="A1472" s="1062">
        <v>23</v>
      </c>
      <c r="B1472" s="958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5909</v>
      </c>
      <c r="I1472" s="462" t="s">
        <v>5910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6004</v>
      </c>
    </row>
    <row r="1473" spans="1:14" x14ac:dyDescent="0.3">
      <c r="A1473" s="1062">
        <v>23</v>
      </c>
      <c r="B1473" s="958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6030</v>
      </c>
      <c r="I1473" s="775" t="s">
        <v>6016</v>
      </c>
      <c r="J1473" s="773" t="s">
        <v>6060</v>
      </c>
      <c r="K1473" s="775" t="s">
        <v>6029</v>
      </c>
      <c r="L1473" s="125" t="s">
        <v>15</v>
      </c>
      <c r="M1473" s="719">
        <v>300000</v>
      </c>
      <c r="N1473" s="678" t="s">
        <v>6004</v>
      </c>
    </row>
    <row r="1474" spans="1:14" ht="27" x14ac:dyDescent="0.3">
      <c r="A1474" s="1062">
        <v>23</v>
      </c>
      <c r="B1474" s="958"/>
      <c r="C1474" s="370">
        <v>46181</v>
      </c>
      <c r="D1474" s="3" t="s">
        <v>6022</v>
      </c>
      <c r="E1474" s="3" t="s">
        <v>6023</v>
      </c>
      <c r="F1474" s="463" t="s">
        <v>6024</v>
      </c>
      <c r="G1474" s="462" t="s">
        <v>6033</v>
      </c>
      <c r="H1474" s="468" t="s">
        <v>6021</v>
      </c>
      <c r="I1474" s="462" t="s">
        <v>6031</v>
      </c>
      <c r="J1474" s="989" t="s">
        <v>90</v>
      </c>
      <c r="K1474" s="989" t="s">
        <v>6025</v>
      </c>
      <c r="L1474" s="136" t="s">
        <v>15</v>
      </c>
      <c r="M1474" s="1060">
        <v>250000</v>
      </c>
      <c r="N1474" s="678"/>
    </row>
    <row r="1475" spans="1:14" ht="27" x14ac:dyDescent="0.3">
      <c r="A1475" s="1062">
        <v>23</v>
      </c>
      <c r="B1475" s="958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6033</v>
      </c>
      <c r="H1475" s="16" t="s">
        <v>37</v>
      </c>
      <c r="I1475" s="775" t="s">
        <v>6011</v>
      </c>
      <c r="J1475" s="989"/>
      <c r="K1475" s="989"/>
      <c r="L1475" s="136" t="s">
        <v>15</v>
      </c>
      <c r="M1475" s="1060"/>
      <c r="N1475" s="678"/>
    </row>
    <row r="1476" spans="1:14" x14ac:dyDescent="0.3">
      <c r="A1476" s="1062">
        <v>23</v>
      </c>
      <c r="B1476" s="958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6061</v>
      </c>
      <c r="J1476" s="463" t="s">
        <v>6062</v>
      </c>
      <c r="K1476" s="462" t="s">
        <v>6063</v>
      </c>
      <c r="L1476" s="125" t="s">
        <v>6064</v>
      </c>
      <c r="M1476" s="719">
        <v>300000</v>
      </c>
      <c r="N1476" s="678"/>
    </row>
    <row r="1477" spans="1:14" x14ac:dyDescent="0.3">
      <c r="A1477" s="1062">
        <v>23</v>
      </c>
      <c r="B1477" s="958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6007</v>
      </c>
      <c r="J1477" s="463" t="s">
        <v>6020</v>
      </c>
      <c r="K1477" s="463" t="s">
        <v>153</v>
      </c>
      <c r="L1477" s="136" t="s">
        <v>15</v>
      </c>
      <c r="M1477" s="719">
        <v>250000</v>
      </c>
      <c r="N1477" s="678"/>
    </row>
    <row r="1478" spans="1:14" x14ac:dyDescent="0.3">
      <c r="A1478" s="1062">
        <v>23</v>
      </c>
      <c r="B1478" s="958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6020</v>
      </c>
      <c r="K1478" s="463" t="s">
        <v>153</v>
      </c>
      <c r="L1478" s="136" t="s">
        <v>15</v>
      </c>
      <c r="M1478" s="719">
        <v>250000</v>
      </c>
      <c r="N1478" s="678"/>
    </row>
    <row r="1479" spans="1:14" x14ac:dyDescent="0.3">
      <c r="A1479" s="1062">
        <v>23</v>
      </c>
      <c r="B1479" s="958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6077</v>
      </c>
      <c r="J1479" s="773"/>
      <c r="K1479" s="775" t="s">
        <v>6074</v>
      </c>
      <c r="L1479" s="125" t="s">
        <v>15</v>
      </c>
      <c r="M1479" s="719">
        <v>300000</v>
      </c>
      <c r="N1479" s="678"/>
    </row>
    <row r="1480" spans="1:14" x14ac:dyDescent="0.3">
      <c r="A1480" s="1062">
        <v>23</v>
      </c>
      <c r="B1480" s="958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6028</v>
      </c>
      <c r="I1480" s="775" t="s">
        <v>6067</v>
      </c>
      <c r="J1480" s="773" t="s">
        <v>6076</v>
      </c>
      <c r="K1480" s="775" t="s">
        <v>6075</v>
      </c>
      <c r="L1480" s="125" t="s">
        <v>6068</v>
      </c>
      <c r="M1480" s="719">
        <v>300000</v>
      </c>
      <c r="N1480" s="678"/>
    </row>
    <row r="1481" spans="1:14" x14ac:dyDescent="0.3">
      <c r="A1481" s="1062">
        <v>23</v>
      </c>
      <c r="B1481" s="958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6028</v>
      </c>
      <c r="I1481" s="775" t="s">
        <v>6071</v>
      </c>
      <c r="J1481" s="773"/>
      <c r="K1481" s="775" t="s">
        <v>6070</v>
      </c>
      <c r="L1481" s="125" t="s">
        <v>6068</v>
      </c>
      <c r="M1481" s="719">
        <v>300000</v>
      </c>
      <c r="N1481" s="678"/>
    </row>
    <row r="1482" spans="1:14" x14ac:dyDescent="0.3">
      <c r="A1482" s="1062">
        <v>23</v>
      </c>
      <c r="B1482" s="958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6061</v>
      </c>
      <c r="J1482" s="463" t="s">
        <v>6062</v>
      </c>
      <c r="K1482" s="462" t="s">
        <v>6065</v>
      </c>
      <c r="L1482" s="125" t="s">
        <v>6064</v>
      </c>
      <c r="M1482" s="719">
        <v>800000</v>
      </c>
      <c r="N1482" s="678"/>
    </row>
    <row r="1483" spans="1:14" x14ac:dyDescent="0.3">
      <c r="A1483" s="1062">
        <v>23</v>
      </c>
      <c r="B1483" s="958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6061</v>
      </c>
      <c r="J1483" s="463" t="s">
        <v>6062</v>
      </c>
      <c r="K1483" s="462" t="s">
        <v>6065</v>
      </c>
      <c r="L1483" s="125" t="s">
        <v>6064</v>
      </c>
      <c r="M1483" s="719">
        <v>800000</v>
      </c>
      <c r="N1483" s="678"/>
    </row>
    <row r="1484" spans="1:14" x14ac:dyDescent="0.3">
      <c r="A1484" s="1062">
        <v>23</v>
      </c>
      <c r="B1484" s="958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5925</v>
      </c>
      <c r="J1484" s="773" t="s">
        <v>6035</v>
      </c>
      <c r="K1484" s="775" t="s">
        <v>6036</v>
      </c>
      <c r="L1484" s="125" t="s">
        <v>15</v>
      </c>
      <c r="M1484" s="719">
        <v>250000</v>
      </c>
      <c r="N1484" s="678"/>
    </row>
    <row r="1485" spans="1:14" x14ac:dyDescent="0.3">
      <c r="A1485" s="1062">
        <v>23</v>
      </c>
      <c r="B1485" s="958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6061</v>
      </c>
      <c r="J1485" s="463" t="s">
        <v>6062</v>
      </c>
      <c r="K1485" s="462" t="s">
        <v>6065</v>
      </c>
      <c r="L1485" s="125" t="s">
        <v>6064</v>
      </c>
      <c r="M1485" s="719">
        <v>800000</v>
      </c>
      <c r="N1485" s="678"/>
    </row>
  </sheetData>
  <autoFilter ref="A1:N1465"/>
  <mergeCells count="1049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16" workbookViewId="0">
      <selection activeCell="A16" sqref="A16:D19"/>
    </sheetView>
  </sheetViews>
  <sheetFormatPr defaultRowHeight="16.5" x14ac:dyDescent="0.3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 x14ac:dyDescent="0.3">
      <c r="A3" s="600" t="s">
        <v>4864</v>
      </c>
    </row>
    <row r="4" spans="1:4" x14ac:dyDescent="0.3">
      <c r="A4" s="601" t="s">
        <v>4878</v>
      </c>
    </row>
    <row r="7" spans="1:4" ht="20.25" x14ac:dyDescent="0.3">
      <c r="A7" s="600" t="s">
        <v>4865</v>
      </c>
    </row>
    <row r="8" spans="1:4" x14ac:dyDescent="0.3">
      <c r="A8" s="601" t="s">
        <v>4866</v>
      </c>
      <c r="B8" s="602">
        <f>C13</f>
        <v>1150000</v>
      </c>
    </row>
    <row r="10" spans="1:4" x14ac:dyDescent="0.3">
      <c r="A10" s="603" t="s">
        <v>4855</v>
      </c>
      <c r="B10" s="603" t="s">
        <v>4856</v>
      </c>
      <c r="C10" s="965" t="s">
        <v>4857</v>
      </c>
      <c r="D10" s="965"/>
    </row>
    <row r="11" spans="1:4" x14ac:dyDescent="0.3">
      <c r="A11" s="603" t="s">
        <v>4858</v>
      </c>
      <c r="B11" s="603">
        <v>4</v>
      </c>
      <c r="C11" s="966">
        <f>'사전품의양식 (12)'!L9</f>
        <v>0</v>
      </c>
      <c r="D11" s="966"/>
    </row>
    <row r="12" spans="1:4" x14ac:dyDescent="0.3">
      <c r="A12" s="603" t="s">
        <v>4859</v>
      </c>
      <c r="B12" s="603">
        <v>9</v>
      </c>
      <c r="C12" s="966">
        <f>'사전품의양식 (12)'!L24</f>
        <v>1150000</v>
      </c>
      <c r="D12" s="966"/>
    </row>
    <row r="13" spans="1:4" x14ac:dyDescent="0.3">
      <c r="A13" s="605" t="s">
        <v>53</v>
      </c>
      <c r="B13" s="605">
        <f>SUM(B11:B12)</f>
        <v>13</v>
      </c>
      <c r="C13" s="967">
        <f>SUM(C11:C12)</f>
        <v>1150000</v>
      </c>
      <c r="D13" s="967"/>
    </row>
    <row r="15" spans="1:4" x14ac:dyDescent="0.3">
      <c r="A15" s="601" t="s">
        <v>4860</v>
      </c>
    </row>
    <row r="16" spans="1:4" x14ac:dyDescent="0.3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 x14ac:dyDescent="0.3">
      <c r="A17" s="603" t="s">
        <v>5510</v>
      </c>
      <c r="B17" s="604">
        <v>250000</v>
      </c>
      <c r="C17" s="604">
        <v>800000</v>
      </c>
      <c r="D17" s="607">
        <f>SUM(B17:C17)</f>
        <v>1050000</v>
      </c>
    </row>
    <row r="18" spans="1:5" x14ac:dyDescent="0.3">
      <c r="A18" s="603" t="s">
        <v>5511</v>
      </c>
      <c r="B18" s="604">
        <f>C11-B17</f>
        <v>-250000</v>
      </c>
      <c r="C18" s="604">
        <f>C12-C17</f>
        <v>350000</v>
      </c>
      <c r="D18" s="604">
        <f>SUM(B18:C18)</f>
        <v>100000</v>
      </c>
    </row>
    <row r="19" spans="1:5" x14ac:dyDescent="0.3">
      <c r="A19" s="605" t="s">
        <v>4861</v>
      </c>
      <c r="B19" s="606">
        <f t="shared" ref="B19:C19" si="0">SUM(B17:B18)</f>
        <v>0</v>
      </c>
      <c r="C19" s="606">
        <f t="shared" si="0"/>
        <v>1150000</v>
      </c>
      <c r="D19" s="606">
        <f>SUM(D17:D18)</f>
        <v>1150000</v>
      </c>
    </row>
    <row r="22" spans="1:5" ht="20.25" x14ac:dyDescent="0.3">
      <c r="A22" s="600" t="s">
        <v>4871</v>
      </c>
    </row>
    <row r="24" spans="1:5" x14ac:dyDescent="0.3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 x14ac:dyDescent="0.3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 x14ac:dyDescent="0.3">
      <c r="A26" s="968" t="s">
        <v>5978</v>
      </c>
      <c r="B26" s="603" t="s">
        <v>5790</v>
      </c>
      <c r="C26" s="703" t="s">
        <v>5979</v>
      </c>
      <c r="D26" s="702"/>
      <c r="E26" s="702"/>
    </row>
    <row r="27" spans="1:5" x14ac:dyDescent="0.3">
      <c r="A27" s="969"/>
      <c r="B27" s="603" t="s">
        <v>5977</v>
      </c>
      <c r="C27" s="703" t="s">
        <v>5979</v>
      </c>
      <c r="D27" s="702"/>
      <c r="E27" s="702"/>
    </row>
    <row r="29" spans="1:5" ht="20.25" x14ac:dyDescent="0.3">
      <c r="A29" s="600" t="s">
        <v>4867</v>
      </c>
    </row>
    <row r="31" spans="1:5" x14ac:dyDescent="0.3">
      <c r="A31" s="601" t="s">
        <v>4876</v>
      </c>
    </row>
    <row r="33" spans="1:1" x14ac:dyDescent="0.3">
      <c r="A33" s="601" t="s">
        <v>4877</v>
      </c>
    </row>
    <row r="35" spans="1:1" x14ac:dyDescent="0.3">
      <c r="A35" s="601" t="s">
        <v>4870</v>
      </c>
    </row>
    <row r="39" spans="1:1" ht="20.25" x14ac:dyDescent="0.3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37"/>
  <sheetViews>
    <sheetView topLeftCell="A2" zoomScale="85" zoomScaleNormal="85" zoomScaleSheetLayoutView="55" workbookViewId="0">
      <selection activeCell="F16" sqref="F16"/>
    </sheetView>
  </sheetViews>
  <sheetFormatPr defaultRowHeight="12" x14ac:dyDescent="0.3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 x14ac:dyDescent="0.3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 x14ac:dyDescent="0.3">
      <c r="A2" s="972" t="s">
        <v>5625</v>
      </c>
      <c r="B2" s="974" t="s">
        <v>1</v>
      </c>
      <c r="C2" s="974" t="s">
        <v>2</v>
      </c>
      <c r="D2" s="974" t="s">
        <v>3</v>
      </c>
      <c r="E2" s="735" t="s">
        <v>2623</v>
      </c>
      <c r="F2" s="974" t="s">
        <v>5</v>
      </c>
      <c r="G2" s="974" t="s">
        <v>6</v>
      </c>
      <c r="H2" s="974" t="s">
        <v>2624</v>
      </c>
      <c r="I2" s="974" t="s">
        <v>55</v>
      </c>
      <c r="J2" s="974" t="s">
        <v>9</v>
      </c>
      <c r="K2" s="976" t="s">
        <v>56</v>
      </c>
      <c r="L2" s="974" t="s">
        <v>57</v>
      </c>
      <c r="M2" s="970" t="s">
        <v>58</v>
      </c>
    </row>
    <row r="3" spans="1:13" x14ac:dyDescent="0.3">
      <c r="A3" s="973"/>
      <c r="B3" s="975"/>
      <c r="C3" s="975"/>
      <c r="D3" s="975"/>
      <c r="E3" s="736" t="s">
        <v>1724</v>
      </c>
      <c r="F3" s="975"/>
      <c r="G3" s="975"/>
      <c r="H3" s="975"/>
      <c r="I3" s="975"/>
      <c r="J3" s="975"/>
      <c r="K3" s="977"/>
      <c r="L3" s="975"/>
      <c r="M3" s="971"/>
    </row>
    <row r="4" spans="1:13" s="730" customFormat="1" ht="16.5" customHeight="1" x14ac:dyDescent="0.3">
      <c r="A4" s="980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1061"/>
      <c r="L4" s="768"/>
      <c r="M4" s="740"/>
    </row>
    <row r="5" spans="1:13" s="730" customFormat="1" ht="16.5" customHeight="1" x14ac:dyDescent="0.3">
      <c r="A5" s="981"/>
      <c r="B5" s="689"/>
      <c r="C5" s="660"/>
      <c r="D5" s="660"/>
      <c r="E5" s="661"/>
      <c r="F5" s="661"/>
      <c r="G5" s="664"/>
      <c r="H5" s="772"/>
      <c r="I5" s="661"/>
      <c r="J5" s="772"/>
      <c r="K5" s="1061"/>
      <c r="L5" s="768"/>
      <c r="M5" s="769"/>
    </row>
    <row r="6" spans="1:13" s="730" customFormat="1" ht="16.5" customHeight="1" x14ac:dyDescent="0.3">
      <c r="A6" s="981"/>
      <c r="B6" s="689"/>
      <c r="C6" s="660"/>
      <c r="D6" s="660"/>
      <c r="E6" s="661"/>
      <c r="F6" s="715"/>
      <c r="G6" s="715"/>
      <c r="H6" s="716"/>
      <c r="I6" s="737"/>
      <c r="J6" s="717"/>
      <c r="K6" s="1061"/>
      <c r="L6" s="768"/>
      <c r="M6" s="738"/>
    </row>
    <row r="7" spans="1:13" s="730" customFormat="1" ht="16.5" customHeight="1" x14ac:dyDescent="0.3">
      <c r="A7" s="981"/>
      <c r="B7" s="689"/>
      <c r="C7" s="660"/>
      <c r="D7" s="660"/>
      <c r="E7" s="661"/>
      <c r="F7" s="715"/>
      <c r="G7" s="715"/>
      <c r="H7" s="716"/>
      <c r="I7" s="737"/>
      <c r="J7" s="717"/>
      <c r="K7" s="1061"/>
      <c r="L7" s="768"/>
      <c r="M7" s="738"/>
    </row>
    <row r="8" spans="1:13" s="730" customFormat="1" x14ac:dyDescent="0.3">
      <c r="A8" s="981"/>
      <c r="B8" s="689"/>
      <c r="C8" s="660"/>
      <c r="D8" s="660"/>
      <c r="E8" s="661"/>
      <c r="F8" s="715"/>
      <c r="G8" s="715"/>
      <c r="H8" s="716"/>
      <c r="I8" s="737"/>
      <c r="J8" s="717"/>
      <c r="K8" s="1061"/>
      <c r="L8" s="768"/>
      <c r="M8" s="738"/>
    </row>
    <row r="9" spans="1:13" x14ac:dyDescent="0.3">
      <c r="A9" s="982"/>
      <c r="B9" s="958" t="s">
        <v>1136</v>
      </c>
      <c r="C9" s="958"/>
      <c r="D9" s="958"/>
      <c r="E9" s="958"/>
      <c r="F9" s="958"/>
      <c r="G9" s="958"/>
      <c r="H9" s="958"/>
      <c r="I9" s="958"/>
      <c r="J9" s="958"/>
      <c r="K9" s="958"/>
      <c r="L9" s="719">
        <f>SUM(L4:L8)</f>
        <v>0</v>
      </c>
      <c r="M9" s="740"/>
    </row>
    <row r="10" spans="1:13" ht="13.5" x14ac:dyDescent="0.3">
      <c r="A10" s="980" t="s">
        <v>21</v>
      </c>
      <c r="B10" s="198">
        <v>46181</v>
      </c>
      <c r="C10" s="3" t="s">
        <v>21</v>
      </c>
      <c r="D10" s="3" t="s">
        <v>14</v>
      </c>
      <c r="E10" s="482" t="s">
        <v>149</v>
      </c>
      <c r="F10" s="463" t="s">
        <v>4090</v>
      </c>
      <c r="G10" s="468" t="s">
        <v>4091</v>
      </c>
      <c r="H10" s="462" t="s">
        <v>6135</v>
      </c>
      <c r="I10" s="463" t="s">
        <v>6020</v>
      </c>
      <c r="J10" s="463" t="s">
        <v>6134</v>
      </c>
      <c r="K10" s="136" t="s">
        <v>15</v>
      </c>
      <c r="L10" s="770">
        <v>300000</v>
      </c>
      <c r="M10" s="740" t="s">
        <v>6133</v>
      </c>
    </row>
    <row r="11" spans="1:13" ht="16.5" customHeight="1" x14ac:dyDescent="0.3">
      <c r="A11" s="981"/>
      <c r="B11" s="198">
        <v>46182</v>
      </c>
      <c r="C11" s="3" t="s">
        <v>21</v>
      </c>
      <c r="D11" s="3" t="s">
        <v>14</v>
      </c>
      <c r="E11" s="482" t="s">
        <v>149</v>
      </c>
      <c r="F11" s="463" t="s">
        <v>4090</v>
      </c>
      <c r="G11" s="468" t="s">
        <v>4091</v>
      </c>
      <c r="H11" s="462" t="s">
        <v>6135</v>
      </c>
      <c r="I11" s="463" t="s">
        <v>6020</v>
      </c>
      <c r="J11" s="463" t="s">
        <v>6134</v>
      </c>
      <c r="K11" s="136" t="s">
        <v>15</v>
      </c>
      <c r="L11" s="770">
        <v>300000</v>
      </c>
      <c r="M11" s="740" t="s">
        <v>6133</v>
      </c>
    </row>
    <row r="12" spans="1:13" ht="16.5" customHeight="1" x14ac:dyDescent="0.3">
      <c r="A12" s="981"/>
      <c r="B12" s="198">
        <v>46183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6135</v>
      </c>
      <c r="I12" s="463" t="s">
        <v>6020</v>
      </c>
      <c r="J12" s="463" t="s">
        <v>6134</v>
      </c>
      <c r="K12" s="136" t="s">
        <v>15</v>
      </c>
      <c r="L12" s="770">
        <v>300000</v>
      </c>
      <c r="M12" s="740" t="s">
        <v>6133</v>
      </c>
    </row>
    <row r="13" spans="1:13" ht="16.5" customHeight="1" x14ac:dyDescent="0.3">
      <c r="A13" s="981"/>
      <c r="B13" s="401">
        <v>46183</v>
      </c>
      <c r="C13" s="3" t="s">
        <v>21</v>
      </c>
      <c r="D13" s="3" t="s">
        <v>14</v>
      </c>
      <c r="E13" s="463" t="s">
        <v>107</v>
      </c>
      <c r="F13" s="463" t="s">
        <v>3386</v>
      </c>
      <c r="G13" s="468" t="s">
        <v>6028</v>
      </c>
      <c r="H13" s="775" t="s">
        <v>6071</v>
      </c>
      <c r="I13" s="773"/>
      <c r="J13" s="775" t="s">
        <v>6136</v>
      </c>
      <c r="K13" s="125" t="s">
        <v>6068</v>
      </c>
      <c r="L13" s="770">
        <v>250000</v>
      </c>
      <c r="M13" s="740" t="s">
        <v>6133</v>
      </c>
    </row>
    <row r="14" spans="1:13" ht="16.5" customHeight="1" x14ac:dyDescent="0.3">
      <c r="A14" s="981"/>
      <c r="B14" s="401"/>
      <c r="C14" s="3"/>
      <c r="D14" s="3"/>
      <c r="E14" s="463"/>
      <c r="F14" s="463"/>
      <c r="G14" s="468"/>
      <c r="H14" s="462"/>
      <c r="I14" s="463"/>
      <c r="J14" s="462"/>
      <c r="K14" s="125"/>
      <c r="L14" s="719"/>
      <c r="M14" s="740"/>
    </row>
    <row r="15" spans="1:13" ht="16.5" customHeight="1" x14ac:dyDescent="0.3">
      <c r="A15" s="981"/>
      <c r="B15" s="401"/>
      <c r="C15" s="3"/>
      <c r="D15" s="3"/>
      <c r="E15" s="482"/>
      <c r="F15" s="463"/>
      <c r="G15" s="468"/>
      <c r="H15" s="462"/>
      <c r="I15" s="463"/>
      <c r="J15" s="463"/>
      <c r="K15" s="136"/>
      <c r="L15" s="719"/>
      <c r="M15" s="740"/>
    </row>
    <row r="16" spans="1:13" ht="16.5" customHeight="1" x14ac:dyDescent="0.3">
      <c r="A16" s="981"/>
      <c r="B16" s="401"/>
      <c r="C16" s="3"/>
      <c r="D16" s="3"/>
      <c r="E16" s="482"/>
      <c r="F16" s="463"/>
      <c r="G16" s="468"/>
      <c r="H16" s="462"/>
      <c r="I16" s="463"/>
      <c r="J16" s="463"/>
      <c r="K16" s="136"/>
      <c r="L16" s="719"/>
      <c r="M16" s="740"/>
    </row>
    <row r="17" spans="1:13" ht="16.5" customHeight="1" x14ac:dyDescent="0.3">
      <c r="A17" s="981"/>
      <c r="B17" s="401"/>
      <c r="C17" s="4"/>
      <c r="D17" s="4"/>
      <c r="E17" s="773"/>
      <c r="F17" s="463"/>
      <c r="G17" s="16"/>
      <c r="H17" s="775"/>
      <c r="I17" s="773"/>
      <c r="J17" s="775"/>
      <c r="K17" s="125"/>
      <c r="L17" s="719"/>
      <c r="M17" s="740"/>
    </row>
    <row r="18" spans="1:13" ht="16.5" customHeight="1" x14ac:dyDescent="0.3">
      <c r="A18" s="981"/>
      <c r="B18" s="370"/>
      <c r="C18" s="3"/>
      <c r="D18" s="3"/>
      <c r="E18" s="463"/>
      <c r="F18" s="463"/>
      <c r="G18" s="468"/>
      <c r="H18" s="775"/>
      <c r="I18" s="773"/>
      <c r="J18" s="775"/>
      <c r="K18" s="125"/>
      <c r="L18" s="719"/>
      <c r="M18" s="740"/>
    </row>
    <row r="19" spans="1:13" ht="16.5" customHeight="1" x14ac:dyDescent="0.3">
      <c r="A19" s="981"/>
      <c r="B19" s="401"/>
      <c r="C19" s="3"/>
      <c r="D19" s="3"/>
      <c r="E19" s="463"/>
      <c r="F19" s="463"/>
      <c r="G19" s="468"/>
      <c r="H19" s="775"/>
      <c r="I19" s="773"/>
      <c r="J19" s="775"/>
      <c r="K19" s="125"/>
      <c r="L19" s="719"/>
      <c r="M19" s="740"/>
    </row>
    <row r="20" spans="1:13" ht="16.5" customHeight="1" x14ac:dyDescent="0.3">
      <c r="A20" s="981"/>
      <c r="B20" s="401"/>
      <c r="C20" s="3"/>
      <c r="D20" s="3"/>
      <c r="E20" s="463"/>
      <c r="F20" s="463"/>
      <c r="G20" s="468"/>
      <c r="H20" s="462"/>
      <c r="I20" s="463"/>
      <c r="J20" s="462"/>
      <c r="K20" s="125"/>
      <c r="L20" s="719"/>
      <c r="M20" s="740"/>
    </row>
    <row r="21" spans="1:13" ht="16.5" customHeight="1" x14ac:dyDescent="0.3">
      <c r="A21" s="981"/>
      <c r="B21" s="370"/>
      <c r="C21" s="3"/>
      <c r="D21" s="3"/>
      <c r="E21" s="463"/>
      <c r="F21" s="463"/>
      <c r="G21" s="468"/>
      <c r="H21" s="462"/>
      <c r="I21" s="463"/>
      <c r="J21" s="462"/>
      <c r="K21" s="125"/>
      <c r="L21" s="719"/>
      <c r="M21" s="740"/>
    </row>
    <row r="22" spans="1:13" ht="16.5" customHeight="1" x14ac:dyDescent="0.3">
      <c r="A22" s="981"/>
      <c r="B22" s="370"/>
      <c r="C22" s="4"/>
      <c r="D22" s="4"/>
      <c r="E22" s="773"/>
      <c r="F22" s="773"/>
      <c r="G22" s="16"/>
      <c r="H22" s="775"/>
      <c r="I22" s="773"/>
      <c r="J22" s="775"/>
      <c r="K22" s="125"/>
      <c r="L22" s="771"/>
      <c r="M22" s="740"/>
    </row>
    <row r="23" spans="1:13" ht="16.5" customHeight="1" x14ac:dyDescent="0.3">
      <c r="A23" s="981"/>
      <c r="B23" s="401"/>
      <c r="C23" s="3"/>
      <c r="D23" s="3"/>
      <c r="E23" s="463"/>
      <c r="F23" s="463"/>
      <c r="G23" s="468"/>
      <c r="H23" s="462"/>
      <c r="I23" s="463"/>
      <c r="J23" s="462"/>
      <c r="K23" s="125"/>
      <c r="L23" s="771"/>
      <c r="M23" s="740"/>
    </row>
    <row r="24" spans="1:13" x14ac:dyDescent="0.3">
      <c r="A24" s="982"/>
      <c r="B24" s="958" t="s">
        <v>4879</v>
      </c>
      <c r="C24" s="958"/>
      <c r="D24" s="958"/>
      <c r="E24" s="958"/>
      <c r="F24" s="958"/>
      <c r="G24" s="958"/>
      <c r="H24" s="958"/>
      <c r="I24" s="958"/>
      <c r="J24" s="958"/>
      <c r="K24" s="958"/>
      <c r="L24" s="719">
        <f>SUM(L10:L23)</f>
        <v>1150000</v>
      </c>
      <c r="M24" s="740"/>
    </row>
    <row r="25" spans="1:13" ht="25.5" customHeight="1" thickBot="1" x14ac:dyDescent="0.35">
      <c r="A25" s="978" t="s">
        <v>62</v>
      </c>
      <c r="B25" s="979"/>
      <c r="C25" s="979"/>
      <c r="D25" s="979"/>
      <c r="E25" s="979"/>
      <c r="F25" s="979"/>
      <c r="G25" s="979"/>
      <c r="H25" s="979"/>
      <c r="I25" s="979"/>
      <c r="J25" s="979"/>
      <c r="K25" s="979"/>
      <c r="L25" s="741">
        <f>L9+L24</f>
        <v>1150000</v>
      </c>
      <c r="M25" s="742"/>
    </row>
    <row r="26" spans="1:13" ht="26.25" customHeight="1" x14ac:dyDescent="0.3"/>
    <row r="27" spans="1:13" ht="26.25" hidden="1" customHeight="1" x14ac:dyDescent="0.3"/>
    <row r="28" spans="1:13" ht="25.5" hidden="1" customHeight="1" x14ac:dyDescent="0.3">
      <c r="B28" s="731" t="s">
        <v>1144</v>
      </c>
      <c r="C28" s="732"/>
      <c r="D28" s="732"/>
      <c r="E28" s="732"/>
      <c r="F28" s="732"/>
      <c r="G28" s="732"/>
      <c r="H28" s="732"/>
      <c r="I28" s="732"/>
    </row>
    <row r="29" spans="1:13" ht="25.5" hidden="1" customHeight="1" x14ac:dyDescent="0.3">
      <c r="B29" s="733" t="s">
        <v>1140</v>
      </c>
      <c r="C29" s="731">
        <v>45282</v>
      </c>
      <c r="D29" s="732" t="s">
        <v>1151</v>
      </c>
      <c r="E29" s="732"/>
      <c r="F29" s="732"/>
      <c r="G29" s="732"/>
      <c r="I29" s="732"/>
    </row>
    <row r="30" spans="1:13" ht="25.5" hidden="1" customHeight="1" x14ac:dyDescent="0.3">
      <c r="B30" s="733" t="s">
        <v>1141</v>
      </c>
      <c r="C30" s="731">
        <v>45282</v>
      </c>
      <c r="D30" s="732" t="s">
        <v>1143</v>
      </c>
      <c r="E30" s="732"/>
      <c r="F30" s="732"/>
      <c r="G30" s="732"/>
      <c r="H30" s="732"/>
      <c r="I30" s="732"/>
    </row>
    <row r="31" spans="1:13" ht="25.5" hidden="1" customHeight="1" x14ac:dyDescent="0.3">
      <c r="B31" s="733" t="s">
        <v>1145</v>
      </c>
      <c r="C31" s="734" t="s">
        <v>1142</v>
      </c>
      <c r="D31" s="732" t="s">
        <v>1152</v>
      </c>
      <c r="E31" s="732"/>
      <c r="F31" s="732"/>
      <c r="G31" s="732"/>
      <c r="H31" s="732"/>
      <c r="I31" s="732"/>
    </row>
    <row r="32" spans="1:13" ht="20.100000000000001" hidden="1" customHeight="1" x14ac:dyDescent="0.3">
      <c r="B32" s="732"/>
      <c r="C32" s="732" t="s">
        <v>1146</v>
      </c>
      <c r="D32" s="732"/>
      <c r="E32" s="732"/>
      <c r="F32" s="732"/>
      <c r="G32" s="732"/>
      <c r="H32" s="732"/>
      <c r="I32" s="732"/>
    </row>
    <row r="33" spans="1:13" ht="16.5" hidden="1" customHeight="1" x14ac:dyDescent="0.3"/>
    <row r="34" spans="1:13" ht="20.100000000000001" hidden="1" customHeight="1" x14ac:dyDescent="0.3">
      <c r="J34" s="732"/>
    </row>
    <row r="37" spans="1:13" ht="28.5" customHeight="1" x14ac:dyDescent="0.3">
      <c r="A37" s="707" t="s">
        <v>0</v>
      </c>
      <c r="B37" s="708" t="s">
        <v>1</v>
      </c>
      <c r="C37" s="707" t="s">
        <v>2</v>
      </c>
      <c r="D37" s="707" t="s">
        <v>3</v>
      </c>
      <c r="E37" s="707" t="s">
        <v>4</v>
      </c>
      <c r="F37" s="707" t="s">
        <v>5</v>
      </c>
      <c r="G37" s="707" t="s">
        <v>6</v>
      </c>
      <c r="H37" s="709" t="s">
        <v>7</v>
      </c>
      <c r="I37" s="707" t="s">
        <v>8</v>
      </c>
      <c r="J37" s="707" t="s">
        <v>9</v>
      </c>
      <c r="K37" s="710" t="s">
        <v>10</v>
      </c>
      <c r="L37" s="707" t="s">
        <v>12</v>
      </c>
      <c r="M37" s="707" t="s">
        <v>63</v>
      </c>
    </row>
  </sheetData>
  <mergeCells count="17">
    <mergeCell ref="B9:K9"/>
    <mergeCell ref="A25:K25"/>
    <mergeCell ref="B24:K24"/>
    <mergeCell ref="A10:A24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9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9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993" t="s">
        <v>53</v>
      </c>
      <c r="B26" s="994"/>
      <c r="C26" s="994"/>
      <c r="D26" s="994"/>
      <c r="E26" s="994"/>
      <c r="F26" s="994"/>
      <c r="G26" s="994"/>
      <c r="H26" s="994"/>
      <c r="I26" s="99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993" t="s">
        <v>53</v>
      </c>
      <c r="B35" s="994"/>
      <c r="C35" s="994"/>
      <c r="D35" s="994"/>
      <c r="E35" s="994"/>
      <c r="F35" s="994"/>
      <c r="G35" s="994"/>
      <c r="H35" s="994"/>
      <c r="I35" s="99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9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9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993" t="s">
        <v>53</v>
      </c>
      <c r="B42" s="994"/>
      <c r="C42" s="994"/>
      <c r="D42" s="994"/>
      <c r="E42" s="994"/>
      <c r="F42" s="994"/>
      <c r="G42" s="994"/>
      <c r="H42" s="994"/>
      <c r="I42" s="99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993" t="s">
        <v>53</v>
      </c>
      <c r="B48" s="994"/>
      <c r="C48" s="994"/>
      <c r="D48" s="994"/>
      <c r="E48" s="994"/>
      <c r="F48" s="994"/>
      <c r="G48" s="994"/>
      <c r="H48" s="994"/>
      <c r="I48" s="99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9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993" t="s">
        <v>53</v>
      </c>
      <c r="B54" s="994"/>
      <c r="C54" s="994"/>
      <c r="D54" s="994"/>
      <c r="E54" s="994"/>
      <c r="F54" s="994"/>
      <c r="G54" s="994"/>
      <c r="H54" s="994"/>
      <c r="I54" s="99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9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08"/>
      <c r="B61" s="10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08"/>
      <c r="B62" s="10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08"/>
      <c r="B63" s="10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993" t="s">
        <v>53</v>
      </c>
      <c r="B64" s="994"/>
      <c r="C64" s="994"/>
      <c r="D64" s="994"/>
      <c r="E64" s="994"/>
      <c r="F64" s="994"/>
      <c r="G64" s="994"/>
      <c r="H64" s="994"/>
      <c r="I64" s="99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993" t="s">
        <v>53</v>
      </c>
      <c r="B70" s="994"/>
      <c r="C70" s="994"/>
      <c r="D70" s="994"/>
      <c r="E70" s="994"/>
      <c r="F70" s="994"/>
      <c r="G70" s="994"/>
      <c r="H70" s="994"/>
      <c r="I70" s="99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9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993" t="s">
        <v>53</v>
      </c>
      <c r="B86" s="994"/>
      <c r="C86" s="994"/>
      <c r="D86" s="994"/>
      <c r="E86" s="994"/>
      <c r="F86" s="994"/>
      <c r="G86" s="994"/>
      <c r="H86" s="994"/>
      <c r="I86" s="99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993" t="s">
        <v>53</v>
      </c>
      <c r="B92" s="994"/>
      <c r="C92" s="994"/>
      <c r="D92" s="994"/>
      <c r="E92" s="994"/>
      <c r="F92" s="994"/>
      <c r="G92" s="994"/>
      <c r="H92" s="994"/>
      <c r="I92" s="99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993" t="s">
        <v>53</v>
      </c>
      <c r="B101" s="994"/>
      <c r="C101" s="994"/>
      <c r="D101" s="994"/>
      <c r="E101" s="994"/>
      <c r="F101" s="994"/>
      <c r="G101" s="994"/>
      <c r="H101" s="994"/>
      <c r="I101" s="99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9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08"/>
      <c r="B107" s="10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08"/>
      <c r="B108" s="10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9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19" t="s">
        <v>954</v>
      </c>
      <c r="B119" s="8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20"/>
      <c r="B120" s="8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20"/>
      <c r="B129" s="10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7" t="s">
        <v>90</v>
      </c>
      <c r="J129" s="1010">
        <v>2</v>
      </c>
      <c r="K129" s="25" t="s">
        <v>52</v>
      </c>
      <c r="L129" s="25" t="s">
        <v>51</v>
      </c>
    </row>
    <row r="130" spans="1:12" x14ac:dyDescent="0.3">
      <c r="A130" s="820"/>
      <c r="B130" s="10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7"/>
      <c r="J130" s="1012"/>
      <c r="K130" s="25" t="s">
        <v>52</v>
      </c>
      <c r="L130" s="25" t="s">
        <v>51</v>
      </c>
    </row>
    <row r="131" spans="1:12" x14ac:dyDescent="0.3">
      <c r="A131" s="8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20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5" t="s">
        <v>1277</v>
      </c>
      <c r="J133" s="1010">
        <v>1</v>
      </c>
      <c r="K133" s="25" t="s">
        <v>52</v>
      </c>
      <c r="L133" s="25" t="s">
        <v>51</v>
      </c>
    </row>
    <row r="134" spans="1:12" x14ac:dyDescent="0.3">
      <c r="A134" s="820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8"/>
      <c r="J134" s="1012"/>
      <c r="K134" s="25" t="s">
        <v>52</v>
      </c>
      <c r="L134" s="25" t="s">
        <v>51</v>
      </c>
    </row>
    <row r="135" spans="1:12" x14ac:dyDescent="0.3">
      <c r="A135" s="8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20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20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9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997"/>
      <c r="B150" s="8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997"/>
      <c r="B151" s="8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9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9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89" t="s">
        <v>53</v>
      </c>
      <c r="B154" s="989"/>
      <c r="C154" s="989"/>
      <c r="D154" s="989"/>
      <c r="E154" s="989"/>
      <c r="F154" s="989"/>
      <c r="G154" s="989"/>
      <c r="H154" s="989"/>
      <c r="I154" s="98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89" t="s">
        <v>53</v>
      </c>
      <c r="B167" s="989"/>
      <c r="C167" s="989"/>
      <c r="D167" s="989"/>
      <c r="E167" s="989"/>
      <c r="F167" s="989"/>
      <c r="G167" s="989"/>
      <c r="H167" s="989"/>
      <c r="I167" s="98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1" t="s">
        <v>1061</v>
      </c>
      <c r="B189" s="8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2"/>
      <c r="B190" s="8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2"/>
      <c r="B191" s="8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2"/>
      <c r="B192" s="8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89" t="s">
        <v>53</v>
      </c>
      <c r="B203" s="989"/>
      <c r="C203" s="989"/>
      <c r="D203" s="989"/>
      <c r="E203" s="989"/>
      <c r="F203" s="989"/>
      <c r="G203" s="989"/>
      <c r="H203" s="989"/>
      <c r="I203" s="98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89" t="s">
        <v>53</v>
      </c>
      <c r="B214" s="989"/>
      <c r="C214" s="989"/>
      <c r="D214" s="989"/>
      <c r="E214" s="989"/>
      <c r="F214" s="989"/>
      <c r="G214" s="989"/>
      <c r="H214" s="989"/>
      <c r="I214" s="98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89" t="s">
        <v>1458</v>
      </c>
      <c r="B226" s="989"/>
      <c r="C226" s="989"/>
      <c r="D226" s="989"/>
      <c r="E226" s="989"/>
      <c r="F226" s="989"/>
      <c r="G226" s="989"/>
      <c r="H226" s="989"/>
      <c r="I226" s="98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89" t="s">
        <v>1499</v>
      </c>
      <c r="B236" s="989"/>
      <c r="C236" s="989"/>
      <c r="D236" s="989"/>
      <c r="E236" s="989"/>
      <c r="F236" s="989"/>
      <c r="G236" s="989"/>
      <c r="H236" s="989"/>
      <c r="I236" s="98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993" t="s">
        <v>53</v>
      </c>
      <c r="B244" s="994"/>
      <c r="C244" s="994"/>
      <c r="D244" s="994"/>
      <c r="E244" s="994"/>
      <c r="F244" s="994"/>
      <c r="G244" s="994"/>
      <c r="H244" s="994"/>
      <c r="I244" s="99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993" t="s">
        <v>53</v>
      </c>
      <c r="B250" s="994"/>
      <c r="C250" s="994"/>
      <c r="D250" s="994"/>
      <c r="E250" s="994"/>
      <c r="F250" s="994"/>
      <c r="G250" s="994"/>
      <c r="H250" s="994"/>
      <c r="I250" s="99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993" t="s">
        <v>53</v>
      </c>
      <c r="B257" s="994"/>
      <c r="C257" s="994"/>
      <c r="D257" s="994"/>
      <c r="E257" s="994"/>
      <c r="F257" s="994"/>
      <c r="G257" s="994"/>
      <c r="H257" s="994"/>
      <c r="I257" s="99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993" t="s">
        <v>53</v>
      </c>
      <c r="B262" s="994"/>
      <c r="C262" s="994"/>
      <c r="D262" s="994"/>
      <c r="E262" s="994"/>
      <c r="F262" s="994"/>
      <c r="G262" s="994"/>
      <c r="H262" s="994"/>
      <c r="I262" s="99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9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9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993" t="s">
        <v>53</v>
      </c>
      <c r="B271" s="994"/>
      <c r="C271" s="994"/>
      <c r="D271" s="994"/>
      <c r="E271" s="994"/>
      <c r="F271" s="994"/>
      <c r="G271" s="994"/>
      <c r="H271" s="994"/>
      <c r="I271" s="99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993" t="s">
        <v>53</v>
      </c>
      <c r="B275" s="994"/>
      <c r="C275" s="994"/>
      <c r="D275" s="994"/>
      <c r="E275" s="994"/>
      <c r="F275" s="994"/>
      <c r="G275" s="994"/>
      <c r="H275" s="994"/>
      <c r="I275" s="99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2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993" t="s">
        <v>1646</v>
      </c>
      <c r="B296" s="994"/>
      <c r="C296" s="994"/>
      <c r="D296" s="994"/>
      <c r="E296" s="994"/>
      <c r="F296" s="994"/>
      <c r="G296" s="994"/>
      <c r="H296" s="994"/>
      <c r="I296" s="994"/>
      <c r="J296" s="55">
        <v>21</v>
      </c>
      <c r="K296" s="57"/>
      <c r="L296" s="374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8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8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89" t="s">
        <v>1659</v>
      </c>
      <c r="B305" s="989"/>
      <c r="C305" s="989"/>
      <c r="D305" s="989"/>
      <c r="E305" s="989"/>
      <c r="F305" s="989"/>
      <c r="G305" s="989"/>
      <c r="H305" s="989"/>
      <c r="I305" s="98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89" t="s">
        <v>53</v>
      </c>
      <c r="B309" s="989"/>
      <c r="C309" s="989"/>
      <c r="D309" s="989"/>
      <c r="E309" s="989"/>
      <c r="F309" s="989"/>
      <c r="G309" s="989"/>
      <c r="H309" s="989"/>
      <c r="I309" s="98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8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8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89" t="s">
        <v>1659</v>
      </c>
      <c r="B314" s="989"/>
      <c r="C314" s="989"/>
      <c r="D314" s="989"/>
      <c r="E314" s="989"/>
      <c r="F314" s="989"/>
      <c r="G314" s="989"/>
      <c r="H314" s="989"/>
      <c r="I314" s="98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8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8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89" t="s">
        <v>1659</v>
      </c>
      <c r="B321" s="989"/>
      <c r="C321" s="989"/>
      <c r="D321" s="989"/>
      <c r="E321" s="989"/>
      <c r="F321" s="989"/>
      <c r="G321" s="989"/>
      <c r="H321" s="989"/>
      <c r="I321" s="98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8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8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8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8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8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89" t="s">
        <v>1659</v>
      </c>
      <c r="B330" s="989"/>
      <c r="C330" s="989"/>
      <c r="D330" s="989"/>
      <c r="E330" s="989"/>
      <c r="F330" s="989"/>
      <c r="G330" s="989"/>
      <c r="H330" s="989"/>
      <c r="I330" s="98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89" t="s">
        <v>1659</v>
      </c>
      <c r="B338" s="989"/>
      <c r="C338" s="989"/>
      <c r="D338" s="989"/>
      <c r="E338" s="989"/>
      <c r="F338" s="989"/>
      <c r="G338" s="989"/>
      <c r="H338" s="989"/>
      <c r="I338" s="98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01" t="s">
        <v>1521</v>
      </c>
      <c r="B343" s="128" t="s">
        <v>1531</v>
      </c>
      <c r="C343" s="858" t="s">
        <v>306</v>
      </c>
      <c r="D343" s="858" t="s">
        <v>322</v>
      </c>
      <c r="E343" s="837" t="s">
        <v>307</v>
      </c>
      <c r="F343" s="1000">
        <v>4266</v>
      </c>
      <c r="G343" s="858" t="s">
        <v>640</v>
      </c>
      <c r="H343" s="1000" t="s">
        <v>1533</v>
      </c>
      <c r="I343" s="858" t="s">
        <v>1534</v>
      </c>
      <c r="J343" s="837">
        <v>2</v>
      </c>
      <c r="K343" s="998" t="s">
        <v>50</v>
      </c>
      <c r="L343" s="998" t="s">
        <v>51</v>
      </c>
    </row>
    <row r="344" spans="1:13" x14ac:dyDescent="0.3">
      <c r="A344" s="1002"/>
      <c r="B344" s="129" t="s">
        <v>1532</v>
      </c>
      <c r="C344" s="838"/>
      <c r="D344" s="838"/>
      <c r="E344" s="838"/>
      <c r="F344" s="843"/>
      <c r="G344" s="838"/>
      <c r="H344" s="843"/>
      <c r="I344" s="838"/>
      <c r="J344" s="838"/>
      <c r="K344" s="999"/>
      <c r="L344" s="999"/>
    </row>
    <row r="345" spans="1:13" x14ac:dyDescent="0.3">
      <c r="A345" s="1002"/>
      <c r="B345" s="128" t="s">
        <v>1536</v>
      </c>
      <c r="C345" s="837" t="s">
        <v>306</v>
      </c>
      <c r="D345" s="837" t="s">
        <v>322</v>
      </c>
      <c r="E345" s="837" t="s">
        <v>307</v>
      </c>
      <c r="F345" s="842">
        <v>3306</v>
      </c>
      <c r="G345" s="837" t="s">
        <v>1153</v>
      </c>
      <c r="H345" s="842" t="s">
        <v>1538</v>
      </c>
      <c r="I345" s="837" t="s">
        <v>1534</v>
      </c>
      <c r="J345" s="837">
        <v>2</v>
      </c>
      <c r="K345" s="998" t="s">
        <v>50</v>
      </c>
      <c r="L345" s="998" t="s">
        <v>51</v>
      </c>
    </row>
    <row r="346" spans="1:13" x14ac:dyDescent="0.3">
      <c r="A346" s="1003"/>
      <c r="B346" s="129" t="s">
        <v>1537</v>
      </c>
      <c r="C346" s="838"/>
      <c r="D346" s="838"/>
      <c r="E346" s="838"/>
      <c r="F346" s="843"/>
      <c r="G346" s="838"/>
      <c r="H346" s="843"/>
      <c r="I346" s="838"/>
      <c r="J346" s="838"/>
      <c r="K346" s="999"/>
      <c r="L346" s="999"/>
    </row>
    <row r="347" spans="1:13" x14ac:dyDescent="0.3">
      <c r="A347" s="993" t="s">
        <v>53</v>
      </c>
      <c r="B347" s="994"/>
      <c r="C347" s="994"/>
      <c r="D347" s="994"/>
      <c r="E347" s="994"/>
      <c r="F347" s="994"/>
      <c r="G347" s="994"/>
      <c r="H347" s="994"/>
      <c r="I347" s="99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89" t="s">
        <v>1458</v>
      </c>
      <c r="B361" s="989"/>
      <c r="C361" s="989"/>
      <c r="D361" s="989"/>
      <c r="E361" s="989"/>
      <c r="F361" s="989"/>
      <c r="G361" s="989"/>
      <c r="H361" s="989"/>
      <c r="I361" s="98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99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8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8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8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8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8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89" t="s">
        <v>1659</v>
      </c>
      <c r="B370" s="989"/>
      <c r="C370" s="989"/>
      <c r="D370" s="989"/>
      <c r="E370" s="989"/>
      <c r="F370" s="989"/>
      <c r="G370" s="989"/>
      <c r="H370" s="989"/>
      <c r="I370" s="98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 x14ac:dyDescent="0.3">
      <c r="B381" s="1021" t="s">
        <v>1</v>
      </c>
      <c r="C381" s="1021" t="s">
        <v>2</v>
      </c>
      <c r="D381" s="1021" t="s">
        <v>3</v>
      </c>
      <c r="E381" s="36" t="s">
        <v>54</v>
      </c>
      <c r="F381" s="1021" t="s">
        <v>5</v>
      </c>
      <c r="G381" s="1021" t="s">
        <v>6</v>
      </c>
      <c r="H381" s="1021" t="s">
        <v>7</v>
      </c>
      <c r="I381" s="1021" t="s">
        <v>55</v>
      </c>
      <c r="J381" s="1021" t="s">
        <v>9</v>
      </c>
      <c r="K381" s="1023" t="s">
        <v>56</v>
      </c>
      <c r="L381" s="1021" t="s">
        <v>57</v>
      </c>
    </row>
    <row r="382" spans="1:12" x14ac:dyDescent="0.3">
      <c r="B382" s="1022"/>
      <c r="C382" s="1022"/>
      <c r="D382" s="1022"/>
      <c r="E382" s="37" t="s">
        <v>59</v>
      </c>
      <c r="F382" s="1022"/>
      <c r="G382" s="1022"/>
      <c r="H382" s="1022"/>
      <c r="I382" s="1022"/>
      <c r="J382" s="1022"/>
      <c r="K382" s="1024"/>
      <c r="L382" s="102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89" t="s">
        <v>53</v>
      </c>
      <c r="B394" s="989"/>
      <c r="C394" s="989"/>
      <c r="D394" s="989"/>
      <c r="E394" s="989"/>
      <c r="F394" s="989"/>
      <c r="G394" s="989"/>
      <c r="H394" s="989"/>
      <c r="I394" s="98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89" t="s">
        <v>53</v>
      </c>
      <c r="B401" s="989"/>
      <c r="C401" s="989"/>
      <c r="D401" s="989"/>
      <c r="E401" s="989"/>
      <c r="F401" s="989"/>
      <c r="G401" s="989"/>
      <c r="H401" s="989"/>
      <c r="I401" s="98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988" t="s">
        <v>229</v>
      </c>
      <c r="B405" s="996" t="s">
        <v>1805</v>
      </c>
      <c r="C405" s="996" t="s">
        <v>700</v>
      </c>
      <c r="D405" s="1025" t="s">
        <v>675</v>
      </c>
      <c r="E405" s="996" t="s">
        <v>1806</v>
      </c>
      <c r="F405" s="996" t="s">
        <v>1807</v>
      </c>
      <c r="G405" s="996" t="s">
        <v>662</v>
      </c>
      <c r="H405" s="1026" t="s">
        <v>1808</v>
      </c>
      <c r="I405" s="1025"/>
      <c r="J405" s="1026">
        <v>1</v>
      </c>
      <c r="K405" s="998" t="s">
        <v>631</v>
      </c>
      <c r="L405" s="955" t="s">
        <v>51</v>
      </c>
    </row>
    <row r="406" spans="1:12" ht="13.5" customHeight="1" x14ac:dyDescent="0.3">
      <c r="A406" s="988"/>
      <c r="B406" s="996"/>
      <c r="C406" s="996"/>
      <c r="D406" s="1025"/>
      <c r="E406" s="996"/>
      <c r="F406" s="996"/>
      <c r="G406" s="996"/>
      <c r="H406" s="1026"/>
      <c r="I406" s="1025"/>
      <c r="J406" s="1026"/>
      <c r="K406" s="999"/>
      <c r="L406" s="957"/>
    </row>
    <row r="407" spans="1:12" ht="27" customHeight="1" x14ac:dyDescent="0.3">
      <c r="A407" s="9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 x14ac:dyDescent="0.3">
      <c r="A408" s="9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 x14ac:dyDescent="0.3">
      <c r="A409" s="988" t="s">
        <v>1646</v>
      </c>
      <c r="B409" s="988"/>
      <c r="C409" s="988"/>
      <c r="D409" s="988"/>
      <c r="E409" s="988"/>
      <c r="F409" s="988"/>
      <c r="G409" s="988"/>
      <c r="H409" s="988"/>
      <c r="I409" s="98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988" t="s">
        <v>2008</v>
      </c>
      <c r="B412" s="1027" t="s">
        <v>2009</v>
      </c>
      <c r="C412" s="998" t="s">
        <v>21</v>
      </c>
      <c r="D412" s="853" t="s">
        <v>14</v>
      </c>
      <c r="E412" s="998" t="s">
        <v>78</v>
      </c>
      <c r="F412" s="996" t="s">
        <v>2010</v>
      </c>
      <c r="G412" s="996" t="s">
        <v>40</v>
      </c>
      <c r="H412" s="1026" t="s">
        <v>614</v>
      </c>
      <c r="I412" s="1025"/>
      <c r="J412" s="1026">
        <v>1</v>
      </c>
      <c r="K412" s="998" t="s">
        <v>2011</v>
      </c>
      <c r="L412" s="955" t="s">
        <v>1997</v>
      </c>
    </row>
    <row r="413" spans="1:12" ht="20.100000000000001" customHeight="1" x14ac:dyDescent="0.3">
      <c r="A413" s="988"/>
      <c r="B413" s="996"/>
      <c r="C413" s="999"/>
      <c r="D413" s="854"/>
      <c r="E413" s="999"/>
      <c r="F413" s="996"/>
      <c r="G413" s="996"/>
      <c r="H413" s="1026"/>
      <c r="I413" s="1025"/>
      <c r="J413" s="1026"/>
      <c r="K413" s="999"/>
      <c r="L413" s="957"/>
    </row>
    <row r="414" spans="1:12" ht="20.100000000000001" customHeight="1" x14ac:dyDescent="0.3">
      <c r="A414" s="988" t="s">
        <v>1646</v>
      </c>
      <c r="B414" s="988"/>
      <c r="C414" s="988"/>
      <c r="D414" s="988"/>
      <c r="E414" s="988"/>
      <c r="F414" s="988"/>
      <c r="G414" s="988"/>
      <c r="H414" s="988"/>
      <c r="I414" s="98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 x14ac:dyDescent="0.3">
      <c r="A418" s="956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26">
        <v>3306</v>
      </c>
      <c r="G418" s="1025" t="s">
        <v>1153</v>
      </c>
      <c r="H418" s="1026" t="s">
        <v>1749</v>
      </c>
      <c r="I418" s="1025" t="s">
        <v>664</v>
      </c>
      <c r="J418" s="1025">
        <v>4</v>
      </c>
      <c r="K418" s="998" t="s">
        <v>631</v>
      </c>
      <c r="L418" s="955" t="s">
        <v>51</v>
      </c>
    </row>
    <row r="419" spans="1:12" ht="13.5" customHeight="1" x14ac:dyDescent="0.3">
      <c r="A419" s="956"/>
      <c r="B419" s="79" t="s">
        <v>1751</v>
      </c>
      <c r="C419" s="1025"/>
      <c r="D419" s="1025"/>
      <c r="E419" s="1025"/>
      <c r="F419" s="1026"/>
      <c r="G419" s="1025"/>
      <c r="H419" s="1026"/>
      <c r="I419" s="1025"/>
      <c r="J419" s="1025"/>
      <c r="K419" s="999"/>
      <c r="L419" s="957"/>
    </row>
    <row r="420" spans="1:12" ht="13.5" customHeight="1" x14ac:dyDescent="0.3">
      <c r="A420" s="956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26" t="s">
        <v>1801</v>
      </c>
      <c r="G420" s="1025" t="s">
        <v>1802</v>
      </c>
      <c r="H420" s="1026" t="s">
        <v>1803</v>
      </c>
      <c r="I420" s="1025" t="s">
        <v>664</v>
      </c>
      <c r="J420" s="1025">
        <v>5</v>
      </c>
      <c r="K420" s="998" t="s">
        <v>631</v>
      </c>
      <c r="L420" s="955" t="s">
        <v>51</v>
      </c>
    </row>
    <row r="421" spans="1:12" ht="13.5" customHeight="1" x14ac:dyDescent="0.3">
      <c r="A421" s="956"/>
      <c r="B421" s="79" t="s">
        <v>1795</v>
      </c>
      <c r="C421" s="1025"/>
      <c r="D421" s="1025"/>
      <c r="E421" s="1025"/>
      <c r="F421" s="1026"/>
      <c r="G421" s="1025"/>
      <c r="H421" s="1026"/>
      <c r="I421" s="1025"/>
      <c r="J421" s="1025"/>
      <c r="K421" s="999"/>
      <c r="L421" s="957"/>
    </row>
    <row r="422" spans="1:12" ht="27" customHeight="1" x14ac:dyDescent="0.3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 x14ac:dyDescent="0.3">
      <c r="A423" s="988" t="s">
        <v>1646</v>
      </c>
      <c r="B423" s="988"/>
      <c r="C423" s="988"/>
      <c r="D423" s="988"/>
      <c r="E423" s="988"/>
      <c r="F423" s="988"/>
      <c r="G423" s="988"/>
      <c r="H423" s="988"/>
      <c r="I423" s="98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2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2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2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89" t="s">
        <v>1646</v>
      </c>
      <c r="B431" s="989"/>
      <c r="C431" s="989"/>
      <c r="D431" s="989"/>
      <c r="E431" s="989"/>
      <c r="F431" s="989"/>
      <c r="G431" s="989"/>
      <c r="H431" s="989"/>
      <c r="I431" s="98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2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89" t="s">
        <v>1646</v>
      </c>
      <c r="B435" s="989"/>
      <c r="C435" s="989"/>
      <c r="D435" s="989"/>
      <c r="E435" s="989"/>
      <c r="F435" s="989"/>
      <c r="G435" s="989"/>
      <c r="H435" s="989"/>
      <c r="I435" s="98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4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31" t="s">
        <v>1761</v>
      </c>
      <c r="G438" s="911" t="s">
        <v>329</v>
      </c>
      <c r="H438" s="1010" t="s">
        <v>1762</v>
      </c>
      <c r="I438" s="859" t="s">
        <v>664</v>
      </c>
      <c r="J438" s="1033">
        <v>2</v>
      </c>
      <c r="K438" s="998" t="s">
        <v>1996</v>
      </c>
      <c r="L438" s="998" t="s">
        <v>51</v>
      </c>
    </row>
    <row r="439" spans="1:12" ht="13.5" customHeight="1" x14ac:dyDescent="0.3">
      <c r="A439" s="849"/>
      <c r="B439" s="253" t="s">
        <v>2028</v>
      </c>
      <c r="C439" s="912"/>
      <c r="D439" s="912"/>
      <c r="E439" s="912"/>
      <c r="F439" s="1032"/>
      <c r="G439" s="912"/>
      <c r="H439" s="1012"/>
      <c r="I439" s="860"/>
      <c r="J439" s="1034"/>
      <c r="K439" s="999"/>
      <c r="L439" s="999"/>
    </row>
    <row r="440" spans="1:12" ht="13.5" customHeight="1" x14ac:dyDescent="0.3">
      <c r="A440" s="84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37">
        <v>4</v>
      </c>
      <c r="K440" s="998" t="s">
        <v>631</v>
      </c>
      <c r="L440" s="998" t="s">
        <v>1997</v>
      </c>
    </row>
    <row r="441" spans="1:12" ht="13.5" customHeight="1" x14ac:dyDescent="0.3">
      <c r="A441" s="84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38"/>
      <c r="K441" s="999"/>
      <c r="L441" s="999"/>
    </row>
    <row r="442" spans="1:12" ht="20.100000000000001" customHeight="1" x14ac:dyDescent="0.3">
      <c r="A442" s="8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993" t="s">
        <v>1646</v>
      </c>
      <c r="B450" s="994"/>
      <c r="C450" s="994"/>
      <c r="D450" s="994"/>
      <c r="E450" s="994"/>
      <c r="F450" s="994"/>
      <c r="G450" s="994"/>
      <c r="H450" s="994"/>
      <c r="I450" s="994"/>
      <c r="J450" s="55">
        <v>20</v>
      </c>
      <c r="K450" s="57"/>
      <c r="L450" s="374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2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29"/>
      <c r="B463" s="1035" t="s">
        <v>1767</v>
      </c>
      <c r="C463" s="1036" t="s">
        <v>311</v>
      </c>
      <c r="D463" s="1036" t="s">
        <v>320</v>
      </c>
      <c r="E463" s="1036" t="s">
        <v>709</v>
      </c>
      <c r="F463" s="1036" t="s">
        <v>1768</v>
      </c>
      <c r="G463" s="1035" t="s">
        <v>1769</v>
      </c>
      <c r="H463" s="258" t="s">
        <v>1770</v>
      </c>
      <c r="I463" s="1036"/>
      <c r="J463" s="1036">
        <v>1</v>
      </c>
      <c r="K463" s="853" t="s">
        <v>631</v>
      </c>
      <c r="L463" s="883" t="s">
        <v>51</v>
      </c>
    </row>
    <row r="464" spans="1:12" ht="13.5" customHeight="1" x14ac:dyDescent="0.3">
      <c r="A464" s="1029"/>
      <c r="B464" s="1035"/>
      <c r="C464" s="1036"/>
      <c r="D464" s="1036"/>
      <c r="E464" s="1036"/>
      <c r="F464" s="1036"/>
      <c r="G464" s="1035"/>
      <c r="H464" s="259" t="s">
        <v>1773</v>
      </c>
      <c r="I464" s="1036"/>
      <c r="J464" s="1036"/>
      <c r="K464" s="854"/>
      <c r="L464" s="884"/>
    </row>
    <row r="465" spans="1:12" ht="13.5" customHeight="1" x14ac:dyDescent="0.3">
      <c r="A465" s="1029"/>
      <c r="B465" s="1037" t="s">
        <v>1813</v>
      </c>
      <c r="C465" s="996" t="s">
        <v>700</v>
      </c>
      <c r="D465" s="1025" t="s">
        <v>320</v>
      </c>
      <c r="E465" s="1025" t="s">
        <v>337</v>
      </c>
      <c r="F465" s="996" t="s">
        <v>353</v>
      </c>
      <c r="G465" s="996" t="s">
        <v>1814</v>
      </c>
      <c r="H465" s="1026" t="s">
        <v>1815</v>
      </c>
      <c r="I465" s="1025" t="s">
        <v>638</v>
      </c>
      <c r="J465" s="1026">
        <v>2</v>
      </c>
      <c r="K465" s="998" t="s">
        <v>631</v>
      </c>
      <c r="L465" s="998" t="s">
        <v>51</v>
      </c>
    </row>
    <row r="466" spans="1:12" ht="13.5" customHeight="1" x14ac:dyDescent="0.3">
      <c r="A466" s="1029"/>
      <c r="B466" s="1037"/>
      <c r="C466" s="996"/>
      <c r="D466" s="1025"/>
      <c r="E466" s="1025"/>
      <c r="F466" s="996"/>
      <c r="G466" s="996"/>
      <c r="H466" s="1026"/>
      <c r="I466" s="1025"/>
      <c r="J466" s="1026"/>
      <c r="K466" s="999"/>
      <c r="L466" s="999"/>
    </row>
    <row r="467" spans="1:12" ht="27" customHeight="1" x14ac:dyDescent="0.3">
      <c r="A467" s="102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29"/>
      <c r="B468" s="996" t="s">
        <v>1820</v>
      </c>
      <c r="C468" s="996" t="s">
        <v>700</v>
      </c>
      <c r="D468" s="1025" t="s">
        <v>320</v>
      </c>
      <c r="E468" s="1025" t="s">
        <v>709</v>
      </c>
      <c r="F468" s="1025" t="s">
        <v>1768</v>
      </c>
      <c r="G468" s="996" t="s">
        <v>1821</v>
      </c>
      <c r="H468" s="261" t="s">
        <v>1822</v>
      </c>
      <c r="I468" s="1025" t="s">
        <v>638</v>
      </c>
      <c r="J468" s="1025">
        <v>2</v>
      </c>
      <c r="K468" s="998" t="s">
        <v>631</v>
      </c>
      <c r="L468" s="998" t="s">
        <v>51</v>
      </c>
    </row>
    <row r="469" spans="1:12" ht="13.5" customHeight="1" x14ac:dyDescent="0.3">
      <c r="A469" s="1029"/>
      <c r="B469" s="996"/>
      <c r="C469" s="996"/>
      <c r="D469" s="1025"/>
      <c r="E469" s="1025"/>
      <c r="F469" s="1025"/>
      <c r="G469" s="996"/>
      <c r="H469" s="262" t="s">
        <v>1823</v>
      </c>
      <c r="I469" s="1025"/>
      <c r="J469" s="1025"/>
      <c r="K469" s="999"/>
      <c r="L469" s="999"/>
    </row>
    <row r="470" spans="1:12" ht="27" customHeight="1" x14ac:dyDescent="0.3">
      <c r="A470" s="102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3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89" t="s">
        <v>53</v>
      </c>
      <c r="B472" s="989"/>
      <c r="C472" s="989"/>
      <c r="D472" s="989"/>
      <c r="E472" s="989"/>
      <c r="F472" s="989"/>
      <c r="G472" s="989"/>
      <c r="H472" s="989"/>
      <c r="I472" s="98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89" t="s">
        <v>228</v>
      </c>
      <c r="B476" s="1035" t="s">
        <v>1767</v>
      </c>
      <c r="C476" s="1036" t="s">
        <v>311</v>
      </c>
      <c r="D476" s="1036" t="s">
        <v>320</v>
      </c>
      <c r="E476" s="1036" t="s">
        <v>709</v>
      </c>
      <c r="F476" s="1036" t="s">
        <v>1768</v>
      </c>
      <c r="G476" s="1035" t="s">
        <v>1769</v>
      </c>
      <c r="H476" s="258" t="s">
        <v>1770</v>
      </c>
      <c r="I476" s="1036"/>
      <c r="J476" s="1036">
        <v>1</v>
      </c>
      <c r="K476" s="853" t="s">
        <v>631</v>
      </c>
      <c r="L476" s="883" t="s">
        <v>51</v>
      </c>
    </row>
    <row r="477" spans="1:12" ht="13.5" customHeight="1" x14ac:dyDescent="0.3">
      <c r="A477" s="989"/>
      <c r="B477" s="1035"/>
      <c r="C477" s="1036"/>
      <c r="D477" s="1036"/>
      <c r="E477" s="1036"/>
      <c r="F477" s="1036"/>
      <c r="G477" s="1035"/>
      <c r="H477" s="259" t="s">
        <v>1773</v>
      </c>
      <c r="I477" s="1036"/>
      <c r="J477" s="1036"/>
      <c r="K477" s="854"/>
      <c r="L477" s="884"/>
    </row>
    <row r="478" spans="1:12" ht="27" customHeight="1" x14ac:dyDescent="0.3">
      <c r="A478" s="9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89" t="s">
        <v>1646</v>
      </c>
      <c r="B479" s="989"/>
      <c r="C479" s="989"/>
      <c r="D479" s="989"/>
      <c r="E479" s="989"/>
      <c r="F479" s="989"/>
      <c r="G479" s="989"/>
      <c r="H479" s="989"/>
      <c r="I479" s="98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99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9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993" t="s">
        <v>53</v>
      </c>
      <c r="B487" s="994"/>
      <c r="C487" s="994"/>
      <c r="D487" s="994"/>
      <c r="E487" s="994"/>
      <c r="F487" s="994"/>
      <c r="G487" s="994"/>
      <c r="H487" s="994"/>
      <c r="I487" s="99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99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992"/>
      <c r="B494" s="1038" t="s">
        <v>2182</v>
      </c>
      <c r="C494" s="1038" t="s">
        <v>306</v>
      </c>
      <c r="D494" s="1038" t="s">
        <v>322</v>
      </c>
      <c r="E494" s="1038" t="s">
        <v>307</v>
      </c>
      <c r="F494" s="1039" t="s">
        <v>1919</v>
      </c>
      <c r="G494" s="1038" t="s">
        <v>662</v>
      </c>
      <c r="H494" s="1039" t="s">
        <v>1920</v>
      </c>
      <c r="I494" s="1038" t="s">
        <v>349</v>
      </c>
      <c r="J494" s="1038">
        <v>2</v>
      </c>
      <c r="K494" s="996" t="s">
        <v>50</v>
      </c>
      <c r="L494" s="222">
        <v>23</v>
      </c>
    </row>
    <row r="495" spans="1:12" ht="12.6" customHeight="1" x14ac:dyDescent="0.3">
      <c r="A495" s="992"/>
      <c r="B495" s="1038"/>
      <c r="C495" s="1038"/>
      <c r="D495" s="1038"/>
      <c r="E495" s="1038"/>
      <c r="F495" s="1039"/>
      <c r="G495" s="1038"/>
      <c r="H495" s="1039"/>
      <c r="I495" s="1038"/>
      <c r="J495" s="1038"/>
      <c r="K495" s="996"/>
    </row>
    <row r="496" spans="1:12" ht="24.95" customHeight="1" x14ac:dyDescent="0.3">
      <c r="A496" s="99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99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99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99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89" t="s">
        <v>53</v>
      </c>
      <c r="B500" s="989"/>
      <c r="C500" s="989"/>
      <c r="D500" s="989"/>
      <c r="E500" s="989"/>
      <c r="F500" s="989"/>
      <c r="G500" s="989"/>
      <c r="H500" s="989"/>
      <c r="I500" s="98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89" t="s">
        <v>2217</v>
      </c>
      <c r="B511" s="989"/>
      <c r="C511" s="989"/>
      <c r="D511" s="989"/>
      <c r="E511" s="989"/>
      <c r="F511" s="989"/>
      <c r="G511" s="989"/>
      <c r="H511" s="989"/>
      <c r="I511" s="98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89" t="s">
        <v>2238</v>
      </c>
      <c r="B528" s="989"/>
      <c r="C528" s="989"/>
      <c r="D528" s="989"/>
      <c r="E528" s="989"/>
      <c r="F528" s="989"/>
      <c r="G528" s="989"/>
      <c r="H528" s="989"/>
      <c r="I528" s="98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89" t="s">
        <v>2233</v>
      </c>
      <c r="B535" s="989"/>
      <c r="C535" s="989"/>
      <c r="D535" s="989"/>
      <c r="E535" s="989"/>
      <c r="F535" s="989"/>
      <c r="G535" s="989"/>
      <c r="H535" s="989"/>
      <c r="I535" s="98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993" t="s">
        <v>2238</v>
      </c>
      <c r="B540" s="994"/>
      <c r="C540" s="994"/>
      <c r="D540" s="994"/>
      <c r="E540" s="994"/>
      <c r="F540" s="994"/>
      <c r="G540" s="994"/>
      <c r="H540" s="994"/>
      <c r="I540" s="99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8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8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988" t="s">
        <v>2233</v>
      </c>
      <c r="B546" s="988"/>
      <c r="C546" s="988"/>
      <c r="D546" s="988"/>
      <c r="E546" s="988"/>
      <c r="F546" s="988"/>
      <c r="G546" s="988"/>
      <c r="H546" s="988"/>
      <c r="I546" s="98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89" t="s">
        <v>2233</v>
      </c>
      <c r="B550" s="989"/>
      <c r="C550" s="989"/>
      <c r="D550" s="989"/>
      <c r="E550" s="989"/>
      <c r="F550" s="989"/>
      <c r="G550" s="989"/>
      <c r="H550" s="989"/>
      <c r="I550" s="98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99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99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99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99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99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99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99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99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99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99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99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89" t="s">
        <v>2233</v>
      </c>
      <c r="B565" s="989"/>
      <c r="C565" s="989"/>
      <c r="D565" s="989"/>
      <c r="E565" s="989"/>
      <c r="F565" s="989"/>
      <c r="G565" s="989"/>
      <c r="H565" s="989"/>
      <c r="I565" s="989"/>
      <c r="J565" s="31">
        <v>19</v>
      </c>
      <c r="K565" s="57"/>
      <c r="L565" s="375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15" t="s">
        <v>306</v>
      </c>
      <c r="D569" s="815" t="s">
        <v>322</v>
      </c>
      <c r="E569" s="815" t="s">
        <v>307</v>
      </c>
      <c r="F569" s="815">
        <v>3306</v>
      </c>
      <c r="G569" s="815" t="s">
        <v>1153</v>
      </c>
      <c r="H569" s="815" t="s">
        <v>1907</v>
      </c>
      <c r="I569" s="815" t="s">
        <v>1111</v>
      </c>
      <c r="J569" s="815" t="s">
        <v>692</v>
      </c>
      <c r="K569" s="986" t="s">
        <v>2291</v>
      </c>
    </row>
    <row r="570" spans="1:12" x14ac:dyDescent="0.3">
      <c r="B570" s="243" t="s">
        <v>1909</v>
      </c>
      <c r="C570" s="816"/>
      <c r="D570" s="816"/>
      <c r="E570" s="816"/>
      <c r="F570" s="816"/>
      <c r="G570" s="816"/>
      <c r="H570" s="816"/>
      <c r="I570" s="816"/>
      <c r="J570" s="816"/>
      <c r="K570" s="987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99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99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99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99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99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99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99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89" t="s">
        <v>1458</v>
      </c>
      <c r="B582" s="989"/>
      <c r="C582" s="989"/>
      <c r="D582" s="989"/>
      <c r="E582" s="989"/>
      <c r="F582" s="989"/>
      <c r="G582" s="989"/>
      <c r="H582" s="989"/>
      <c r="I582" s="98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89" t="s">
        <v>2393</v>
      </c>
      <c r="B588" s="989"/>
      <c r="C588" s="989"/>
      <c r="D588" s="989"/>
      <c r="E588" s="989"/>
      <c r="F588" s="989"/>
      <c r="G588" s="989"/>
      <c r="H588" s="989"/>
      <c r="I588" s="98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89" t="s">
        <v>2437</v>
      </c>
      <c r="B606" s="989"/>
      <c r="C606" s="989"/>
      <c r="D606" s="989"/>
      <c r="E606" s="989"/>
      <c r="F606" s="989"/>
      <c r="G606" s="989"/>
      <c r="H606" s="989"/>
      <c r="I606" s="98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89" t="s">
        <v>2406</v>
      </c>
      <c r="B613" s="989"/>
      <c r="C613" s="989"/>
      <c r="D613" s="989"/>
      <c r="E613" s="989"/>
      <c r="F613" s="989"/>
      <c r="G613" s="989"/>
      <c r="H613" s="989"/>
      <c r="I613" s="98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99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9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99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99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99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99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99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99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99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99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89" t="s">
        <v>2406</v>
      </c>
      <c r="B627" s="989"/>
      <c r="C627" s="989"/>
      <c r="D627" s="989"/>
      <c r="E627" s="989"/>
      <c r="F627" s="989"/>
      <c r="G627" s="989"/>
      <c r="H627" s="989"/>
      <c r="I627" s="989"/>
      <c r="J627" s="31">
        <v>23</v>
      </c>
      <c r="K627" s="57"/>
    </row>
    <row r="632" spans="1:12" ht="22.5" x14ac:dyDescent="0.3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 x14ac:dyDescent="0.3">
      <c r="A633" s="1041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 x14ac:dyDescent="0.3">
      <c r="A634" s="1041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 x14ac:dyDescent="0.3">
      <c r="A635" s="1041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 x14ac:dyDescent="0.3">
      <c r="A636" s="1041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 x14ac:dyDescent="0.3">
      <c r="A637" s="1041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 x14ac:dyDescent="0.3">
      <c r="A638" s="1041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 x14ac:dyDescent="0.3">
      <c r="A639" s="1041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 x14ac:dyDescent="0.3">
      <c r="A640" s="1041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 x14ac:dyDescent="0.3">
      <c r="A641" s="1041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 x14ac:dyDescent="0.3">
      <c r="A642" s="1041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 x14ac:dyDescent="0.3">
      <c r="A643" s="1041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 x14ac:dyDescent="0.3">
      <c r="A644" s="1041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 x14ac:dyDescent="0.3">
      <c r="A645" s="1041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 x14ac:dyDescent="0.3">
      <c r="A646" s="1041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 x14ac:dyDescent="0.3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 x14ac:dyDescent="0.3">
      <c r="A649" s="10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 x14ac:dyDescent="0.3">
      <c r="A650" s="10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 x14ac:dyDescent="0.3">
      <c r="A651" s="1043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 x14ac:dyDescent="0.3">
      <c r="A652" s="1043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 x14ac:dyDescent="0.3">
      <c r="A653" s="1043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 x14ac:dyDescent="0.3">
      <c r="A654" s="1044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 x14ac:dyDescent="0.3">
      <c r="A655" s="1045" t="s">
        <v>1646</v>
      </c>
      <c r="B655" s="1045"/>
      <c r="C655" s="1045"/>
      <c r="D655" s="1045"/>
      <c r="E655" s="1045"/>
      <c r="F655" s="1045"/>
      <c r="G655" s="1045"/>
      <c r="H655" s="1045"/>
      <c r="I655" s="1045"/>
      <c r="J655" s="559">
        <f>SUM(J649:J654)</f>
        <v>12</v>
      </c>
      <c r="K655" s="560"/>
    </row>
    <row r="659" spans="1:11" x14ac:dyDescent="0.3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 x14ac:dyDescent="0.3">
      <c r="A660" s="1045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 x14ac:dyDescent="0.3">
      <c r="A661" s="1045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 x14ac:dyDescent="0.3">
      <c r="A662" s="1045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 x14ac:dyDescent="0.3">
      <c r="A663" s="1045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 x14ac:dyDescent="0.3">
      <c r="A664" s="1045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 x14ac:dyDescent="0.3">
      <c r="A665" s="1045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 x14ac:dyDescent="0.3">
      <c r="A666" s="1045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 x14ac:dyDescent="0.3">
      <c r="A667" s="1045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 x14ac:dyDescent="0.3">
      <c r="A668" s="1045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 x14ac:dyDescent="0.3">
      <c r="A669" s="1045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 x14ac:dyDescent="0.3">
      <c r="A670" s="1045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 x14ac:dyDescent="0.3">
      <c r="A671" s="1045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 x14ac:dyDescent="0.3">
      <c r="A672" s="1045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 x14ac:dyDescent="0.3">
      <c r="A673" s="1045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 x14ac:dyDescent="0.3">
      <c r="A674" s="1045" t="s">
        <v>1646</v>
      </c>
      <c r="B674" s="1045"/>
      <c r="C674" s="1045"/>
      <c r="D674" s="1045"/>
      <c r="E674" s="1045"/>
      <c r="F674" s="1045"/>
      <c r="G674" s="1045"/>
      <c r="H674" s="1045"/>
      <c r="I674" s="1045"/>
      <c r="J674" s="228">
        <f>SUM(J660:J673)</f>
        <v>22</v>
      </c>
      <c r="K674" s="228"/>
    </row>
    <row r="676" spans="1:11" x14ac:dyDescent="0.3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 x14ac:dyDescent="0.3">
      <c r="A677" s="1045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 x14ac:dyDescent="0.3">
      <c r="A678" s="1045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 x14ac:dyDescent="0.3">
      <c r="A679" s="1045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 x14ac:dyDescent="0.3">
      <c r="A680" s="1045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 x14ac:dyDescent="0.3">
      <c r="A681" s="1045" t="s">
        <v>1646</v>
      </c>
      <c r="B681" s="1045"/>
      <c r="C681" s="1045"/>
      <c r="D681" s="1045"/>
      <c r="E681" s="1045"/>
      <c r="F681" s="1045"/>
      <c r="G681" s="1045"/>
      <c r="H681" s="1045"/>
      <c r="I681" s="1045"/>
      <c r="J681" s="228">
        <f>SUM(J677:J680)</f>
        <v>8</v>
      </c>
      <c r="K681" s="228"/>
    </row>
    <row r="685" spans="1:11" x14ac:dyDescent="0.3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 x14ac:dyDescent="0.3">
      <c r="A686" s="1040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 x14ac:dyDescent="0.3">
      <c r="A687" s="1040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 x14ac:dyDescent="0.3">
      <c r="A688" s="1040" t="s">
        <v>1646</v>
      </c>
      <c r="B688" s="1040"/>
      <c r="C688" s="1040"/>
      <c r="D688" s="1040"/>
      <c r="E688" s="1040"/>
      <c r="F688" s="1040"/>
      <c r="G688" s="1040"/>
      <c r="H688" s="1040"/>
      <c r="I688" s="1040"/>
      <c r="J688" s="228">
        <f>SUM(J685:J687)</f>
        <v>2</v>
      </c>
      <c r="K688" s="228"/>
    </row>
    <row r="691" spans="1:12" s="567" customFormat="1" ht="13.5" x14ac:dyDescent="0.3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 x14ac:dyDescent="0.3">
      <c r="A692" s="1041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 x14ac:dyDescent="0.3">
      <c r="A693" s="1041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 x14ac:dyDescent="0.3">
      <c r="A694" s="1041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 x14ac:dyDescent="0.3">
      <c r="A695" s="1041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 x14ac:dyDescent="0.3">
      <c r="A696" s="1041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 x14ac:dyDescent="0.3">
      <c r="A697" s="1041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 x14ac:dyDescent="0.3">
      <c r="A698" s="1041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 x14ac:dyDescent="0.3">
      <c r="A699" s="1040" t="s">
        <v>1646</v>
      </c>
      <c r="B699" s="1040"/>
      <c r="C699" s="1040"/>
      <c r="D699" s="1040"/>
      <c r="E699" s="1040"/>
      <c r="F699" s="1040"/>
      <c r="G699" s="1040"/>
      <c r="H699" s="1040"/>
      <c r="I699" s="1040"/>
      <c r="J699" s="228">
        <f>SUM(J692:J698)</f>
        <v>20</v>
      </c>
      <c r="K699" s="228"/>
    </row>
    <row r="702" spans="1:12" ht="22.5" x14ac:dyDescent="0.3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 x14ac:dyDescent="0.3">
      <c r="A703" s="983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 x14ac:dyDescent="0.3">
      <c r="A704" s="983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 x14ac:dyDescent="0.3">
      <c r="A705" s="983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 x14ac:dyDescent="0.3">
      <c r="A706" s="983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 x14ac:dyDescent="0.3">
      <c r="A707" s="983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 x14ac:dyDescent="0.3">
      <c r="A708" s="983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 x14ac:dyDescent="0.3">
      <c r="A709" s="983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 x14ac:dyDescent="0.3">
      <c r="A710" s="983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 x14ac:dyDescent="0.3">
      <c r="A711" s="983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 x14ac:dyDescent="0.3">
      <c r="A712" s="983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 x14ac:dyDescent="0.3">
      <c r="A713" s="983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 x14ac:dyDescent="0.3">
      <c r="A714" s="983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 x14ac:dyDescent="0.3">
      <c r="A715" s="983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 x14ac:dyDescent="0.3">
      <c r="A716" s="984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 x14ac:dyDescent="0.3">
      <c r="A717" s="985" t="s">
        <v>1646</v>
      </c>
      <c r="B717" s="985"/>
      <c r="C717" s="985"/>
      <c r="D717" s="985"/>
      <c r="E717" s="985"/>
      <c r="F717" s="985"/>
      <c r="G717" s="985"/>
      <c r="H717" s="985"/>
      <c r="I717" s="985"/>
      <c r="J717" s="660">
        <f>SUM(J703:J716)</f>
        <v>44</v>
      </c>
      <c r="K717" s="666"/>
      <c r="L717" s="639">
        <f>SUM(L703:L716)</f>
        <v>14500000</v>
      </c>
    </row>
    <row r="722" spans="1:12" ht="22.5" x14ac:dyDescent="0.3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 x14ac:dyDescent="0.3">
      <c r="A723" s="104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 x14ac:dyDescent="0.3">
      <c r="A724" s="104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 x14ac:dyDescent="0.3">
      <c r="A725" s="104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 x14ac:dyDescent="0.3">
      <c r="A726" s="104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 x14ac:dyDescent="0.3">
      <c r="A727" s="104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 x14ac:dyDescent="0.3">
      <c r="A728" s="104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 x14ac:dyDescent="0.3">
      <c r="A729" s="104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 x14ac:dyDescent="0.3">
      <c r="A730" s="105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 x14ac:dyDescent="0.3">
      <c r="A731" s="985" t="s">
        <v>1646</v>
      </c>
      <c r="B731" s="985"/>
      <c r="C731" s="985"/>
      <c r="D731" s="985"/>
      <c r="E731" s="985"/>
      <c r="F731" s="985"/>
      <c r="G731" s="985"/>
      <c r="H731" s="985"/>
      <c r="I731" s="985"/>
      <c r="J731" s="660">
        <f>SUM(J723:J730)</f>
        <v>14</v>
      </c>
      <c r="K731" s="666"/>
      <c r="L731" s="639">
        <f>SUM(L717:L730)</f>
        <v>14500000</v>
      </c>
    </row>
    <row r="735" spans="1:12" ht="22.5" x14ac:dyDescent="0.3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 x14ac:dyDescent="0.3">
      <c r="A736" s="105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 x14ac:dyDescent="0.3">
      <c r="A737" s="105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 x14ac:dyDescent="0.3">
      <c r="A738" s="105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 x14ac:dyDescent="0.3">
      <c r="A739" s="105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 x14ac:dyDescent="0.3">
      <c r="A740" s="105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 x14ac:dyDescent="0.3">
      <c r="A741" s="105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 x14ac:dyDescent="0.3">
      <c r="A742" s="105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 x14ac:dyDescent="0.3">
      <c r="A743" s="105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 x14ac:dyDescent="0.3">
      <c r="A744" s="105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 x14ac:dyDescent="0.3">
      <c r="A745" s="105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 x14ac:dyDescent="0.3">
      <c r="A746" s="105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 x14ac:dyDescent="0.3">
      <c r="A747" s="105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 x14ac:dyDescent="0.3">
      <c r="A748" s="105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 x14ac:dyDescent="0.3">
      <c r="A749" s="985" t="s">
        <v>1646</v>
      </c>
      <c r="B749" s="985"/>
      <c r="C749" s="985"/>
      <c r="D749" s="985"/>
      <c r="E749" s="985"/>
      <c r="F749" s="985"/>
      <c r="G749" s="985"/>
      <c r="H749" s="985"/>
      <c r="I749" s="985"/>
      <c r="J749" s="660">
        <f>SUM(J736:J748)</f>
        <v>19</v>
      </c>
      <c r="K749" s="666"/>
      <c r="L749" s="639">
        <f>SUM(L735:L748)</f>
        <v>0</v>
      </c>
    </row>
    <row r="750" spans="1:12" x14ac:dyDescent="0.3">
      <c r="K750" s="109"/>
    </row>
    <row r="752" spans="1:12" ht="22.5" x14ac:dyDescent="0.3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 x14ac:dyDescent="0.3">
      <c r="A753" s="1052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 x14ac:dyDescent="0.3">
      <c r="A754" s="1053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 x14ac:dyDescent="0.3">
      <c r="A755" s="1053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 x14ac:dyDescent="0.3">
      <c r="A756" s="1053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 x14ac:dyDescent="0.3">
      <c r="A757" s="1053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 x14ac:dyDescent="0.3">
      <c r="A758" s="1053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 x14ac:dyDescent="0.3">
      <c r="A759" s="1053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 x14ac:dyDescent="0.3">
      <c r="A760" s="1053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 x14ac:dyDescent="0.3">
      <c r="A761" s="1054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 x14ac:dyDescent="0.3">
      <c r="A762" s="1046" t="s">
        <v>1646</v>
      </c>
      <c r="B762" s="1046"/>
      <c r="C762" s="1046"/>
      <c r="D762" s="1046"/>
      <c r="E762" s="1046"/>
      <c r="F762" s="1046"/>
      <c r="G762" s="1046"/>
      <c r="H762" s="1046"/>
      <c r="I762" s="1046"/>
      <c r="J762" s="646">
        <f>SUM(J753:J761)</f>
        <v>23</v>
      </c>
      <c r="K762" s="687"/>
      <c r="L762" s="639">
        <f>SUM(L748:L760)</f>
        <v>0</v>
      </c>
    </row>
    <row r="763" spans="1:12" x14ac:dyDescent="0.3">
      <c r="J763" s="222"/>
    </row>
    <row r="764" spans="1:12" ht="22.5" x14ac:dyDescent="0.3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 x14ac:dyDescent="0.3">
      <c r="A765" s="1055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 x14ac:dyDescent="0.3">
      <c r="A766" s="1056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 x14ac:dyDescent="0.3">
      <c r="A767" s="1056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 x14ac:dyDescent="0.3">
      <c r="A768" s="1056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5860</v>
      </c>
      <c r="I768" s="748" t="s">
        <v>1534</v>
      </c>
      <c r="J768" s="678">
        <v>1</v>
      </c>
      <c r="K768" s="646" t="s">
        <v>50</v>
      </c>
    </row>
    <row r="769" spans="1:12" x14ac:dyDescent="0.3">
      <c r="A769" s="1057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5860</v>
      </c>
      <c r="I769" s="748" t="s">
        <v>1534</v>
      </c>
      <c r="J769" s="678">
        <v>1</v>
      </c>
      <c r="K769" s="646" t="s">
        <v>50</v>
      </c>
    </row>
    <row r="770" spans="1:12" x14ac:dyDescent="0.3">
      <c r="A770" s="1046" t="s">
        <v>1646</v>
      </c>
      <c r="B770" s="1046"/>
      <c r="C770" s="1046"/>
      <c r="D770" s="1046"/>
      <c r="E770" s="1046"/>
      <c r="F770" s="1046"/>
      <c r="G770" s="1046"/>
      <c r="H770" s="1046"/>
      <c r="I770" s="1046"/>
      <c r="J770" s="646">
        <f>SUM(J765:J769)</f>
        <v>8</v>
      </c>
      <c r="K770" s="687"/>
      <c r="L770" s="639">
        <f>SUM(L753:L765)</f>
        <v>0</v>
      </c>
    </row>
    <row r="772" spans="1:12" ht="22.5" x14ac:dyDescent="0.3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 x14ac:dyDescent="0.3">
      <c r="A773" s="1047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 x14ac:dyDescent="0.3">
      <c r="A774" s="1047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 x14ac:dyDescent="0.3">
      <c r="A775" s="1047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 x14ac:dyDescent="0.3">
      <c r="A776" s="1047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 x14ac:dyDescent="0.3">
      <c r="A777" s="1047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 x14ac:dyDescent="0.3">
      <c r="A778" s="1046" t="s">
        <v>1646</v>
      </c>
      <c r="B778" s="1046"/>
      <c r="C778" s="1046"/>
      <c r="D778" s="1046"/>
      <c r="E778" s="1046"/>
      <c r="F778" s="1046"/>
      <c r="G778" s="1046"/>
      <c r="H778" s="1046"/>
      <c r="I778" s="1046"/>
      <c r="J778" s="646">
        <f>SUM(J773:J777)</f>
        <v>8</v>
      </c>
      <c r="K778" s="687"/>
      <c r="L778" s="639">
        <f>SUM(L761:L776)</f>
        <v>0</v>
      </c>
    </row>
    <row r="781" spans="1:12" ht="22.5" x14ac:dyDescent="0.3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 x14ac:dyDescent="0.3">
      <c r="A782" s="1047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 x14ac:dyDescent="0.3">
      <c r="A783" s="1047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 x14ac:dyDescent="0.3">
      <c r="A784" s="1047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 x14ac:dyDescent="0.3">
      <c r="A785" s="1047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 x14ac:dyDescent="0.3">
      <c r="A786" s="1047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 x14ac:dyDescent="0.3">
      <c r="A787" s="1047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 x14ac:dyDescent="0.3">
      <c r="A788" s="1047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 x14ac:dyDescent="0.3">
      <c r="A789" s="1047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 x14ac:dyDescent="0.3">
      <c r="A790" s="1046" t="s">
        <v>1646</v>
      </c>
      <c r="B790" s="1046"/>
      <c r="C790" s="1046"/>
      <c r="D790" s="1046"/>
      <c r="E790" s="1046"/>
      <c r="F790" s="1046"/>
      <c r="G790" s="1046"/>
      <c r="H790" s="1046"/>
      <c r="I790" s="1046"/>
      <c r="J790" s="646">
        <f>SUM(J782:J789)</f>
        <v>24</v>
      </c>
      <c r="K790" s="687"/>
    </row>
    <row r="793" spans="1:11" ht="22.5" x14ac:dyDescent="0.3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 x14ac:dyDescent="0.3">
      <c r="A794" s="1052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 x14ac:dyDescent="0.3">
      <c r="A795" s="1053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 x14ac:dyDescent="0.3">
      <c r="A796" s="1053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 x14ac:dyDescent="0.3">
      <c r="A797" s="1053"/>
      <c r="B797" s="745" t="s">
        <v>5862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 x14ac:dyDescent="0.3">
      <c r="A798" s="1053"/>
      <c r="B798" s="745" t="s">
        <v>5863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5864</v>
      </c>
      <c r="I798" s="748" t="s">
        <v>5447</v>
      </c>
      <c r="J798" s="678">
        <v>2</v>
      </c>
      <c r="K798" s="646" t="s">
        <v>50</v>
      </c>
    </row>
    <row r="799" spans="1:11" x14ac:dyDescent="0.3">
      <c r="A799" s="1053"/>
      <c r="B799" s="745" t="s">
        <v>5867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5864</v>
      </c>
      <c r="I799" s="748" t="s">
        <v>5447</v>
      </c>
      <c r="J799" s="678">
        <v>2</v>
      </c>
      <c r="K799" s="646" t="s">
        <v>50</v>
      </c>
    </row>
    <row r="800" spans="1:11" x14ac:dyDescent="0.3">
      <c r="A800" s="1053"/>
      <c r="B800" s="672" t="s">
        <v>5853</v>
      </c>
      <c r="C800" s="660" t="s">
        <v>19</v>
      </c>
      <c r="D800" s="660" t="s">
        <v>25</v>
      </c>
      <c r="E800" s="745" t="s">
        <v>5840</v>
      </c>
      <c r="F800" s="661" t="s">
        <v>5849</v>
      </c>
      <c r="G800" s="664" t="s">
        <v>331</v>
      </c>
      <c r="H800" s="751" t="s">
        <v>5855</v>
      </c>
      <c r="I800" s="748" t="s">
        <v>664</v>
      </c>
      <c r="J800" s="751">
        <v>2</v>
      </c>
      <c r="K800" s="646" t="s">
        <v>50</v>
      </c>
    </row>
    <row r="801" spans="1:11" x14ac:dyDescent="0.3">
      <c r="A801" s="1053"/>
      <c r="B801" s="672">
        <v>46171</v>
      </c>
      <c r="C801" s="660" t="s">
        <v>19</v>
      </c>
      <c r="D801" s="660" t="s">
        <v>25</v>
      </c>
      <c r="E801" s="745" t="s">
        <v>5840</v>
      </c>
      <c r="F801" s="661" t="s">
        <v>5849</v>
      </c>
      <c r="G801" s="745" t="s">
        <v>18</v>
      </c>
      <c r="H801" s="747" t="s">
        <v>5852</v>
      </c>
      <c r="I801" s="748" t="s">
        <v>664</v>
      </c>
      <c r="J801" s="751">
        <v>2</v>
      </c>
      <c r="K801" s="646" t="s">
        <v>50</v>
      </c>
    </row>
    <row r="802" spans="1:11" x14ac:dyDescent="0.3">
      <c r="A802" s="1046" t="s">
        <v>1646</v>
      </c>
      <c r="B802" s="1046"/>
      <c r="C802" s="1046"/>
      <c r="D802" s="1046"/>
      <c r="E802" s="1046"/>
      <c r="F802" s="1046"/>
      <c r="G802" s="1046"/>
      <c r="H802" s="1046"/>
      <c r="I802" s="1046"/>
      <c r="J802" s="646">
        <f>SUM(J794:J801)</f>
        <v>16</v>
      </c>
      <c r="K802" s="687"/>
    </row>
    <row r="805" spans="1:11" ht="22.5" x14ac:dyDescent="0.3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 x14ac:dyDescent="0.3">
      <c r="A806" s="1058" t="s">
        <v>5995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5996</v>
      </c>
      <c r="I806" s="750" t="s">
        <v>202</v>
      </c>
      <c r="J806" s="750">
        <v>1</v>
      </c>
      <c r="K806" s="646" t="s">
        <v>50</v>
      </c>
    </row>
    <row r="807" spans="1:11" x14ac:dyDescent="0.3">
      <c r="A807" s="1059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 x14ac:dyDescent="0.3">
      <c r="A808" s="1059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 x14ac:dyDescent="0.3">
      <c r="A809" s="1059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5997</v>
      </c>
      <c r="I809" s="750" t="s">
        <v>120</v>
      </c>
      <c r="J809" s="752">
        <v>1</v>
      </c>
      <c r="K809" s="646" t="s">
        <v>50</v>
      </c>
    </row>
    <row r="810" spans="1:11" x14ac:dyDescent="0.3">
      <c r="A810" s="1059"/>
      <c r="B810" s="676" t="s">
        <v>5868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5998</v>
      </c>
      <c r="I810" s="676" t="s">
        <v>5870</v>
      </c>
      <c r="J810" s="676">
        <v>1</v>
      </c>
      <c r="K810" s="646" t="s">
        <v>50</v>
      </c>
    </row>
    <row r="811" spans="1:11" x14ac:dyDescent="0.3">
      <c r="A811" s="1059"/>
      <c r="B811" s="676" t="s">
        <v>5862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 x14ac:dyDescent="0.3">
      <c r="A812" s="1046" t="s">
        <v>1646</v>
      </c>
      <c r="B812" s="1046"/>
      <c r="C812" s="1046"/>
      <c r="D812" s="1046"/>
      <c r="E812" s="1046"/>
      <c r="F812" s="1046"/>
      <c r="G812" s="1046"/>
      <c r="H812" s="1046"/>
      <c r="I812" s="1046"/>
      <c r="J812" s="646">
        <f>SUM(J806:J811)</f>
        <v>7</v>
      </c>
      <c r="K812" s="687"/>
    </row>
    <row r="816" spans="1:11" ht="22.5" x14ac:dyDescent="0.3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 x14ac:dyDescent="0.3">
      <c r="A817" s="798" t="s">
        <v>6001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5999</v>
      </c>
      <c r="I817" s="750" t="s">
        <v>202</v>
      </c>
      <c r="J817" s="750">
        <v>2</v>
      </c>
      <c r="K817" s="646" t="s">
        <v>50</v>
      </c>
    </row>
    <row r="818" spans="1:12" x14ac:dyDescent="0.3">
      <c r="A818" s="798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6000</v>
      </c>
      <c r="I818" s="750" t="s">
        <v>202</v>
      </c>
      <c r="J818" s="750">
        <v>2</v>
      </c>
      <c r="K818" s="646" t="s">
        <v>50</v>
      </c>
    </row>
    <row r="819" spans="1:12" x14ac:dyDescent="0.3">
      <c r="A819" s="1046" t="s">
        <v>1646</v>
      </c>
      <c r="B819" s="1046"/>
      <c r="C819" s="1046"/>
      <c r="D819" s="1046"/>
      <c r="E819" s="1046"/>
      <c r="F819" s="1046"/>
      <c r="G819" s="1046"/>
      <c r="H819" s="1046"/>
      <c r="I819" s="1046"/>
      <c r="J819" s="646">
        <f>SUM(J813:J818)</f>
        <v>4</v>
      </c>
      <c r="K819" s="687"/>
    </row>
    <row r="823" spans="1:12" s="765" customFormat="1" ht="22.5" x14ac:dyDescent="0.3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 x14ac:dyDescent="0.3">
      <c r="A824" s="1055" t="s">
        <v>6010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 x14ac:dyDescent="0.3">
      <c r="A825" s="1056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 x14ac:dyDescent="0.3">
      <c r="A826" s="1056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 x14ac:dyDescent="0.3">
      <c r="A827" s="1056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 x14ac:dyDescent="0.3">
      <c r="A828" s="1056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 x14ac:dyDescent="0.3">
      <c r="A829" s="1056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 x14ac:dyDescent="0.3">
      <c r="A830" s="1056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 x14ac:dyDescent="0.3">
      <c r="A831" s="1056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 x14ac:dyDescent="0.3">
      <c r="A832" s="1056"/>
      <c r="B832" s="676" t="s">
        <v>5859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5860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 x14ac:dyDescent="0.3">
      <c r="A833" s="1057"/>
      <c r="B833" s="691">
        <v>46165</v>
      </c>
      <c r="C833" s="646" t="s">
        <v>19</v>
      </c>
      <c r="D833" s="646" t="s">
        <v>25</v>
      </c>
      <c r="E833" s="676" t="s">
        <v>5840</v>
      </c>
      <c r="F833" s="676" t="s">
        <v>5051</v>
      </c>
      <c r="G833" s="676" t="s">
        <v>5842</v>
      </c>
      <c r="H833" s="692" t="s">
        <v>5843</v>
      </c>
      <c r="I833" s="748"/>
      <c r="J833" s="748">
        <v>2</v>
      </c>
      <c r="K833" s="646" t="s">
        <v>50</v>
      </c>
      <c r="L833" s="764"/>
    </row>
    <row r="834" spans="1:12" s="765" customFormat="1" ht="11.25" x14ac:dyDescent="0.3">
      <c r="A834" s="1046" t="s">
        <v>1646</v>
      </c>
      <c r="B834" s="1046"/>
      <c r="C834" s="1046"/>
      <c r="D834" s="1046"/>
      <c r="E834" s="1046"/>
      <c r="F834" s="1046"/>
      <c r="G834" s="1046"/>
      <c r="H834" s="1046"/>
      <c r="I834" s="1046"/>
      <c r="J834" s="646">
        <f>SUM(J824:J833)</f>
        <v>21</v>
      </c>
      <c r="K834" s="687"/>
      <c r="L834" s="764"/>
    </row>
    <row r="835" spans="1:12" s="765" customFormat="1" ht="11.25" x14ac:dyDescent="0.3">
      <c r="L835" s="764"/>
    </row>
    <row r="836" spans="1:12" s="765" customFormat="1" ht="11.25" x14ac:dyDescent="0.3">
      <c r="L836" s="764"/>
    </row>
    <row r="837" spans="1:12" s="765" customFormat="1" ht="22.5" x14ac:dyDescent="0.3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 x14ac:dyDescent="0.3">
      <c r="A838" s="1055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 x14ac:dyDescent="0.3">
      <c r="A839" s="1056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 x14ac:dyDescent="0.3">
      <c r="A840" s="1057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 x14ac:dyDescent="0.3">
      <c r="A841" s="1046" t="s">
        <v>1646</v>
      </c>
      <c r="B841" s="1046"/>
      <c r="C841" s="1046"/>
      <c r="D841" s="1046"/>
      <c r="E841" s="1046"/>
      <c r="F841" s="1046"/>
      <c r="G841" s="1046"/>
      <c r="H841" s="1046"/>
      <c r="I841" s="1046"/>
      <c r="J841" s="646">
        <f>SUM(J838:J840)</f>
        <v>3</v>
      </c>
      <c r="K841" s="687"/>
      <c r="L841" s="764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 x14ac:dyDescent="0.3">
      <c r="C12" s="109"/>
      <c r="D12" s="109"/>
      <c r="H12" s="798" t="s">
        <v>5385</v>
      </c>
      <c r="I12" s="798"/>
      <c r="J12" s="798"/>
      <c r="K12" s="798"/>
      <c r="L12" s="56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 x14ac:dyDescent="0.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 x14ac:dyDescent="0.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 x14ac:dyDescent="0.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 x14ac:dyDescent="0.3">
      <c r="H20" s="798" t="s">
        <v>5386</v>
      </c>
      <c r="I20" s="798"/>
      <c r="J20" s="798"/>
      <c r="K20" s="798"/>
      <c r="L20" s="569">
        <f>SUM(L16:L19)</f>
        <v>3647500</v>
      </c>
    </row>
    <row r="22" spans="8:13" x14ac:dyDescent="0.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2026-06-09T06:07:26Z</dcterms:modified>
</cp:coreProperties>
</file>