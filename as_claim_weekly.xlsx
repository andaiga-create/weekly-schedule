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<sst xmlns="http://schemas.openxmlformats.org/spreadsheetml/2006/main" count="31203" uniqueCount="7575">
  <si>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</si>
  <si>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</si>
  <si>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</si>
  <si>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</si>
  <si>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</si>
  <si>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</si>
  <si>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</si>
  <si>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</si>
  <si>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</si>
  <si>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</si>
  <si>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</si>
  <si>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</si>
  <si>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</si>
  <si>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</si>
  <si>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</si>
  <si>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</si>
  <si>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</si>
  <si>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</si>
  <si>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</si>
  <si>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</si>
  <si>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</si>
  <si>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</si>
  <si>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</si>
  <si>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</si>
  <si>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</si>
  <si>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</si>
  <si>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</si>
  <si>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</si>
  <si>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</si>
  <si>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</si>
  <si>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</si>
  <si>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</si>
  <si>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</si>
  <si>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</si>
  <si>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</si>
  <si>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</si>
  <si>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</si>
  <si>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</si>
  <si>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</si>
  <si>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</si>
  <si>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</si>
  <si>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</si>
  <si>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</si>
  <si>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</si>
  <si>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</si>
  <si>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</si>
  <si>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</si>
  <si>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</si>
  <si>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</si>
  <si>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</si>
  <si>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</si>
  <si>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</si>
  <si>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</si>
  <si>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</si>
  <si>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</si>
  <si>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</si>
  <si>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</si>
  <si>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</si>
  <si>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</si>
  <si>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</si>
  <si>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</si>
  <si>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</si>
  <si>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</si>
  <si>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</si>
  <si>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</si>
  <si>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</si>
  <si>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</si>
  <si>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</si>
  <si>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</si>
  <si>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</si>
  <si>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</si>
  <si>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</si>
  <si>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</si>
  <si>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</si>
  <si>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</si>
  <si>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</si>
  <si>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</si>
  <si>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</si>
  <si>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</si>
  <si>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</si>
  <si>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</si>
  <si>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</si>
  <si>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</si>
  <si>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</si>
  <si>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</si>
  <si>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</si>
  <si>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</si>
  <si>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</si>
  <si>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</si>
  <si>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</si>
  <si>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</si>
  <si>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</si>
  <si>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</si>
  <si>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</si>
  <si>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</si>
  <si>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</si>
  <si>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</si>
  <si>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</si>
  <si>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</si>
  <si>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</si>
  <si>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</si>
  <si>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</si>
  <si>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</si>
  <si>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</si>
  <si>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</si>
  <si>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</si>
  <si>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</si>
  <si>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</si>
  <si>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</si>
  <si>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</si>
  <si>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</si>
  <si>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</si>
  <si>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</si>
  <si>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</si>
  <si>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</si>
  <si>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</si>
  <si>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</si>
  <si>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</si>
  <si>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</si>
  <si>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</si>
  <si>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</si>
  <si>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</si>
  <si>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</si>
  <si>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</si>
  <si>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</si>
  <si>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</si>
  <si>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</si>
  <si>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</si>
  <si>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</si>
  <si>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</si>
  <si>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</si>
  <si>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</si>
  <si>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</si>
  <si>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</si>
  <si>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</si>
  <si>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</si>
  <si>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</si>
  <si>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</si>
  <si>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</si>
  <si>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</si>
  <si>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</si>
  <si>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</si>
  <si>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</si>
  <si>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</si>
  <si>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</si>
  <si>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</si>
  <si>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</si>
  <si>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</si>
  <si>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</si>
  <si>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</si>
  <si>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</si>
  <si>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</si>
  <si>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</si>
  <si>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</si>
  <si>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</si>
  <si>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</si>
  <si>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</si>
  <si>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</si>
  <si>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</si>
  <si>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</si>
  <si>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</si>
  <si>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</si>
  <si>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</si>
  <si>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</si>
  <si>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</si>
  <si>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</si>
  <si>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</si>
  <si>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</si>
  <si>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</si>
  <si>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</si>
  <si>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</si>
  <si>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</si>
  <si>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</si>
  <si>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</si>
  <si>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</si>
  <si>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</si>
  <si>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</si>
  <si>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</si>
  <si>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</si>
  <si>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</si>
  <si>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</si>
  <si>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</si>
  <si>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</si>
  <si>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</si>
  <si>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</si>
  <si>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</si>
  <si>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</si>
  <si>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</si>
  <si>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</si>
  <si>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</si>
  <si>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</si>
  <si>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</si>
  <si>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</si>
  <si>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</si>
  <si>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</si>
  <si>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</si>
  <si>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</si>
  <si>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</si>
  <si>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</si>
  <si>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</si>
  <si>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</si>
  <si>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</si>
  <si>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</si>
  <si>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</si>
  <si>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</si>
  <si>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</si>
  <si>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</si>
  <si>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</si>
  <si>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</si>
  <si>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</si>
  <si>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</si>
  <si>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</si>
  <si>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</si>
  <si>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</si>
  <si>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</si>
  <si>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</si>
  <si>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</si>
  <si>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</si>
  <si>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</si>
  <si>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</si>
  <si>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</si>
  <si>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</si>
  <si>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</si>
  <si>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</si>
  <si>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</si>
  <si>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</si>
  <si>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</si>
  <si>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</si>
  <si>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</si>
  <si>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</si>
  <si>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</si>
  <si>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</si>
  <si>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</si>
  <si>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</si>
  <si>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</si>
  <si>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</si>
  <si>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</si>
  <si>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</si>
  <si>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</si>
  <si>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</si>
  <si>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</si>
  <si>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</si>
  <si>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</si>
  <si>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</si>
  <si>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</si>
  <si>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</si>
  <si>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</si>
  <si>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</si>
  <si>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</si>
  <si>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</si>
  <si>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</si>
  <si>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</si>
  <si>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</si>
  <si>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</si>
  <si>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</si>
  <si>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</si>
  <si>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</si>
  <si>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</si>
  <si>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</si>
  <si>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</si>
  <si>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</si>
  <si>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</si>
  <si>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</si>
  <si>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</si>
  <si>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</si>
  <si>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</si>
  <si>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</si>
  <si>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</si>
  <si>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</si>
  <si>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</si>
  <si>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</si>
  <si>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</si>
  <si>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</si>
  <si>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</si>
  <si>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</si>
  <si>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</si>
  <si>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</si>
  <si>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</si>
  <si>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</si>
  <si>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</si>
  <si>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</si>
  <si>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</si>
  <si>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</si>
  <si>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</si>
  <si>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</si>
  <si>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</si>
  <si>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</si>
  <si>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</si>
  <si>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</si>
  <si>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</si>
  <si>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</si>
  <si>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</si>
  <si>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</si>
  <si>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</si>
  <si>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</si>
  <si>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</si>
  <si>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</si>
  <si>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</si>
  <si>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</si>
  <si>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</si>
  <si>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</si>
  <si>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</si>
  <si>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</si>
  <si>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</si>
  <si>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</si>
  <si>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</si>
  <si>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</si>
  <si>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</si>
  <si>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</si>
  <si>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</si>
  <si>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</si>
  <si>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</si>
  <si>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</si>
  <si>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</si>
  <si>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</si>
  <si>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</si>
  <si>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</si>
  <si>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</si>
  <si>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</si>
  <si>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</si>
  <si>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</si>
  <si>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</si>
  <si>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</si>
  <si>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</si>
  <si>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</si>
  <si>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</si>
  <si>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</si>
  <si>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</si>
  <si>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</si>
  <si>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</si>
  <si>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</si>
  <si>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</si>
  <si>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</si>
  <si>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</si>
  <si>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</si>
  <si>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</si>
  <si>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</si>
  <si>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</si>
  <si>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</si>
  <si>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</si>
  <si>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</si>
  <si>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</si>
  <si>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</si>
  <si>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</si>
  <si>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</si>
  <si>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</si>
  <si>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</si>
  <si>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</si>
  <si>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</si>
  <si>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</si>
  <si>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</si>
  <si>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</si>
  <si>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</si>
  <si>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</si>
  <si>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</si>
  <si>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</si>
  <si>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</si>
  <si>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</si>
  <si>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</si>
  <si>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</si>
  <si>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</si>
  <si>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</si>
  <si>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</si>
  <si>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</si>
  <si>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</si>
  <si>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</si>
  <si>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</si>
  <si>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</si>
  <si>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</si>
  <si>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</si>
  <si>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</si>
  <si>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</si>
  <si>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</si>
  <si>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</si>
  <si>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</si>
  <si>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</si>
  <si>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</si>
  <si>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</si>
  <si>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</si>
  <si>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</si>
  <si>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</si>
  <si>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</si>
  <si>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</si>
  <si>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</si>
  <si>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</si>
  <si>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</si>
  <si>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</si>
  <si>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</si>
  <si>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</si>
  <si>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</si>
  <si>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</si>
  <si>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</si>
  <si>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</si>
  <si>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</si>
  <si>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</si>
  <si>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</si>
  <si>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</si>
  <si>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</si>
  <si>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</si>
  <si>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</si>
  <si>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</si>
  <si>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</si>
  <si>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</si>
  <si>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</si>
  <si>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</si>
  <si>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</si>
  <si>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</si>
  <si>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</si>
  <si>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</si>
  <si>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</si>
  <si>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</si>
  <si>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</si>
  <si>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</si>
  <si>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</si>
  <si>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</si>
  <si>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</si>
  <si>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</si>
  <si>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</si>
  <si>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</si>
  <si>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</si>
  <si>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</si>
  <si>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</si>
  <si>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</si>
  <si>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</si>
  <si>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</si>
  <si>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</si>
  <si>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</si>
  <si>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</si>
  <si>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</si>
  <si>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</si>
  <si>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</si>
  <si>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</si>
  <si>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</si>
  <si>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</si>
  <si>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</si>
  <si>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</si>
  <si>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</si>
  <si>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</si>
  <si>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</si>
  <si>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</si>
  <si>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</si>
  <si>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</si>
  <si>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</si>
  <si>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</si>
  <si>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</si>
  <si>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</si>
  <si>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</si>
  <si>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</si>
  <si>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</si>
  <si>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</si>
  <si>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</si>
  <si>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</si>
  <si>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</si>
  <si>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</si>
  <si>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</si>
  <si>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</si>
  <si>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</si>
  <si>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</si>
  <si>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</si>
  <si>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</si>
  <si>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</si>
  <si>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</si>
  <si>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</si>
  <si>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</si>
  <si>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</si>
  <si>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</si>
  <si>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</si>
  <si>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</si>
  <si>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</si>
  <si>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</si>
  <si>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</si>
  <si>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</si>
  <si>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</si>
  <si>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</si>
  <si>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</si>
  <si>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</si>
  <si>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</si>
  <si>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</si>
  <si>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</si>
  <si>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</si>
  <si>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</si>
  <si>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</si>
  <si>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</si>
  <si>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</si>
  <si>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</si>
  <si>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</si>
  <si>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</si>
  <si>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</si>
  <si>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</si>
  <si>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</si>
  <si>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</si>
  <si>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</si>
  <si>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</si>
  <si>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</si>
  <si>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</si>
  <si>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</si>
  <si>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</si>
  <si>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</si>
  <si>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</si>
  <si>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</si>
  <si>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</si>
  <si>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</si>
  <si>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</si>
  <si>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</si>
  <si>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</si>
  <si>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</si>
  <si>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</si>
  <si>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</si>
  <si>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</si>
  <si>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</si>
  <si>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</si>
  <si>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</si>
  <si>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</si>
  <si>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</si>
  <si>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</si>
  <si>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</si>
  <si>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</si>
  <si>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</si>
  <si>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</si>
  <si>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</si>
  <si>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</si>
  <si>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</si>
  <si>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</si>
  <si>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</si>
  <si>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</si>
  <si>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</si>
  <si>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</si>
  <si>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</si>
  <si>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</si>
  <si>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</si>
  <si>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</si>
  <si>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</si>
  <si>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</si>
  <si>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</si>
  <si>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</si>
  <si>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</si>
  <si>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</si>
  <si>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</si>
  <si>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</si>
  <si>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</si>
  <si>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</si>
  <si>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</si>
  <si>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</si>
  <si>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</si>
  <si>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</si>
  <si>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</si>
  <si>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</si>
  <si>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</si>
  <si>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</si>
  <si>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</si>
  <si>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</si>
  <si>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</si>
  <si>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</si>
  <si>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</si>
  <si>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</si>
  <si>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</si>
  <si>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</si>
  <si>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</si>
  <si>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</si>
  <si>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</si>
  <si>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</si>
  <si>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</si>
  <si>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</si>
  <si>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</si>
  <si>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</si>
  <si>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</si>
  <si>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</si>
  <si>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</si>
  <si>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</si>
  <si>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</si>
  <si>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</si>
  <si>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</si>
  <si>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</si>
  <si>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</si>
  <si>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</si>
  <si>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</si>
  <si>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</si>
  <si>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</si>
  <si>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</si>
  <si>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</si>
  <si>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</si>
  <si>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</si>
  <si>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</si>
  <si>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</si>
  <si>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</si>
  <si>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</si>
  <si>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</si>
  <si>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</si>
  <si>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</si>
  <si>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</si>
  <si>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</si>
  <si>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</si>
  <si>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</si>
  <si>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</si>
  <si>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</si>
  <si>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</si>
  <si>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</si>
  <si>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</si>
  <si>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</si>
  <si>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</si>
  <si>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</si>
  <si>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</si>
  <si>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</si>
  <si>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</si>
  <si>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</si>
  <si>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</si>
  <si>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</si>
  <si>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</si>
  <si>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</si>
  <si>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</si>
  <si>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</si>
  <si>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</si>
  <si>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</si>
  <si>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</si>
  <si>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</si>
  <si>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</si>
  <si>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</si>
  <si>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</si>
  <si>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</si>
  <si>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</si>
  <si>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</si>
  <si>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</si>
  <si>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</si>
  <si>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</si>
  <si>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</si>
  <si>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</si>
  <si>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</si>
  <si>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</si>
  <si>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</si>
  <si>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</si>
  <si>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</si>
  <si>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</si>
  <si>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</si>
  <si>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</si>
  <si>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</si>
  <si>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</si>
  <si>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</si>
  <si>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</si>
  <si>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</si>
  <si>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</si>
  <si>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</si>
  <si>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</si>
  <si>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</si>
  <si>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</si>
  <si>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</si>
  <si>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</si>
  <si>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</si>
  <si>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</si>
  <si>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</si>
  <si>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</si>
  <si>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</si>
  <si>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</si>
  <si>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</si>
  <si>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</si>
  <si>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</si>
  <si>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</si>
  <si>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</si>
  <si>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</si>
  <si>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</si>
  <si>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</si>
  <si>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</si>
  <si>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</si>
  <si>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</si>
  <si>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</si>
  <si>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</si>
  <si>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</si>
  <si>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</si>
  <si>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</si>
  <si>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</si>
  <si>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</si>
  <si>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</si>
  <si>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</si>
  <si>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</si>
  <si>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</si>
  <si>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</si>
  <si>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</si>
  <si>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</si>
  <si>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</si>
  <si>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</si>
  <si>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</si>
  <si>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</si>
  <si>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</si>
  <si>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</si>
  <si>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</si>
  <si>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</si>
  <si>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</si>
  <si>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</si>
  <si>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</si>
  <si>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</si>
  <si>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</si>
  <si>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</si>
  <si>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</si>
  <si>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</si>
  <si>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</si>
  <si>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</si>
  <si>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</si>
  <si>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</si>
  <si>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</si>
  <si>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</si>
  <si>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</si>
  <si>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</si>
  <si>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</si>
  <si>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</si>
  <si>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</si>
  <si>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</si>
  <si>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</si>
  <si>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</si>
  <si>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</si>
  <si>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</si>
  <si>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</si>
  <si>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</si>
  <si>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</si>
  <si>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</si>
  <si>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</si>
  <si>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</si>
  <si>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</si>
  <si>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</si>
  <si>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</si>
  <si>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</si>
  <si>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</si>
  <si>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</si>
  <si>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</si>
  <si>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</si>
  <si>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</si>
  <si>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</si>
  <si>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</si>
  <si>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</si>
  <si>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</si>
  <si>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</si>
  <si>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</si>
  <si>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</si>
  <si>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</si>
  <si>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</si>
  <si>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</si>
  <si>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</si>
  <si>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</si>
  <si>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</si>
  <si>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</si>
  <si>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</si>
  <si>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</si>
  <si>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</si>
  <si>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</si>
  <si>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</si>
  <si>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</si>
  <si>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</si>
  <si>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</si>
  <si>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</si>
  <si>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</si>
  <si>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</si>
  <si>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</si>
  <si>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</si>
  <si>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</si>
  <si>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</si>
  <si>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</si>
  <si>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</si>
  <si>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</si>
  <si>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</si>
  <si>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</si>
  <si>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</si>
  <si>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</si>
  <si>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</si>
  <si>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</si>
  <si>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</si>
  <si>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</si>
  <si>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</si>
  <si>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</si>
  <si>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</si>
  <si>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</si>
  <si>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</si>
  <si>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</si>
  <si>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</si>
  <si>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</si>
  <si>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</si>
  <si>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</si>
  <si>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</si>
  <si>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</si>
  <si>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</si>
  <si>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</si>
  <si>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</si>
  <si>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</si>
  <si>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</si>
  <si>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</si>
  <si>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</si>
  <si>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</si>
  <si>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</si>
  <si>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</si>
  <si>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</si>
  <si>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</si>
  <si>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</si>
  <si>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</si>
  <si>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</si>
  <si>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</si>
  <si>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</si>
  <si>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</si>
  <si>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</si>
  <si>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</si>
  <si>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</si>
  <si>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</si>
  <si>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</si>
  <si>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</si>
  <si>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</si>
  <si>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</si>
  <si>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</si>
  <si>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</si>
  <si>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</si>
  <si>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</si>
  <si>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</si>
  <si>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</si>
  <si>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</si>
  <si>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</si>
  <si>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</si>
  <si>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</si>
  <si>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</si>
  <si>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</si>
  <si>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</si>
  <si>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</si>
  <si>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</si>
  <si>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</si>
  <si>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</si>
  <si>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</si>
  <si>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</si>
  <si>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</si>
  <si>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</si>
  <si>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</si>
  <si>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</si>
  <si>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</si>
  <si>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</si>
  <si>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</si>
  <si>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</si>
  <si>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</si>
  <si>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</si>
  <si>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</si>
  <si>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</si>
  <si>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</si>
  <si>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</si>
  <si>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</si>
  <si>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</si>
  <si>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</si>
  <si>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</si>
  <si>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</si>
  <si>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</si>
  <si>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</si>
  <si>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</si>
  <si>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</si>
  <si>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</si>
  <si>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</si>
  <si>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</si>
  <si>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</si>
  <si>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</si>
  <si>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</si>
  <si>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</si>
  <si>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</si>
  <si>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</si>
  <si>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</si>
  <si>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</si>
  <si>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</si>
  <si>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</si>
  <si>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</si>
  <si>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</si>
  <si>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</si>
  <si>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</si>
  <si>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</si>
  <si>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</si>
  <si>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</si>
  <si>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</si>
  <si>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</si>
  <si>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</si>
  <si>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</si>
  <si>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</si>
  <si>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</si>
  <si>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</si>
  <si>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</si>
  <si>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</si>
  <si>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</si>
  <si>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</si>
  <si>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</si>
  <si>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</si>
  <si>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</si>
  <si>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</si>
  <si>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</si>
  <si>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</si>
  <si>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</si>
  <si>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</si>
  <si>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</si>
  <si>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</si>
  <si>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</si>
  <si>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</si>
  <si>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</si>
  <si>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</si>
  <si>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</si>
  <si>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</si>
  <si>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</si>
  <si>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</si>
  <si>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</si>
  <si>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</si>
  <si>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</si>
  <si>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</si>
  <si>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</si>
  <si>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</si>
  <si>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</si>
  <si>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</si>
  <si>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</si>
  <si>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</si>
  <si>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</si>
  <si>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</si>
  <si>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</si>
  <si>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</si>
  <si>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</si>
  <si>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</si>
  <si>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</si>
  <si>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</si>
  <si>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</si>
  <si>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</si>
  <si>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</si>
  <si>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</si>
  <si>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</si>
  <si>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</si>
  <si>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</si>
  <si>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</si>
  <si>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</si>
  <si>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</si>
  <si>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</si>
  <si>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</si>
  <si>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</si>
  <si>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</si>
  <si>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</si>
  <si>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</si>
  <si>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</si>
  <si>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</si>
  <si>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</si>
  <si>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</si>
  <si>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</si>
  <si>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</si>
  <si>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</si>
  <si>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</si>
  <si>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</si>
  <si>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</si>
  <si>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</si>
  <si>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</si>
  <si>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</si>
  <si>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</si>
  <si>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</si>
  <si>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</si>
  <si>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</si>
  <si>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</si>
  <si>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</si>
  <si>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</si>
  <si>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</si>
  <si>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</si>
  <si>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</si>
  <si>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</si>
  <si>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</si>
  <si>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</si>
  <si>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</si>
  <si>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</si>
  <si>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</si>
  <si>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</si>
  <si>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</si>
  <si>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</si>
  <si>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</si>
  <si>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</si>
  <si>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</si>
  <si>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</si>
  <si>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</si>
  <si>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</si>
  <si>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</si>
  <si>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</si>
  <si>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</si>
  <si>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</si>
  <si>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</si>
  <si>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</si>
  <si>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</si>
  <si>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</si>
  <si>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</si>
  <si>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</si>
  <si>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</si>
  <si>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</si>
  <si>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</si>
  <si>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</si>
  <si>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</si>
  <si>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</si>
  <si>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</si>
  <si>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</si>
  <si>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</si>
  <si>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</si>
  <si>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</si>
  <si>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</si>
  <si>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</si>
  <si>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</si>
  <si>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</si>
  <si>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</si>
  <si>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</si>
  <si>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</si>
  <si>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</si>
  <si>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</si>
  <si>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</si>
  <si>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</si>
  <si>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</si>
  <si>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</si>
  <si>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</si>
  <si>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</si>
  <si>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</si>
  <si>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</si>
  <si>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</si>
  <si>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</si>
  <si>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</si>
  <si>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</si>
  <si>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</si>
  <si>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</si>
  <si>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</si>
  <si>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</si>
  <si>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</si>
  <si>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</si>
  <si>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</si>
  <si>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</si>
  <si>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</si>
  <si>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</si>
  <si>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</si>
  <si>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</si>
  <si>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</si>
  <si>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</si>
  <si>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</si>
  <si>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</si>
  <si>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</si>
  <si>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</si>
  <si>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</si>
  <si>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</si>
  <si>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</si>
  <si>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</si>
  <si>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</si>
  <si>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</si>
  <si>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</si>
  <si>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</si>
  <si>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</si>
  <si>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</si>
  <si>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</si>
  <si>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</si>
  <si>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</si>
  <si>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</si>
  <si>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</si>
  <si>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</si>
  <si>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</si>
  <si>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</si>
  <si>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</si>
  <si>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</si>
  <si>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</si>
  <si>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</si>
  <si>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</si>
  <si>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</si>
  <si>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</si>
  <si>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</si>
  <si>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</si>
  <si>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</si>
  <si>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</si>
  <si>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</si>
  <si>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</si>
  <si>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</si>
  <si>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</si>
  <si>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</si>
  <si>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</si>
  <si>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</si>
  <si>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</si>
  <si>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</si>
  <si>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</si>
  <si>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</si>
  <si>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</si>
  <si>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</si>
  <si>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</si>
  <si>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</si>
  <si>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</si>
  <si>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</si>
  <si>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</si>
  <si>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</si>
  <si>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</si>
  <si>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</si>
  <si>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</si>
  <si>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</si>
  <si>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</si>
  <si>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</si>
  <si>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</si>
  <si>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</si>
  <si>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</si>
  <si>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</si>
  <si>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</si>
  <si>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</si>
  <si>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</si>
  <si>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</si>
  <si>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</si>
  <si>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</si>
  <si>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</si>
  <si>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</si>
  <si>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</si>
  <si>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</si>
  <si>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</si>
  <si>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</si>
  <si>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</si>
  <si>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</si>
  <si>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</si>
  <si>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</si>
  <si>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</si>
  <si>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</si>
  <si>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</si>
  <si>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</si>
  <si>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</si>
  <si>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</si>
  <si>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</si>
  <si>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</si>
  <si>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</si>
  <si>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</si>
  <si>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</si>
  <si>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</si>
  <si>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</si>
  <si>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</si>
  <si>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</si>
  <si>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</si>
  <si>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</si>
  <si>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</si>
  <si>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</si>
  <si>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</si>
  <si>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</si>
  <si>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</si>
  <si>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</si>
  <si>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</si>
  <si>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</si>
  <si>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</si>
  <si>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</si>
  <si>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</si>
  <si>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</si>
  <si>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</si>
  <si>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</si>
  <si>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</si>
  <si>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</si>
  <si>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</si>
  <si>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</si>
  <si>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</si>
  <si>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</si>
  <si>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</si>
  <si>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</si>
  <si>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</si>
  <si>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</si>
  <si>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</si>
  <si>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</si>
  <si>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</si>
  <si>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</si>
  <si>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</si>
  <si>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</si>
  <si>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</si>
  <si>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</si>
  <si>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</si>
  <si>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</si>
  <si>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</si>
  <si>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</si>
  <si>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</si>
  <si>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</si>
  <si>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</si>
  <si>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</si>
  <si>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</si>
  <si>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</si>
  <si>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</si>
  <si>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</si>
  <si>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</si>
  <si>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</si>
  <si>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</si>
  <si>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</si>
  <si>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</si>
  <si>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</si>
  <si>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</si>
  <si>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</si>
  <si>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</si>
  <si>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</si>
  <si>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</si>
  <si>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</si>
  <si>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</si>
  <si>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</si>
  <si>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</si>
  <si>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</si>
  <si>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</si>
  <si>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</si>
  <si>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</si>
  <si>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</si>
  <si>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</si>
  <si>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</si>
  <si>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</si>
  <si>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</si>
  <si>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</si>
  <si>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</si>
  <si>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</si>
  <si>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</si>
  <si>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</si>
  <si>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</si>
  <si>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</si>
  <si>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</si>
  <si>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</si>
  <si>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</si>
  <si>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</si>
  <si>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</si>
  <si>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</si>
  <si>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</si>
  <si>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</si>
  <si>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</si>
  <si>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</si>
  <si>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</si>
  <si>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</si>
  <si>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</si>
  <si>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</si>
  <si>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</si>
  <si>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</si>
  <si>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</si>
  <si>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</si>
  <si>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</si>
  <si>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</si>
  <si>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</si>
  <si>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</si>
  <si>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</si>
  <si>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</si>
  <si>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</si>
  <si>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</si>
  <si>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</si>
  <si>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</si>
  <si>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</si>
  <si>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</si>
  <si>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</si>
  <si>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</si>
  <si>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</si>
  <si>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</si>
  <si>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</si>
  <si>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</si>
  <si>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</si>
  <si>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</si>
  <si>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</si>
  <si>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</si>
  <si>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</si>
  <si>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</si>
  <si>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</si>
  <si>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</si>
  <si>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</si>
  <si>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</si>
  <si>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</si>
  <si>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</si>
  <si>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</si>
  <si>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</si>
  <si>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</si>
  <si>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</si>
  <si>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</si>
  <si>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</si>
  <si>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</si>
  <si>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</si>
  <si>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</si>
  <si>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</si>
  <si>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</si>
  <si>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</si>
  <si>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</si>
  <si>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</si>
  <si>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</si>
  <si>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</si>
  <si>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</si>
  <si>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</si>
  <si>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</si>
  <si>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</si>
  <si>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</si>
  <si>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</si>
  <si>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</si>
  <si>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</si>
  <si>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</si>
  <si>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</si>
  <si>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</si>
  <si>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</si>
  <si>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</si>
  <si>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</si>
  <si>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</si>
  <si>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</si>
  <si>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</si>
  <si>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</si>
  <si>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</si>
  <si>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</si>
  <si>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</si>
  <si>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</si>
  <si>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</si>
  <si>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</si>
  <si>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</si>
  <si>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</si>
  <si>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</si>
  <si>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</si>
  <si>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</si>
  <si>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</si>
  <si>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</si>
  <si>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</si>
  <si>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</si>
  <si>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</si>
  <si>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</si>
  <si>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</si>
  <si>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</si>
  <si>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</si>
  <si>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</si>
  <si>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</si>
  <si>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</si>
  <si>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</si>
  <si>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</si>
  <si>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</si>
  <si>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</si>
  <si>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</si>
  <si>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</si>
  <si>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</si>
  <si>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</si>
  <si>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</si>
  <si>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</si>
  <si>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</si>
  <si>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</si>
  <si>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</si>
  <si>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</si>
  <si>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</si>
  <si>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</si>
  <si>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</si>
  <si>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</si>
  <si>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</si>
  <si>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</si>
  <si>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</si>
  <si>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</si>
  <si>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</si>
  <si>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</si>
  <si>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</si>
  <si>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</si>
  <si>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</si>
  <si>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</si>
  <si>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</si>
  <si>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</si>
  <si>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</si>
  <si>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</si>
  <si>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</si>
  <si>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</si>
  <si>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</si>
  <si>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</si>
  <si>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</si>
  <si>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</si>
  <si>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</si>
  <si>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</si>
  <si>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</si>
  <si>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</si>
  <si>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</si>
  <si>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</si>
  <si>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</si>
  <si>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</si>
  <si>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</si>
  <si>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</si>
  <si>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</si>
  <si>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</si>
  <si>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</si>
  <si>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</si>
  <si>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</si>
  <si>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</si>
  <si>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</si>
  <si>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</si>
  <si>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</si>
  <si>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</si>
  <si>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</si>
  <si>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</si>
  <si>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</si>
  <si>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</si>
  <si>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</si>
  <si>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</si>
  <si>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</si>
  <si>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</si>
  <si>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</si>
  <si>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</si>
  <si>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</si>
  <si>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</si>
  <si>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</si>
  <si>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</si>
  <si>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</si>
  <si>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</si>
  <si>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</si>
  <si>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</si>
  <si>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</si>
  <si>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</si>
  <si>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</si>
  <si>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</si>
  <si>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</si>
  <si>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</si>
  <si>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</si>
  <si>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</si>
  <si>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</si>
  <si>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</si>
  <si>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</si>
  <si>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</si>
  <si>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</si>
  <si>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</si>
  <si>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</si>
  <si>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</si>
  <si>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</si>
  <si>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</si>
  <si>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</si>
  <si>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</si>
  <si>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</si>
  <si>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</si>
  <si>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</si>
  <si>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</si>
  <si>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</si>
  <si>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</si>
  <si>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</si>
  <si>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</si>
  <si>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</si>
  <si>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</si>
  <si>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</si>
  <si>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</si>
  <si>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</si>
  <si>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</si>
  <si>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</si>
  <si>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</si>
  <si>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</si>
  <si>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</si>
  <si>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</si>
  <si>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</si>
  <si>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</si>
  <si>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</si>
  <si>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</si>
  <si>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</si>
  <si>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</si>
  <si>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</si>
  <si>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</si>
  <si>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</si>
  <si>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</si>
  <si>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</si>
  <si>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</si>
  <si>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</si>
  <si>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</si>
  <si>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</si>
  <si>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</si>
  <si>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</si>
  <si>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</si>
  <si>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</si>
  <si>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</si>
  <si>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</si>
  <si>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</si>
  <si>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</si>
  <si>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</si>
  <si>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</si>
  <si>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</si>
  <si>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</si>
  <si>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</si>
  <si>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</si>
  <si>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</si>
  <si>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</si>
  <si>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</si>
  <si>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</si>
  <si>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</si>
  <si>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</si>
  <si>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</si>
  <si>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</si>
  <si>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</si>
  <si>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</si>
  <si>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</si>
  <si>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</si>
  <si>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</si>
  <si>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</si>
  <si>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</si>
  <si>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</si>
  <si>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</si>
  <si>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</si>
  <si>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</si>
  <si>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</si>
  <si>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</si>
  <si>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</si>
  <si>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</si>
  <si>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</si>
  <si>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</si>
  <si>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</si>
  <si>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</si>
  <si>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</si>
  <si>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</si>
  <si>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</si>
  <si>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</si>
  <si>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</si>
  <si>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</si>
  <si>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</si>
  <si>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</si>
  <si>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</si>
  <si>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</si>
  <si>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</si>
  <si>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</si>
  <si>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</si>
  <si>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</si>
  <si>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</si>
  <si>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</si>
  <si>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</si>
  <si>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</si>
  <si>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</si>
  <si>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</si>
  <si>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</si>
  <si>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</si>
  <si>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</si>
  <si>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</si>
  <si>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</si>
  <si>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</si>
  <si>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</si>
  <si>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</si>
  <si>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</si>
  <si>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</si>
  <si>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</si>
  <si>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</si>
  <si>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</si>
  <si>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</si>
  <si>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</si>
  <si>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</si>
  <si>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</si>
  <si>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</si>
  <si>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</si>
  <si>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</si>
  <si>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</si>
  <si>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</si>
  <si>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</si>
  <si>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</si>
  <si>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</si>
  <si>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</si>
  <si>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</si>
  <si>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</si>
  <si>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</si>
  <si>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</si>
  <si>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</si>
  <si>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</si>
  <si>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</si>
  <si>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</si>
  <si>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</si>
  <si>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</si>
  <si>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</si>
  <si>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</si>
  <si>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</si>
  <si>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</si>
  <si>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</si>
  <si>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</si>
  <si>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</si>
  <si>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</si>
  <si>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</si>
  <si>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</si>
  <si>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</si>
  <si>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</si>
  <si>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</si>
  <si>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</si>
  <si>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</si>
  <si>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</si>
  <si>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</si>
  <si>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</si>
  <si>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</si>
  <si>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</si>
  <si>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</si>
  <si>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</si>
  <si>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</si>
  <si>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</si>
  <si>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</si>
  <si>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</si>
  <si>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</si>
  <si>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</si>
  <si>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</si>
  <si>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</si>
  <si>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</si>
  <si>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</si>
  <si>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</si>
  <si>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</si>
  <si>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</si>
  <si>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</si>
  <si>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</si>
  <si>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</si>
  <si>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</si>
  <si>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</si>
  <si>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</si>
  <si>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</si>
  <si>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</si>
  <si>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</si>
  <si>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</si>
  <si>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</si>
  <si>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</si>
  <si>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</si>
  <si>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</si>
  <si>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</si>
  <si>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</si>
  <si>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</si>
  <si>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</si>
  <si>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</si>
  <si>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</si>
  <si>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</si>
  <si>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</si>
  <si>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</si>
  <si>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</si>
  <si>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</si>
  <si>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</si>
  <si>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</si>
  <si>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</si>
  <si>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</si>
  <si>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</si>
  <si>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</si>
  <si>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</si>
  <si>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</si>
  <si>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</si>
  <si>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</si>
  <si>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</si>
  <si>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</si>
  <si>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</si>
  <si>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</si>
  <si>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</si>
  <si>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</si>
  <si>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</si>
  <si>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</si>
  <si>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</si>
  <si>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</si>
  <si>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</si>
  <si>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</si>
  <si>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</si>
  <si>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</si>
  <si>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</si>
  <si>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</si>
  <si>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</si>
  <si>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</si>
  <si>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</si>
  <si>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</si>
  <si>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</si>
  <si>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</si>
  <si>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</si>
  <si>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</si>
  <si>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</si>
  <si>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</si>
  <si>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</si>
  <si>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</si>
  <si>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</si>
  <si>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</si>
  <si>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</si>
  <si>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</si>
  <si>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</si>
  <si>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</si>
  <si>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</si>
  <si>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</si>
  <si>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</si>
  <si>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</si>
  <si>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</si>
  <si>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</si>
  <si>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</si>
  <si>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</si>
  <si>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</si>
  <si>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</si>
  <si>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</si>
  <si>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</si>
  <si>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</si>
  <si>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</si>
  <si>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</si>
  <si>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</si>
  <si>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</si>
  <si>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</si>
  <si>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</si>
  <si>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</si>
  <si>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</si>
  <si>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</si>
  <si>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</si>
  <si>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</si>
  <si>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</si>
  <si>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</si>
  <si>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</si>
  <si>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</si>
  <si>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</si>
  <si>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</si>
  <si>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</si>
  <si>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</si>
  <si>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</si>
  <si>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</si>
  <si>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</si>
  <si>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</si>
  <si>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</si>
  <si>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</si>
  <si>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</si>
  <si>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</si>
  <si>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</si>
  <si>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</si>
  <si>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</si>
  <si>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</si>
  <si>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</si>
  <si>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</si>
  <si>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</si>
  <si>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</si>
  <si>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</si>
  <si>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</si>
  <si>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</si>
  <si>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</si>
  <si>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</si>
  <si>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</si>
  <si>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</si>
  <si>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</si>
  <si>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</si>
  <si>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</si>
  <si>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</si>
  <si>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</si>
  <si>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</si>
  <si>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</si>
  <si>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</si>
  <si>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</si>
  <si>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</si>
  <si>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</si>
  <si>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</si>
  <si>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</si>
  <si>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</si>
  <si>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</si>
  <si>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</si>
  <si>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</si>
  <si>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</si>
  <si>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</si>
  <si>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</si>
  <si>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</si>
  <si>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</si>
  <si>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</si>
  <si>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</si>
  <si>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</si>
  <si>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</si>
  <si>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</si>
  <si>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</si>
  <si>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</si>
  <si>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</si>
  <si>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</si>
  <si>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</si>
  <si>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</si>
  <si>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</si>
  <si>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</si>
  <si>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</si>
  <si>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</si>
  <si>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</si>
  <si>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</si>
  <si>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</si>
  <si>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</si>
  <si>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</si>
  <si>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</si>
  <si>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</si>
  <si>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</si>
  <si>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</si>
  <si>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</si>
  <si>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</si>
  <si>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</si>
  <si>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</si>
  <si>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</si>
  <si>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</si>
  <si>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</si>
  <si>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</si>
  <si>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</si>
  <si>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</si>
  <si>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</si>
  <si>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</si>
  <si>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</si>
  <si>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</si>
  <si>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</si>
  <si>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</si>
  <si>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</si>
  <si>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</si>
  <si>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</si>
  <si>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</si>
  <si>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</si>
  <si>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</si>
  <si>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</si>
  <si>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</si>
  <si>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</si>
  <si>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</si>
  <si>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</si>
  <si>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</si>
  <si>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</si>
  <si>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</si>
  <si>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</si>
  <si>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</si>
  <si>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</si>
  <si>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</si>
  <si>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</si>
  <si>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</si>
  <si>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</si>
  <si>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</si>
  <si>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</si>
  <si>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</si>
  <si>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</si>
  <si>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</si>
  <si>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</si>
  <si>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</si>
  <si>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</si>
  <si>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</si>
  <si>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</si>
  <si>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</si>
  <si>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</si>
  <si>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</si>
  <si>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</si>
  <si>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</si>
  <si>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</si>
  <si>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</si>
  <si>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</si>
  <si>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</si>
  <si>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</si>
  <si>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</si>
  <si>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</si>
  <si>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</si>
  <si>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</si>
  <si>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</si>
  <si>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</si>
  <si>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</si>
  <si>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</si>
  <si>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</si>
  <si>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</si>
  <si>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</si>
  <si>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</si>
  <si>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</si>
  <si>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</si>
  <si>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</si>
  <si>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</si>
  <si>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</si>
  <si>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</si>
  <si>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</si>
  <si>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</si>
  <si>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</si>
  <si>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</si>
  <si>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</si>
  <si>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</si>
  <si>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</si>
  <si>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</si>
  <si>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</si>
  <si>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</si>
  <si>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</si>
  <si>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</si>
  <si>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</si>
  <si>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</si>
  <si>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</si>
  <si>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</si>
  <si>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</si>
  <si>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</si>
  <si>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</si>
  <si>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</si>
  <si>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</si>
  <si>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</si>
  <si>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</si>
  <si>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</si>
  <si>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</si>
  <si>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</si>
  <si>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</si>
  <si>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</si>
  <si>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</si>
  <si>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</si>
  <si>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</si>
  <si>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</si>
  <si>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</si>
  <si>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</si>
  <si>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</si>
  <si>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</si>
  <si>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</si>
  <si>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</si>
  <si>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</si>
  <si>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</si>
  <si>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</si>
  <si>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</si>
  <si>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</si>
  <si>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</si>
  <si>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</si>
  <si>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</si>
  <si>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</si>
  <si>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</si>
  <si>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</si>
  <si>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</si>
  <si>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</si>
  <si>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</si>
  <si>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</si>
  <si>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</si>
  <si>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</si>
  <si>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</si>
  <si>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</si>
  <si>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</si>
  <si>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</si>
  <si>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</si>
  <si>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</si>
  <si>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</si>
  <si>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</si>
  <si>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</si>
  <si>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</si>
  <si>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</si>
  <si>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</si>
  <si>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</si>
  <si>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</si>
  <si>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</si>
  <si>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</si>
  <si>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</si>
  <si>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</si>
  <si>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</si>
  <si>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</si>
  <si>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</si>
  <si>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</si>
  <si>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</si>
  <si>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</si>
  <si>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</si>
  <si>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</si>
  <si>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</si>
  <si>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</si>
  <si>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</si>
  <si>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</si>
  <si>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</si>
  <si>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</si>
  <si>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</si>
  <si>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</si>
  <si>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</si>
  <si>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</si>
  <si>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</si>
  <si>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</si>
  <si>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</si>
  <si>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</si>
  <si>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</si>
  <si>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</si>
  <si>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</si>
  <si>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</si>
  <si>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</si>
  <si>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</si>
  <si>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</si>
  <si>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</si>
  <si>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</si>
  <si>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</si>
  <si>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</si>
  <si>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</si>
  <si>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</si>
  <si>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</si>
  <si>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</si>
  <si>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</si>
  <si>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</si>
  <si>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</si>
  <si>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</si>
  <si>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</si>
  <si>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</si>
  <si>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</si>
  <si>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</si>
  <si>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</si>
  <si>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</si>
  <si>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</si>
  <si>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</si>
  <si>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</si>
  <si>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</si>
  <si>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</si>
  <si>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</si>
  <si>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</si>
  <si>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</si>
  <si>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</si>
  <si>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</si>
  <si>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</si>
  <si>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</si>
  <si>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</si>
  <si>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</si>
  <si>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</si>
  <si>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</si>
  <si>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</si>
  <si>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</si>
  <si>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</si>
  <si>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</si>
  <si>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</si>
  <si>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</si>
  <si>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</si>
  <si>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</si>
  <si>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</si>
  <si>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</si>
  <si>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</si>
  <si>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</si>
  <si>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</si>
  <si>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</si>
  <si>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</si>
  <si>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</si>
  <si>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</si>
  <si>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</si>
  <si>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</si>
  <si>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</si>
  <si>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</si>
  <si>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</si>
  <si>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</si>
  <si>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</si>
  <si>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</si>
  <si>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</si>
  <si>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</si>
  <si>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</si>
  <si>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</si>
  <si>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</si>
  <si>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</si>
  <si>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</si>
  <si>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</si>
  <si>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</si>
  <si>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</si>
  <si>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</si>
  <si>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</si>
  <si>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</si>
  <si>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</si>
  <si>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</si>
  <si>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</si>
  <si>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</si>
  <si>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</si>
  <si>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</si>
  <si>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</si>
  <si>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</si>
  <si>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</si>
  <si>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</si>
  <si>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</si>
  <si>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</si>
  <si>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</si>
  <si>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</si>
  <si>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</si>
  <si>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</si>
  <si>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</si>
  <si>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</si>
  <si>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</si>
  <si>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</si>
  <si>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</si>
  <si>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</si>
  <si>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</si>
  <si>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</si>
  <si>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</si>
  <si>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</si>
  <si>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</si>
  <si>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</si>
  <si>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</si>
  <si>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</si>
  <si>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</si>
  <si>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</si>
  <si>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</si>
  <si>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</si>
  <si>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</si>
  <si>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</si>
  <si>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</si>
  <si>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</si>
  <si>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</si>
  <si>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</si>
  <si>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</si>
  <si>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</si>
  <si>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</si>
  <si>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</si>
  <si>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</si>
  <si>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</si>
  <si>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</si>
  <si>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</si>
  <si>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</si>
  <si>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</si>
  <si>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</si>
  <si>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</si>
  <si>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</si>
  <si>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</si>
  <si>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</si>
  <si>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</si>
  <si>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</si>
  <si>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</si>
  <si>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</si>
  <si>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</si>
  <si>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</si>
  <si>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</si>
  <si>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</si>
  <si>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</si>
  <si>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</si>
  <si>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</si>
  <si>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</si>
  <si>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</si>
  <si>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</si>
  <si>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</si>
  <si>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</si>
  <si>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</si>
  <si>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</si>
  <si>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</si>
  <si>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</si>
  <si>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</si>
  <si>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</si>
  <si>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</si>
  <si>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</si>
  <si>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</si>
  <si>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</si>
  <si>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</si>
  <si>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</si>
  <si>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</si>
  <si>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</si>
  <si>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</si>
  <si>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</si>
  <si>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</si>
  <si>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</si>
  <si>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</si>
  <si>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</si>
  <si>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</si>
  <si>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</si>
  <si>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</si>
  <si>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</si>
  <si>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</si>
  <si>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</si>
  <si>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</si>
  <si>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</si>
  <si>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</si>
  <si>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</si>
  <si>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</si>
  <si>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</si>
  <si>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</si>
  <si>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</si>
  <si>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</si>
  <si>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</si>
  <si>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</si>
  <si>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</si>
  <si>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</si>
  <si>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</si>
  <si>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</si>
  <si>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</si>
  <si>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</si>
  <si>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</si>
  <si>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</si>
  <si>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</si>
  <si>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</si>
  <si>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</si>
  <si>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</si>
  <si>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</si>
  <si>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</si>
  <si>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</si>
  <si>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</si>
  <si>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</si>
  <si>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</si>
  <si>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</si>
  <si>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</si>
  <si>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</si>
  <si>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</si>
  <si>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</si>
  <si>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</si>
  <si>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</si>
  <si>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</si>
  <si>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</si>
  <si>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</si>
  <si>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</si>
  <si>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</si>
  <si>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</si>
  <si>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</si>
  <si>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</si>
  <si>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</si>
  <si>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</si>
  <si>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</si>
  <si>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</si>
  <si>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</si>
  <si>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</si>
  <si>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</si>
  <si>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</si>
  <si>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</si>
  <si>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</si>
  <si>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</si>
  <si>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</si>
  <si>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</si>
  <si>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</si>
  <si>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</si>
  <si>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</si>
  <si>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</si>
  <si>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</si>
  <si>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</si>
  <si>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</si>
  <si>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</si>
  <si>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</si>
  <si>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</si>
  <si>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</si>
  <si>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</si>
  <si>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</si>
  <si>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</si>
  <si>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</si>
  <si>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</si>
  <si>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</si>
  <si>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</si>
  <si>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</si>
  <si>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</si>
  <si>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</si>
  <si>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</si>
  <si>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</si>
  <si>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</si>
  <si>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</si>
  <si>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</si>
  <si>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</si>
  <si>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</si>
  <si>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</si>
  <si>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</si>
  <si>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</si>
  <si>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</si>
  <si>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</si>
  <si>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</si>
  <si>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</si>
  <si>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</si>
  <si>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</si>
  <si>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</si>
  <si>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</si>
  <si>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</si>
  <si>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</si>
  <si>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</si>
  <si>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</si>
  <si>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</si>
  <si>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</si>
  <si>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</si>
  <si>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</si>
  <si>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</si>
  <si>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</si>
  <si>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</si>
  <si>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</si>
  <si>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</si>
  <si>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</si>
  <si>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</si>
  <si>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</si>
  <si>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</si>
  <si>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</si>
  <si>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</si>
  <si>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</si>
  <si>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</si>
  <si>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</si>
  <si>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</si>
  <si>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</si>
  <si>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</si>
  <si>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</si>
  <si>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</si>
  <si>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</si>
  <si>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</si>
  <si>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</si>
  <si>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</si>
  <si>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</si>
  <si>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</si>
  <si>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</si>
  <si>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</si>
  <si>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</si>
  <si>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</si>
  <si>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</si>
  <si>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</si>
  <si>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</si>
  <si>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</si>
  <si>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</si>
  <si>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</si>
  <si>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</si>
  <si>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</si>
  <si>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</si>
  <si>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</si>
  <si>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</si>
  <si>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</si>
  <si>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</si>
  <si>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</si>
  <si>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</si>
  <si>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</si>
  <si>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</si>
  <si>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</si>
  <si>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</si>
  <si>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</si>
  <si>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</si>
  <si>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</si>
  <si>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</si>
  <si>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</si>
  <si>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</si>
  <si>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</si>
  <si>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</si>
  <si>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</si>
  <si>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</si>
  <si>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</si>
  <si>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</si>
  <si>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</si>
  <si>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</si>
  <si>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</si>
  <si>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</si>
  <si>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</si>
  <si>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</si>
  <si>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</si>
  <si>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</si>
  <si>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</si>
  <si>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</si>
  <si>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</si>
  <si>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</si>
  <si>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</si>
  <si>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</si>
  <si>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</si>
  <si>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</si>
  <si>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</si>
  <si>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</si>
  <si>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</si>
  <si>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</si>
  <si>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</si>
  <si>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</si>
  <si>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</si>
  <si>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</si>
  <si>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</si>
  <si>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</si>
  <si>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</si>
  <si>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</si>
  <si>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</si>
  <si>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</si>
  <si>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</si>
  <si>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</si>
  <si>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</si>
  <si>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</si>
  <si>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</si>
  <si>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</si>
  <si>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</si>
  <si>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</si>
  <si>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</si>
  <si>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</si>
  <si>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</si>
  <si>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</si>
  <si>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</si>
  <si>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</si>
  <si>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</si>
  <si>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</si>
  <si>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</si>
  <si>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</si>
  <si>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</si>
  <si>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</si>
  <si>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</si>
  <si>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</si>
  <si>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</si>
  <si>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</si>
  <si>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</si>
  <si>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</si>
  <si>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</si>
  <si>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</si>
  <si>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</si>
  <si>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</si>
  <si>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</si>
  <si>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</si>
  <si>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</si>
  <si>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</si>
  <si>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</si>
  <si>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</si>
  <si>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</si>
  <si>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</si>
  <si>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</si>
  <si>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</si>
  <si>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</si>
  <si>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</si>
  <si>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</si>
  <si>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</si>
  <si>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</si>
  <si>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</si>
  <si>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</si>
  <si>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</si>
  <si>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</si>
  <si>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</si>
  <si>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</si>
  <si>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</si>
  <si>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</si>
  <si>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</si>
  <si>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</si>
  <si>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</si>
  <si>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</si>
  <si>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</si>
  <si>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</si>
  <si>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</si>
  <si>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</si>
  <si>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</si>
  <si>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</si>
  <si>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</si>
  <si>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</si>
  <si>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</si>
  <si>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</si>
  <si>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</si>
  <si>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</si>
  <si>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</si>
  <si>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</si>
  <si>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</si>
  <si>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</si>
  <si>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</si>
  <si>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</si>
  <si>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</si>
  <si>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</si>
  <si>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</si>
  <si>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</si>
  <si>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</si>
  <si>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</si>
  <si>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</si>
  <si>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</si>
  <si>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</si>
  <si>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</si>
  <si>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</si>
  <si>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</si>
  <si>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</si>
  <si>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</si>
  <si>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</si>
  <si>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</si>
  <si>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</si>
  <si>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</si>
  <si>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</si>
  <si>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</si>
  <si>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</si>
  <si>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</si>
  <si>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</si>
  <si>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</si>
  <si>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</si>
  <si>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</si>
  <si>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</si>
  <si>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</si>
  <si>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</si>
  <si>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</si>
  <si>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</si>
  <si>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</si>
  <si>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</si>
  <si>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</si>
  <si>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</si>
  <si>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</si>
  <si>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</si>
  <si>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</si>
  <si>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</si>
  <si>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</si>
  <si>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</si>
  <si>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</si>
  <si>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</si>
  <si>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</si>
  <si>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</si>
  <si>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</si>
  <si>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</si>
  <si>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</si>
  <si>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</si>
  <si>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</si>
  <si>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</si>
  <si>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</si>
  <si>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</si>
  <si>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</si>
  <si>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</si>
  <si>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</si>
  <si>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</si>
  <si>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</si>
  <si>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</si>
  <si>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</si>
  <si>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</si>
  <si>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</si>
  <si>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</si>
  <si>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</si>
  <si>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</si>
  <si>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</si>
  <si>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</si>
  <si>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</si>
  <si>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</si>
  <si>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</si>
  <si>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</si>
  <si>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</si>
  <si>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</si>
  <si>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</si>
  <si>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</si>
  <si>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</si>
  <si>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</si>
  <si>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</si>
  <si>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</si>
  <si>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</si>
  <si>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</si>
  <si>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</si>
  <si>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</si>
  <si>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</si>
  <si>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</si>
  <si>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</si>
  <si>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</si>
  <si>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</si>
  <si>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</si>
  <si>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</si>
  <si>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</si>
  <si>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</si>
  <si>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</si>
  <si>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</si>
  <si>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</si>
  <si>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</si>
  <si>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</si>
  <si>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</si>
  <si>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</si>
  <si>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</si>
  <si>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</si>
  <si>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</si>
  <si>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</si>
  <si>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</si>
  <si>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</si>
  <si>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</si>
  <si>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</si>
  <si>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</si>
  <si>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</si>
  <si>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</si>
  <si>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</si>
  <si>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</si>
  <si>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</si>
  <si>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</si>
  <si>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</si>
  <si>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</si>
  <si>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</si>
  <si>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</si>
  <si>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</si>
  <si>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</si>
  <si>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</si>
  <si>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</si>
  <si>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</si>
  <si>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</si>
  <si>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</si>
  <si>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</si>
  <si>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</si>
  <si>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</si>
  <si>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</si>
  <si>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</si>
  <si>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</si>
  <si>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</si>
  <si>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</si>
  <si>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</si>
  <si>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</si>
  <si>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</si>
  <si>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</si>
  <si>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</si>
  <si>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</si>
  <si>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</si>
  <si>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</si>
  <si>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</si>
  <si>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</si>
  <si>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</si>
  <si>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</si>
  <si>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</si>
  <si>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</si>
  <si>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</si>
  <si>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</si>
  <si>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</si>
  <si>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</si>
  <si>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</si>
  <si>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</si>
  <si>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</si>
  <si>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</si>
  <si>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</si>
  <si>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</si>
  <si>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</si>
  <si>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</si>
  <si>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</si>
  <si>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</si>
  <si>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</si>
  <si>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</si>
  <si>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</si>
  <si>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</si>
  <si>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</si>
  <si>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</si>
  <si>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</si>
  <si>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</si>
  <si>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</si>
  <si>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</si>
  <si>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</si>
  <si>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</si>
  <si>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</si>
  <si>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</si>
  <si>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</si>
  <si>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</si>
  <si>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</si>
  <si>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</si>
  <si>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</si>
  <si>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</si>
  <si>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</si>
  <si>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</si>
  <si>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</si>
  <si>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</si>
  <si>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</si>
  <si>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</si>
  <si>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</si>
  <si>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</si>
  <si>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</si>
  <si>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</si>
  <si>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</si>
  <si>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</si>
  <si>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</si>
  <si>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</si>
  <si>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</si>
  <si>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</si>
  <si>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</si>
  <si>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</si>
  <si>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</si>
  <si>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</si>
  <si>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</si>
  <si>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</si>
  <si>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</si>
  <si>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</si>
  <si>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</si>
  <si>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</si>
  <si>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</si>
  <si>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</si>
  <si>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</si>
  <si>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</si>
  <si>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</si>
  <si>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</si>
  <si>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</si>
  <si>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</si>
  <si>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</si>
  <si>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</si>
  <si>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</si>
  <si>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</si>
  <si>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</si>
  <si>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</si>
  <si>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</si>
  <si>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</si>
  <si>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</si>
  <si>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</si>
  <si>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</si>
  <si>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</si>
  <si>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</si>
  <si>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</si>
  <si>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</si>
  <si>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</si>
  <si>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</si>
  <si>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</si>
  <si>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</si>
  <si>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</si>
  <si>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</si>
  <si>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</si>
  <si>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</si>
  <si>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</si>
  <si>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</si>
  <si>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</si>
  <si>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</si>
  <si>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</si>
  <si>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</si>
  <si>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</si>
  <si>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</si>
  <si>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</si>
  <si>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</si>
  <si>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</si>
  <si>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</si>
  <si>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</si>
  <si>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</si>
  <si>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</si>
  <si>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</si>
  <si>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</si>
  <si>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</si>
  <si>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</si>
  <si>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</si>
  <si>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</si>
  <si>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</si>
  <si>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</si>
  <si>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</si>
  <si>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</si>
  <si>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</si>
  <si>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</si>
  <si>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</si>
  <si>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</si>
  <si>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</si>
  <si>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</si>
  <si>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</si>
  <si>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</si>
  <si>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</si>
  <si>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</si>
  <si>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</si>
  <si>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</si>
  <si>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</si>
  <si>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</si>
  <si>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</si>
  <si>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</si>
  <si>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</si>
  <si>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</si>
  <si>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</si>
  <si>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</si>
  <si>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</si>
  <si>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</si>
  <si>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</si>
  <si>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</si>
  <si>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</si>
  <si>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</si>
  <si>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</si>
  <si>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</si>
  <si>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</si>
  <si>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</si>
  <si>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</si>
  <si>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</si>
  <si>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</si>
  <si>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</si>
  <si>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</si>
  <si>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</si>
  <si>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</si>
  <si>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</si>
  <si>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</si>
  <si>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</si>
  <si>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</si>
  <si>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</si>
  <si>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</si>
  <si>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</si>
  <si>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</si>
  <si>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</si>
  <si>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</si>
  <si>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</si>
  <si>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</si>
  <si>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</si>
  <si>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</si>
  <si>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</si>
  <si>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</si>
  <si>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</si>
  <si>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</si>
  <si>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</si>
  <si>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</si>
  <si>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</si>
  <si>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</si>
  <si>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</si>
  <si>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</si>
  <si>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</si>
  <si>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</si>
  <si>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</si>
  <si>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</si>
  <si>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</si>
  <si>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</si>
  <si>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</si>
  <si>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</si>
  <si>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</si>
  <si>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</si>
  <si>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</si>
  <si>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</si>
  <si>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</si>
  <si>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</si>
  <si>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</si>
  <si>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</si>
  <si>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</si>
  <si>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</si>
  <si>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</si>
  <si>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</si>
  <si>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</si>
  <si>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</si>
  <si>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</si>
  <si>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</si>
  <si>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</si>
  <si>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</si>
  <si>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</si>
  <si>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</si>
  <si>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</si>
  <si>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</si>
  <si>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</si>
  <si>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</si>
  <si>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</si>
  <si>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</si>
  <si>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</si>
  <si>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</si>
  <si>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</si>
  <si>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</si>
  <si>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</si>
  <si>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</si>
  <si>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</si>
  <si>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</si>
  <si>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</si>
  <si>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</si>
  <si>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</si>
  <si>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</si>
  <si>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</si>
  <si>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</si>
  <si>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</si>
  <si>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</si>
  <si>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</si>
  <si>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</si>
  <si>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</si>
  <si>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</si>
  <si>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</si>
  <si>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</si>
  <si>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</si>
  <si>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</si>
  <si>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</si>
  <si>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</si>
  <si>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</si>
  <si>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</si>
  <si>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</si>
  <si>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</si>
  <si>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</si>
  <si>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</si>
  <si>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</si>
  <si>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</si>
  <si>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</si>
  <si>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</si>
  <si>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</si>
  <si>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</si>
  <si>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</si>
  <si>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</si>
  <si>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</si>
  <si>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</si>
  <si>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</si>
  <si>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</si>
  <si>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</si>
  <si>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</si>
  <si>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</si>
  <si>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</si>
  <si>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</si>
  <si>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</si>
  <si>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</si>
  <si>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</si>
  <si>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</si>
  <si>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</si>
  <si>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</si>
  <si>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</si>
  <si>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</si>
  <si>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</si>
  <si>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</si>
  <si>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</si>
  <si>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</si>
  <si>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</si>
  <si>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</si>
  <si>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</si>
  <si>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</si>
  <si>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</si>
  <si>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</si>
  <si>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</si>
  <si>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</si>
  <si>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</si>
  <si>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</si>
  <si>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</si>
  <si>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</si>
  <si>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</si>
  <si>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</si>
  <si>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</si>
  <si>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</si>
  <si>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</si>
  <si>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</si>
  <si>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</si>
  <si>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</si>
  <si>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</si>
  <si>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</si>
  <si>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</si>
  <si>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</si>
  <si>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</si>
  <si>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</si>
  <si>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</si>
  <si>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</si>
  <si>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</si>
  <si>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</si>
  <si>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</si>
  <si>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</si>
  <si>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</si>
  <si>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</si>
  <si>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</si>
  <si>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</si>
  <si>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</si>
  <si>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</si>
  <si>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</si>
  <si>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</si>
  <si>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</si>
  <si>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</si>
  <si>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</si>
  <si>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</si>
  <si>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</si>
  <si>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</si>
  <si>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</si>
  <si>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</si>
  <si>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</si>
  <si>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</si>
  <si>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</si>
  <si>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</si>
  <si>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</si>
  <si>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</si>
  <si>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</si>
  <si>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</si>
  <si>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</si>
  <si>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</si>
  <si>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</si>
  <si>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</si>
  <si>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</si>
  <si>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</si>
  <si>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</si>
  <si>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</si>
  <si>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</si>
  <si>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</si>
  <si>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</si>
  <si>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</si>
  <si>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</si>
  <si>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</si>
  <si>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</si>
  <si>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</si>
  <si>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</si>
  <si>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</si>
  <si>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</si>
  <si>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</si>
  <si>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</si>
  <si>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</si>
  <si>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</si>
  <si>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</si>
  <si>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</si>
  <si>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</si>
  <si>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</si>
  <si>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</si>
  <si>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</si>
  <si>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</si>
  <si>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</si>
  <si>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</si>
  <si>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</si>
  <si>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</si>
  <si>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</si>
  <si>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</si>
  <si>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</si>
  <si>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</si>
  <si>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</si>
  <si>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</si>
  <si>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</si>
  <si>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</si>
  <si>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</si>
  <si>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</si>
  <si>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</si>
  <si>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</si>
  <si>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</si>
  <si>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</si>
  <si>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</si>
  <si>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</si>
  <si>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</si>
  <si>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</si>
  <si>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</si>
  <si>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</si>
  <si>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</si>
  <si>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</si>
  <si>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</si>
  <si>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</si>
  <si>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</si>
  <si>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</si>
  <si>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</si>
  <si>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</si>
  <si>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</si>
  <si>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</si>
  <si>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</si>
  <si>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</si>
  <si>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</si>
  <si>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</si>
  <si>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</si>
  <si>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</si>
  <si>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</si>
  <si>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</si>
  <si>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</si>
  <si>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</si>
  <si>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</si>
  <si>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</si>
  <si>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</si>
  <si>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</si>
  <si>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</si>
  <si>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</si>
  <si>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</si>
  <si>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</si>
  <si>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</si>
  <si>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</si>
  <si>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</si>
  <si>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</si>
  <si>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</si>
  <si>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</si>
  <si>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</si>
  <si>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</si>
  <si>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</si>
  <si>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</si>
  <si>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</si>
  <si>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</si>
  <si>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</si>
  <si>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</si>
  <si>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</si>
  <si>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</si>
  <si>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</si>
  <si>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</si>
  <si>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</si>
  <si>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</si>
  <si>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</si>
  <si>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</si>
  <si>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</si>
  <si>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</si>
  <si>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</si>
  <si>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</si>
  <si>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</si>
  <si>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</si>
  <si>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</si>
  <si>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</si>
  <si>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</si>
  <si>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</si>
  <si>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</si>
  <si>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</si>
  <si>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</si>
  <si>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</si>
  <si>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</si>
  <si>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</si>
  <si>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</si>
  <si>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</si>
  <si>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</si>
  <si>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</si>
  <si>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</si>
  <si>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</si>
  <si>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</si>
  <si>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</si>
  <si>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</si>
  <si>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</si>
  <si>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</si>
  <si>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</si>
  <si>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</si>
  <si>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</si>
  <si>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</si>
  <si>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</si>
  <si>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</si>
  <si>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</si>
  <si>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</si>
  <si>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</si>
  <si>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</si>
  <si>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</si>
  <si>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</si>
  <si>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</si>
  <si>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</si>
  <si>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</si>
  <si>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</si>
  <si>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</si>
  <si>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</si>
  <si>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</si>
  <si>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</si>
  <si>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</si>
  <si>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</si>
  <si>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</si>
  <si>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</si>
  <si>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</si>
  <si>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</si>
  <si>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</si>
  <si>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</si>
  <si>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</si>
  <si>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</si>
  <si>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</si>
  <si>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</si>
  <si>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</si>
  <si>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</si>
  <si>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</si>
  <si>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</si>
  <si>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</si>
  <si>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</si>
  <si>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</si>
  <si>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</si>
  <si>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</si>
  <si>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</si>
  <si>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</si>
  <si>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</si>
  <si>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</si>
  <si>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</si>
  <si>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</si>
  <si>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</si>
  <si>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</si>
  <si>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</si>
  <si>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</si>
  <si>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</si>
  <si>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</si>
  <si>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</si>
  <si>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</si>
  <si>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</si>
  <si>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</si>
  <si>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</si>
  <si>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</si>
  <si>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</si>
  <si>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</si>
  <si>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</si>
  <si>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</si>
  <si>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</si>
  <si>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</si>
  <si>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</si>
  <si>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</si>
  <si>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</si>
  <si>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</si>
  <si>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</si>
  <si>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</si>
  <si>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</si>
  <si>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</si>
  <si>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</si>
  <si>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</si>
  <si>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</si>
  <si>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</si>
  <si>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</si>
  <si>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</si>
  <si>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</si>
  <si>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</si>
  <si>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</si>
  <si>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</si>
  <si>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</si>
  <si>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</si>
  <si>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</si>
  <si>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</si>
  <si>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</si>
  <si>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</si>
  <si>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</si>
  <si>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</si>
  <si>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</si>
  <si>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</si>
  <si>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</si>
  <si>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</si>
  <si>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</si>
  <si>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</si>
  <si>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</si>
  <si>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</si>
  <si>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</si>
  <si>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</si>
  <si>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</si>
  <si>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</si>
  <si>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</si>
  <si>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</si>
  <si>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</si>
  <si>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</si>
  <si>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</si>
  <si>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</si>
  <si>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</si>
  <si>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</si>
  <si>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</si>
  <si>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</si>
  <si>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</si>
  <si>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</si>
  <si>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</si>
  <si>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</si>
  <si>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</si>
  <si>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</si>
  <si>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</si>
  <si>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</si>
  <si>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</si>
  <si>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</si>
  <si>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</si>
  <si>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</si>
  <si>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</si>
  <si>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</si>
  <si>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</si>
  <si>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</si>
  <si>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</si>
  <si>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</si>
  <si>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</si>
  <si>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</si>
  <si>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</si>
  <si>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</si>
  <si>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</si>
  <si>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</si>
  <si>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</si>
  <si>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</si>
  <si>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</si>
  <si>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</si>
  <si>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</si>
  <si>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</si>
  <si>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</si>
  <si>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</si>
  <si>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</si>
  <si>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</si>
  <si>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</si>
  <si>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</si>
  <si>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</si>
  <si>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</si>
  <si>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</si>
  <si>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</si>
  <si>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</si>
  <si>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</si>
  <si>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</si>
  <si>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</si>
  <si>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</si>
  <si>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</si>
  <si>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</si>
  <si>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</si>
  <si>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</si>
  <si>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</si>
  <si>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</si>
  <si>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</si>
  <si>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</si>
  <si>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</si>
  <si>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</si>
  <si>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</si>
  <si>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</si>
  <si>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</si>
  <si>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</si>
  <si>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</si>
  <si>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</si>
  <si>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</si>
  <si>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</si>
  <si>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</si>
  <si>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</si>
  <si>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</si>
  <si>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</si>
  <si>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</si>
  <si>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</si>
  <si>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</si>
  <si>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</si>
  <si>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</si>
  <si>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</si>
  <si>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</si>
  <si>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</si>
  <si>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</si>
  <si>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</si>
  <si>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</si>
  <si>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</si>
  <si>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</si>
  <si>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</si>
  <si>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</si>
  <si>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</si>
  <si>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</si>
  <si>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</si>
  <si>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</si>
  <si>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</si>
  <si>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</si>
  <si>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</si>
  <si>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</si>
  <si>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</si>
  <si>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</si>
  <si>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</si>
  <si>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</si>
  <si>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</si>
  <si>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</si>
  <si>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</si>
  <si>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</si>
  <si>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</si>
  <si>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</si>
  <si>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</si>
  <si>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</si>
  <si>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</si>
  <si>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</si>
  <si>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</si>
  <si>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</si>
  <si>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</si>
  <si>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</si>
  <si>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</si>
  <si>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</si>
  <si>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</si>
  <si>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</si>
  <si>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</si>
  <si>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</si>
  <si>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</si>
  <si>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</si>
  <si>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</si>
  <si>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</si>
  <si>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</si>
  <si>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</si>
  <si>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</si>
  <si>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</si>
  <si>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</si>
  <si>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</si>
  <si>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</si>
  <si>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</si>
  <si>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</si>
  <si>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</si>
  <si>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</si>
  <si>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</si>
  <si>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</si>
  <si>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</si>
  <si>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</si>
  <si>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</si>
  <si>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</si>
  <si>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</si>
  <si>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</si>
  <si>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</si>
  <si>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</si>
  <si>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</si>
  <si>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</si>
  <si>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</si>
  <si>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</si>
  <si>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</si>
  <si>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</si>
  <si>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</si>
  <si>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</si>
  <si>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</si>
  <si>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</si>
  <si>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</si>
  <si>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</si>
  <si>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</si>
  <si>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</si>
  <si>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</si>
  <si>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</si>
  <si>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</si>
  <si>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</si>
  <si>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</si>
  <si>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</si>
  <si>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</si>
  <si>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</si>
  <si>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</si>
  <si>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</si>
  <si>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</si>
  <si>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</si>
  <si>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</si>
  <si>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</si>
  <si>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</si>
  <si>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</si>
  <si>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</si>
  <si>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</si>
  <si>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</si>
  <si>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</si>
  <si>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</si>
  <si>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</si>
  <si>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</si>
  <si>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</si>
  <si>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</si>
  <si>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</si>
  <si>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</si>
  <si>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</si>
  <si>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</si>
  <si>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</si>
  <si>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</si>
  <si>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</si>
  <si>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</si>
  <si>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</si>
  <si>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</si>
  <si>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</si>
  <si>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</si>
  <si>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</si>
  <si>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</si>
  <si>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</si>
  <si>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</si>
  <si>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</si>
  <si>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</si>
  <si>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</si>
  <si>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</si>
  <si>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</si>
  <si>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</si>
  <si>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</si>
  <si>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</si>
  <si>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</si>
  <si>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</si>
  <si>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</si>
  <si>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</si>
  <si>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</si>
  <si>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</si>
  <si>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</si>
  <si>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</si>
  <si>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</si>
  <si>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</si>
  <si>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</si>
  <si>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</si>
  <si>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</si>
  <si>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</si>
  <si>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</si>
  <si>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</si>
  <si>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</si>
  <si>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</si>
  <si>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</si>
  <si>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</si>
  <si>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</si>
  <si>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</si>
  <si>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</si>
  <si>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</si>
  <si>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</si>
  <si>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</si>
  <si>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</si>
  <si>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</si>
  <si>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</si>
  <si>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</si>
  <si>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</si>
  <si>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</si>
  <si>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</si>
  <si>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</si>
  <si>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</si>
  <si>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</si>
  <si>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</si>
  <si>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</si>
  <si>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</si>
  <si>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</si>
  <si>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</si>
  <si>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</si>
  <si>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</si>
  <si>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</si>
  <si>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</si>
  <si>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</si>
  <si>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</si>
  <si>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</si>
  <si>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</si>
  <si>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</si>
  <si>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</si>
  <si>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</si>
  <si>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</si>
  <si>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</si>
  <si>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</si>
  <si>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</si>
  <si>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</si>
  <si>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</si>
  <si>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</si>
  <si>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</si>
  <si>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</si>
  <si>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</si>
  <si>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</si>
  <si>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</si>
  <si>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</si>
  <si>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</si>
  <si>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</si>
  <si>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</si>
  <si>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</si>
  <si>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</si>
  <si>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</si>
  <si>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</si>
  <si>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</si>
  <si>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</si>
  <si>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</si>
  <si>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</si>
  <si>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</si>
  <si>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</si>
  <si>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</si>
  <si>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</si>
  <si>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</si>
  <si>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</si>
  <si>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</si>
  <si>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</si>
  <si>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</si>
  <si>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</si>
  <si>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</si>
  <si>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</si>
  <si>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</si>
  <si>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</si>
  <si>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</si>
  <si>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</si>
  <si>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</si>
  <si>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</si>
  <si>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</si>
  <si>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</si>
  <si>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</si>
  <si>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</si>
  <si>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</si>
  <si>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</si>
  <si>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</si>
  <si>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</si>
  <si>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</si>
  <si>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</si>
  <si>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</si>
  <si>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</si>
  <si>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</si>
  <si>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</si>
  <si>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</si>
  <si>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</si>
  <si>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</si>
  <si>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</si>
  <si>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</si>
  <si>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</si>
  <si>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</si>
  <si>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</si>
  <si>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</si>
  <si>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</si>
  <si>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</si>
  <si>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</si>
  <si>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</si>
  <si>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</si>
  <si>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</si>
  <si>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</si>
  <si>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</si>
  <si>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</si>
  <si>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</si>
  <si>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</si>
  <si>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</si>
  <si>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</si>
  <si>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</si>
  <si>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</si>
  <si>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</si>
  <si>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</si>
  <si>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</si>
  <si>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</si>
  <si>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</si>
  <si>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</si>
  <si>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</si>
  <si>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</si>
  <si>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</si>
  <si>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</si>
  <si>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</si>
  <si>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</si>
  <si>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</si>
  <si>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</si>
  <si>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</si>
  <si>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</si>
  <si>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</si>
  <si>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</si>
  <si>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</si>
  <si>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</si>
  <si>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</si>
  <si>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</si>
  <si>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</si>
  <si>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</si>
  <si>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</si>
  <si>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</si>
  <si>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</si>
  <si>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</si>
  <si>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</si>
  <si>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</si>
  <si>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</si>
  <si>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</si>
  <si>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</si>
  <si>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</si>
  <si>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</si>
  <si>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</si>
  <si>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</si>
  <si>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</si>
  <si>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</si>
  <si>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</si>
  <si>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</si>
  <si>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</si>
  <si>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</si>
  <si>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</si>
  <si>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</si>
  <si>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</si>
  <si>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</si>
  <si>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</si>
  <si>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</si>
  <si>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</si>
  <si>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</si>
  <si>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</si>
  <si>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</si>
  <si>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</si>
  <si>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</si>
  <si>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</si>
  <si>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</si>
  <si>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</si>
  <si>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</si>
  <si>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</si>
  <si>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</si>
  <si>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</si>
  <si>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</si>
  <si>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</si>
  <si>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</si>
  <si>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</si>
  <si>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</si>
  <si>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</si>
  <si>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</si>
  <si>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</si>
  <si>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</si>
  <si>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</si>
  <si>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</si>
  <si>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</si>
  <si>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</si>
  <si>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</si>
  <si>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</si>
  <si>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</si>
  <si>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</si>
  <si>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</si>
  <si>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</si>
  <si>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</si>
  <si>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</si>
  <si>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</si>
  <si>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</si>
  <si>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</si>
  <si>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</si>
  <si>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</si>
  <si>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</si>
  <si>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</si>
  <si>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</si>
  <si>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</si>
  <si>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</si>
  <si>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</si>
  <si>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</si>
  <si>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</si>
  <si>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</si>
  <si>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</si>
  <si>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</si>
  <si>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</si>
  <si>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</si>
  <si>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</si>
  <si>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</si>
  <si>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</si>
  <si>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</si>
  <si>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</si>
  <si>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</si>
  <si>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</si>
  <si>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</si>
  <si>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</si>
  <si>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</si>
  <si>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</si>
  <si>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</si>
  <si>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</si>
  <si>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</si>
  <si>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</si>
  <si>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</si>
  <si>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</si>
  <si>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</si>
  <si>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</si>
  <si>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</si>
  <si>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</si>
  <si>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</si>
  <si>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</si>
  <si>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</si>
  <si>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</si>
  <si>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</si>
  <si>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</si>
  <si>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</si>
  <si>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</si>
  <si>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</si>
  <si>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</si>
  <si>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</si>
  <si>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</si>
  <si>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</si>
  <si>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</si>
  <si>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</si>
  <si>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</si>
  <si>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</si>
  <si>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</si>
  <si>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</si>
  <si>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</si>
  <si>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</si>
  <si>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</si>
  <si>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</si>
  <si>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</si>
  <si>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</si>
  <si>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</si>
  <si>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</si>
  <si>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</si>
  <si>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</si>
  <si>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</si>
  <si>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</si>
  <si>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</si>
  <si>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</si>
  <si>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</si>
  <si>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</si>
  <si>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</si>
  <si>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</si>
  <si>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</si>
  <si>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</si>
  <si>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</si>
  <si>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</si>
  <si>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</si>
  <si>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</si>
  <si>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</si>
  <si>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</si>
  <si>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</si>
  <si>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</si>
  <si>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</si>
  <si>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</si>
  <si>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</si>
  <si>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</si>
  <si>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</si>
  <si>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</si>
  <si>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</si>
  <si>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</si>
  <si>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</si>
  <si>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</si>
  <si>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</si>
  <si>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</si>
  <si>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</si>
  <si>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</si>
  <si>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</si>
  <si>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</si>
  <si>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</si>
  <si>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</si>
  <si>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</si>
  <si>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</si>
  <si>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</si>
  <si>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</si>
  <si>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</si>
  <si>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</si>
  <si>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</si>
  <si>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</si>
  <si>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</si>
  <si>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</si>
  <si>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</si>
  <si>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</si>
  <si>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</si>
  <si>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</si>
  <si>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</si>
  <si>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</si>
  <si>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</si>
  <si>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</si>
  <si>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</si>
  <si>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</si>
  <si>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</si>
  <si>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</si>
  <si>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</si>
  <si>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</si>
  <si>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</si>
  <si>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</si>
  <si>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</si>
  <si>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</si>
  <si>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</si>
  <si>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</si>
  <si>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</si>
  <si>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</si>
  <si>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</si>
  <si>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</si>
  <si>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</si>
  <si>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</si>
  <si>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</si>
  <si>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</si>
  <si>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</si>
  <si>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</si>
  <si>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</si>
  <si>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</si>
  <si>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</si>
  <si>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</si>
  <si>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</si>
  <si>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</si>
  <si>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</si>
  <si>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</si>
  <si>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</si>
  <si>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</si>
  <si>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</si>
  <si>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</si>
  <si>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</si>
  <si>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</si>
  <si>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</si>
  <si>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</si>
  <si>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</si>
  <si>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</si>
  <si>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</si>
  <si>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</si>
  <si>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</si>
  <si>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</si>
  <si>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</si>
  <si>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</si>
  <si>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</si>
  <si>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</si>
  <si>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</si>
  <si>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</si>
  <si>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</si>
  <si>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</si>
  <si>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</si>
  <si>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</si>
  <si>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</si>
  <si>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</si>
  <si>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</si>
  <si>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</si>
  <si>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</si>
  <si>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</si>
  <si>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</si>
  <si>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</si>
  <si>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</si>
  <si>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</si>
  <si>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</si>
  <si>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</si>
  <si>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</si>
  <si>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</si>
  <si>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</si>
  <si>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</si>
  <si>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</si>
  <si>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</si>
  <si>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</si>
  <si>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</si>
  <si>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</si>
  <si>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</si>
  <si>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</si>
  <si>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</si>
  <si>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</si>
  <si>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</si>
  <si>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</si>
  <si>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</si>
  <si>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</si>
  <si>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</si>
  <si>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</si>
  <si>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</si>
  <si>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</si>
  <si>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</si>
  <si>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</si>
  <si>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</si>
  <si>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</si>
  <si>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</si>
  <si>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</si>
  <si>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</si>
  <si>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</si>
  <si>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</si>
  <si>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</si>
  <si>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</si>
  <si>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</si>
  <si>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</si>
  <si>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</si>
  <si>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</si>
  <si>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</si>
  <si>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</si>
  <si>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</si>
  <si>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</si>
  <si>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</si>
  <si>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</si>
  <si>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</si>
  <si>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</si>
  <si>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</si>
  <si>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</si>
  <si>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</si>
  <si>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</si>
  <si>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</si>
  <si>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</si>
  <si>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</si>
  <si>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</si>
  <si>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</si>
  <si>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</si>
  <si>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</si>
  <si>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</si>
  <si>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</si>
  <si>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</si>
  <si>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</si>
  <si>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</si>
  <si>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</si>
  <si>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</si>
  <si>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</si>
  <si>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</si>
  <si>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</si>
  <si>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</si>
  <si>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</si>
  <si>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</si>
  <si>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</si>
  <si>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</si>
  <si>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</si>
  <si>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</si>
  <si>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</si>
  <si>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</si>
  <si>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</si>
  <si>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</si>
  <si>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</si>
  <si>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</si>
  <si>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</si>
  <si>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</si>
  <si>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</si>
  <si>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</si>
  <si>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</si>
  <si>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</si>
  <si>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</si>
  <si>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</si>
  <si>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</si>
  <si>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</si>
  <si>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</si>
  <si>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</si>
  <si>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</si>
  <si>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</si>
  <si>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</si>
  <si>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</si>
  <si>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</si>
  <si>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</si>
  <si>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</si>
  <si>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</si>
  <si>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</si>
  <si>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</si>
  <si>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</si>
  <si>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</si>
  <si>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</si>
  <si>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</si>
  <si>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</si>
  <si>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</si>
  <si>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</si>
  <si>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</si>
  <si>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</si>
  <si>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</si>
  <si>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</si>
  <si>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</si>
  <si>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</si>
  <si>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</si>
  <si>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</si>
  <si>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</si>
  <si>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</si>
  <si>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</si>
  <si>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</si>
  <si>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</si>
  <si>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</si>
  <si>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</si>
  <si>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</si>
  <si>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</si>
  <si>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</si>
  <si>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</si>
  <si>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</si>
  <si>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</si>
  <si>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</si>
  <si>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</si>
  <si>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</si>
  <si>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</si>
  <si>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</si>
  <si>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</si>
  <si>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</si>
  <si>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</si>
  <si>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</si>
  <si>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</si>
  <si>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</si>
  <si>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</si>
  <si>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</si>
  <si>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</si>
  <si>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</si>
  <si>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</si>
  <si>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</si>
  <si>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</si>
  <si>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</si>
  <si>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</si>
  <si>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</si>
  <si>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</si>
  <si>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</si>
  <si>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</si>
  <si>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</si>
  <si>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</si>
  <si>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</si>
  <si>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</si>
  <si>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</si>
  <si>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</si>
  <si>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</si>
  <si>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</si>
  <si>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</si>
  <si>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</si>
  <si>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</si>
  <si>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</si>
  <si>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</si>
  <si>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</si>
  <si>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</si>
  <si>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</si>
  <si>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</si>
  <si>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</si>
  <si>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</si>
  <si>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</si>
  <si>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</si>
  <si>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</si>
  <si>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</si>
  <si>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</si>
  <si>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</si>
  <si>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</si>
  <si>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</si>
  <si>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</si>
  <si>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</si>
  <si>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</si>
  <si>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</si>
  <si>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</si>
  <si>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</si>
  <si>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</si>
  <si>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</si>
  <si>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</si>
  <si>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</si>
  <si>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</si>
  <si>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</si>
  <si>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</si>
  <si>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</si>
  <si>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</si>
  <si>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</si>
  <si>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</si>
  <si>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</si>
  <si>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</si>
  <si>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</si>
  <si>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</si>
  <si>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</si>
  <si>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</si>
  <si>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</si>
  <si>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</si>
  <si>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</si>
  <si>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</si>
  <si>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</si>
  <si>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</si>
  <si>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</si>
  <si>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</si>
  <si>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</si>
  <si>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</si>
  <si>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</si>
  <si>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</si>
  <si>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</si>
  <si>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</si>
  <si>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</si>
  <si>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</si>
  <si>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</si>
  <si>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</si>
  <si>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</si>
  <si>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</si>
  <si>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</si>
  <si>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</si>
  <si>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</si>
  <si>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</si>
  <si>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</si>
  <si>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</si>
  <si>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</si>
  <si>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</si>
  <si>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</si>
  <si>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</si>
  <si>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</si>
  <si>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</si>
  <si>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</si>
  <si>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</si>
  <si>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</si>
  <si>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</si>
  <si>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</si>
  <si>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</si>
  <si>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</si>
  <si>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</si>
  <si>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</si>
  <si>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</si>
  <si>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</si>
  <si>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</si>
  <si>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</si>
  <si>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</si>
  <si>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</si>
  <si>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</si>
  <si>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</si>
  <si>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</si>
  <si>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</si>
  <si>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</si>
  <si>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</si>
  <si>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</si>
  <si>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</si>
  <si>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</si>
  <si>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</si>
  <si>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</si>
  <si>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</si>
  <si>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</si>
  <si>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</si>
  <si>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</si>
  <si>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</si>
  <si>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</si>
  <si>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</si>
  <si>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</si>
  <si>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</si>
  <si>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</si>
  <si>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</si>
  <si>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</si>
  <si>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</si>
  <si>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</si>
  <si>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</si>
  <si>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</si>
  <si>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</si>
  <si>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</si>
  <si>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</si>
  <si>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</si>
  <si>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</si>
  <si>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</si>
  <si>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</si>
  <si>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</si>
  <si>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</si>
  <si>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</si>
  <si>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</si>
  <si>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</si>
  <si>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</si>
  <si>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</si>
  <si>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</si>
  <si>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</si>
  <si>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</si>
  <si>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</si>
  <si>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</si>
  <si>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</si>
  <si>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</si>
  <si>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</si>
  <si>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</si>
  <si>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</si>
  <si>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</si>
  <si>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</si>
  <si>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</si>
  <si>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</si>
  <si>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</si>
  <si>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</si>
  <si>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</si>
  <si>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</si>
  <si>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</si>
  <si>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</si>
  <si>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</si>
  <si>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</si>
  <si>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</si>
  <si>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</si>
  <si>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</si>
  <si>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</si>
  <si>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</si>
  <si>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</si>
  <si>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</si>
  <si>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</si>
  <si>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</si>
  <si>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</si>
  <si>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</si>
  <si>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</si>
  <si>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</si>
  <si>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</si>
  <si>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</si>
  <si>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</si>
  <si>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</si>
  <si>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</si>
  <si>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</si>
  <si>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</si>
  <si>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</si>
  <si>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</si>
  <si>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</si>
  <si>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</si>
  <si>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</si>
  <si>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</si>
  <si>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</si>
  <si>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</si>
  <si>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</si>
  <si>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</si>
  <si>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</si>
  <si>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</si>
  <si>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</si>
  <si>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</si>
  <si>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</si>
  <si>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</si>
  <si>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</si>
  <si>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</si>
  <si>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</si>
  <si>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</si>
  <si>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</si>
  <si>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</si>
  <si>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</si>
  <si>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</si>
  <si>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</si>
  <si>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</si>
  <si>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</si>
  <si>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</si>
  <si>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</si>
  <si>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</si>
  <si>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</si>
  <si>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</si>
  <si>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</si>
  <si>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</si>
  <si>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</si>
  <si>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</si>
  <si>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</si>
  <si>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</si>
  <si>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</si>
  <si>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</si>
  <si>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</si>
  <si>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</si>
  <si>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</si>
  <si>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</si>
  <si>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</si>
  <si>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</si>
  <si>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</si>
  <si>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</si>
  <si>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</si>
  <si>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</si>
  <si>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</si>
  <si>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</si>
  <si>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</si>
  <si>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</si>
  <si>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</si>
  <si>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</si>
  <si>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</si>
  <si>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</si>
  <si>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</si>
  <si>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</si>
  <si>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</si>
  <si>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</si>
  <si>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</si>
  <si>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</si>
  <si>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</si>
  <si>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</si>
  <si>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</si>
  <si>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</si>
  <si>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</si>
  <si>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</si>
  <si>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</si>
  <si>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</si>
  <si>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</si>
  <si>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</si>
  <si>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</si>
  <si>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</si>
  <si>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</si>
  <si>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</si>
  <si>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</si>
  <si>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</si>
  <si>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</si>
  <si>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</si>
  <si>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</si>
  <si>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</si>
  <si>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</si>
  <si>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</si>
  <si>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</si>
  <si>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</si>
  <si>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</si>
  <si>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</si>
  <si>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</si>
  <si>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</si>
  <si>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</si>
  <si>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</si>
  <si>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</si>
  <si>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</si>
  <si>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</si>
  <si>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</si>
  <si>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</si>
  <si>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</si>
  <si>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</si>
  <si>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</si>
  <si>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</si>
  <si>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</si>
  <si>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</si>
  <si>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</si>
  <si>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</si>
  <si>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</si>
  <si>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</si>
  <si>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</si>
  <si>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</si>
  <si>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</si>
  <si>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</si>
  <si>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</si>
  <si>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</si>
  <si>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</si>
  <si>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</si>
  <si>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</si>
  <si>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</si>
  <si>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</si>
  <si>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</si>
  <si>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</si>
  <si>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</si>
  <si>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</si>
  <si>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</si>
  <si>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</si>
  <si>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</si>
  <si>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</si>
  <si>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</si>
  <si>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</si>
  <si>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</si>
  <si>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</si>
  <si>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</si>
  <si>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</si>
  <si>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</si>
  <si>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</si>
  <si>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</si>
  <si>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</si>
  <si>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</si>
  <si>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</si>
  <si>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</si>
  <si>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</si>
  <si>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</si>
  <si>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</si>
  <si>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</si>
  <si>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</si>
  <si>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</si>
  <si>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</si>
  <si>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</si>
  <si>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</si>
  <si>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</si>
  <si>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</si>
  <si>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</si>
  <si>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</si>
  <si>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</si>
  <si>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</si>
  <si>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</si>
  <si>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</si>
  <si>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</si>
  <si>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</si>
  <si>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</si>
  <si>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</si>
  <si>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</si>
  <si>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</si>
  <si>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</si>
  <si>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</si>
  <si>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</si>
  <si>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</si>
  <si>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</si>
  <si>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</si>
  <si>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</si>
  <si>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</si>
  <si>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</si>
  <si>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</si>
  <si>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</si>
  <si>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</si>
  <si>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</si>
  <si>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</si>
  <si>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</si>
  <si>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</si>
  <si>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</si>
  <si>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</si>
  <si>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</si>
  <si>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</si>
  <si>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</si>
  <si>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</si>
  <si>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</si>
  <si>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</si>
  <si>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</si>
  <si>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</si>
  <si>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</si>
  <si>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</si>
  <si>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</si>
  <si>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</si>
  <si>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</si>
  <si>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</si>
  <si>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</si>
  <si>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</si>
  <si>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</si>
  <si>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</si>
  <si>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</si>
  <si>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</si>
  <si>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</si>
  <si>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</si>
  <si>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</si>
  <si>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</si>
  <si>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</si>
  <si>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</si>
  <si>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</si>
  <si>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</si>
  <si>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</si>
  <si>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</si>
  <si>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</si>
  <si>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</si>
  <si>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</si>
  <si>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</si>
  <si>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</si>
  <si>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</si>
  <si>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</si>
  <si>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</si>
  <si>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</si>
  <si>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</si>
  <si>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</si>
  <si>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</si>
  <si>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</si>
  <si>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</si>
  <si>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</si>
  <si>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</si>
  <si>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</si>
  <si>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</si>
  <si>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</si>
  <si>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</si>
  <si>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</si>
  <si>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</si>
  <si>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</si>
  <si>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</si>
  <si>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</si>
  <si>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</si>
  <si>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</si>
  <si>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</si>
  <si>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</si>
  <si>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</si>
  <si>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</si>
  <si>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</si>
  <si>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</si>
  <si>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</si>
  <si>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</si>
  <si>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</si>
  <si>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</si>
  <si>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</si>
  <si>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</si>
  <si>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</si>
  <si>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</si>
  <si>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</si>
  <si>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</si>
  <si>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</si>
  <si>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</si>
  <si>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</si>
  <si>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</si>
  <si>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</si>
  <si>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</si>
  <si>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</si>
  <si>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</si>
  <si>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</si>
  <si>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</si>
  <si>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</si>
  <si>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</si>
  <si>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</si>
  <si>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</si>
  <si>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</si>
  <si>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</si>
  <si>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</si>
  <si>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</si>
  <si>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</si>
  <si>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</si>
  <si>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</si>
  <si>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</si>
  <si>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</si>
  <si>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</si>
  <si>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</si>
  <si>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</si>
  <si>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</si>
  <si>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</si>
  <si>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</si>
  <si>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</si>
  <si>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</si>
  <si>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</si>
  <si>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</si>
  <si>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</si>
  <si>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</si>
  <si>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</si>
  <si>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</si>
  <si>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</si>
  <si>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</si>
  <si>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</si>
  <si>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</si>
  <si>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</si>
  <si>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</si>
  <si>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</si>
  <si>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</si>
  <si>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</si>
  <si>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</si>
  <si>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</si>
  <si>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</si>
  <si>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</si>
  <si>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</si>
  <si>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</si>
  <si>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</si>
  <si>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</si>
  <si>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</si>
  <si>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</si>
  <si>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</si>
  <si>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</si>
  <si>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</si>
  <si>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</si>
  <si>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</si>
  <si>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</si>
  <si>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</si>
  <si>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</si>
  <si>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</si>
  <si>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</si>
  <si>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</si>
  <si>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</si>
  <si>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</si>
  <si>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</si>
  <si>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</si>
  <si>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</si>
  <si>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</si>
  <si>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</si>
  <si>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</si>
  <si>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</si>
  <si>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</si>
  <si>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</si>
  <si>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</si>
  <si>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</si>
  <si>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</si>
  <si>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</si>
  <si>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</si>
  <si>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</si>
  <si>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</si>
  <si>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</si>
  <si>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</si>
  <si>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</si>
  <si>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</si>
  <si>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</si>
  <si>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</si>
  <si>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</si>
  <si>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</si>
  <si>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</si>
  <si>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</si>
  <si>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</si>
  <si>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</si>
  <si>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</si>
  <si>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</si>
  <si>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</si>
  <si>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</si>
  <si>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</si>
  <si>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</si>
  <si>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</si>
  <si>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</si>
  <si>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</si>
  <si>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</si>
  <si>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</si>
  <si>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</si>
  <si>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</si>
  <si>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</si>
  <si>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</si>
  <si>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</si>
  <si>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</si>
  <si>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</si>
  <si>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</si>
  <si>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</si>
  <si>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</si>
  <si>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</si>
  <si>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</si>
  <si>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</si>
  <si>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</si>
  <si>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</si>
  <si>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</si>
  <si>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</si>
  <si>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</si>
  <si>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</si>
  <si>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</si>
  <si>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</si>
  <si>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</si>
  <si>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</si>
  <si>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</si>
  <si>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</si>
  <si>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</si>
  <si>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</si>
  <si>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</si>
  <si>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</si>
  <si>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</si>
  <si>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</si>
  <si>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</si>
  <si>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</si>
  <si>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</si>
  <si>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</si>
  <si>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</si>
  <si>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</si>
  <si>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</si>
  <si>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</si>
  <si>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</si>
  <si>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</si>
  <si>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</si>
  <si>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</si>
  <si>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</si>
  <si>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</si>
  <si>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</si>
  <si>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</si>
  <si>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</si>
  <si>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</si>
  <si>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</si>
  <si>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</si>
  <si>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</si>
  <si>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</si>
  <si>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</si>
  <si>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</si>
  <si>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</si>
  <si>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</si>
  <si>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</si>
  <si>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</si>
  <si>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</si>
  <si>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</si>
  <si>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</si>
  <si>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</si>
  <si>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</si>
  <si>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</si>
  <si>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</si>
  <si>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</si>
  <si>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</si>
  <si>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</si>
  <si>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</si>
  <si>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</si>
  <si>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</si>
  <si>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</si>
  <si>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</si>
  <si>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</si>
  <si>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</si>
  <si>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</si>
  <si>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</si>
  <si>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</si>
  <si>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</si>
  <si>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</si>
  <si>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</si>
  <si>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</si>
  <si>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</si>
  <si>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</si>
  <si>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</si>
  <si>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</si>
  <si>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</si>
  <si>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</si>
  <si>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</si>
  <si>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</si>
  <si>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</si>
  <si>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</si>
  <si>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</si>
  <si>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</si>
  <si>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</si>
  <si>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</si>
  <si>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</si>
  <si>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</si>
  <si>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</si>
  <si>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</si>
  <si>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</si>
  <si>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</si>
  <si>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</si>
  <si>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</si>
  <si>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</si>
  <si>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</si>
  <si>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</si>
  <si>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</si>
  <si>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</si>
  <si>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</si>
  <si>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</si>
  <si>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</si>
  <si>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</si>
  <si>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</si>
  <si>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</si>
  <si>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</si>
  <si>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</si>
  <si>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</si>
  <si>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</si>
  <si>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</si>
  <si>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</si>
  <si>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</si>
  <si>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</si>
  <si>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</si>
  <si>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</si>
  <si>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</si>
  <si>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</si>
  <si>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</si>
  <si>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</si>
  <si>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</si>
  <si>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</si>
  <si>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</si>
  <si>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</si>
  <si>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</si>
  <si>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</si>
  <si>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</si>
  <si>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</si>
  <si>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</si>
  <si>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</si>
  <si>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</si>
  <si>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</si>
  <si>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</si>
  <si>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</si>
  <si>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</si>
  <si>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</si>
  <si>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</si>
  <si>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</si>
  <si>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</si>
  <si>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</si>
  <si>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</si>
  <si>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</si>
  <si>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</si>
  <si>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</si>
  <si>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</si>
  <si>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</si>
  <si>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</si>
  <si>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</si>
  <si>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</si>
  <si>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</si>
  <si>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</si>
  <si>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</si>
  <si>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</si>
  <si>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</si>
  <si>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</si>
  <si>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</si>
  <si>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</si>
  <si>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</si>
  <si>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</si>
  <si>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</si>
  <si>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</si>
  <si>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</si>
  <si>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</si>
  <si>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</si>
  <si>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</si>
  <si>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</si>
  <si>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</si>
  <si>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</si>
  <si>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</si>
  <si>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</si>
  <si>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</si>
  <si>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</si>
  <si>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</si>
  <si>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</si>
  <si>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</si>
  <si>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</si>
  <si>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</si>
  <si>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</si>
  <si>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</si>
  <si>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</si>
  <si>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</si>
  <si>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</si>
  <si>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</si>
  <si>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</si>
  <si>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</si>
  <si>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</si>
  <si>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</si>
  <si>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</si>
  <si>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</si>
  <si>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</si>
  <si>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</si>
  <si>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</si>
  <si>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</si>
  <si>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</si>
  <si>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</si>
  <si>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</si>
  <si>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</si>
  <si>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</si>
  <si>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</si>
  <si>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</si>
  <si>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</si>
  <si>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</si>
  <si>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</si>
  <si>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</si>
  <si>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</si>
  <si>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</si>
  <si>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</si>
  <si>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</si>
  <si>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</si>
  <si>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</si>
  <si>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</si>
  <si>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</si>
  <si>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</si>
  <si>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</si>
  <si>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</si>
  <si>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</si>
  <si>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</si>
  <si>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</si>
  <si>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</si>
  <si>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</si>
  <si>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</si>
  <si>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</si>
  <si>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</si>
  <si>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</si>
  <si>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</si>
  <si>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</si>
  <si>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</si>
  <si>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</si>
  <si>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</si>
  <si>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</si>
  <si>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</si>
  <si>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</si>
  <si>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</si>
  <si>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</si>
  <si>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</si>
  <si>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</si>
  <si>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</si>
  <si>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</si>
  <si>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</si>
  <si>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</si>
  <si>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</si>
  <si>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</si>
  <si>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</si>
  <si>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</si>
  <si>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</si>
  <si>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</si>
  <si>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</si>
  <si>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</si>
  <si>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</si>
  <si>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</si>
  <si>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</si>
  <si>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</si>
  <si>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</si>
  <si>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</si>
  <si>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</si>
  <si>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</si>
  <si>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</si>
  <si>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</si>
  <si>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</si>
  <si>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</si>
  <si>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</si>
  <si>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</si>
  <si>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</si>
  <si>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</si>
  <si>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</si>
  <si>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</si>
  <si>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</si>
  <si>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</si>
  <si>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</si>
  <si>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</si>
  <si>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</si>
  <si>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</si>
  <si>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</si>
  <si>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</si>
  <si>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</si>
  <si>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</si>
  <si>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</si>
  <si>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</si>
  <si>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</si>
  <si>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</si>
  <si>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</si>
  <si>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</si>
  <si>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</si>
  <si>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</si>
  <si>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</si>
  <si>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</si>
  <si>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</si>
  <si>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</si>
  <si>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</si>
  <si>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</si>
  <si>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</si>
  <si>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</si>
  <si>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</si>
  <si>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</si>
  <si>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</si>
  <si>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</si>
  <si>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</si>
  <si>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</si>
  <si>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</si>
  <si>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</si>
  <si>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</si>
  <si>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</si>
  <si>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</si>
  <si>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</si>
  <si>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</si>
  <si>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</si>
  <si>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</si>
  <si>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</si>
  <si>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</si>
  <si>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</si>
  <si>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</si>
  <si>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</si>
  <si>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</si>
  <si>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</si>
  <si>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</si>
  <si>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</si>
  <si>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</si>
  <si>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</si>
  <si>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</si>
  <si>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</si>
  <si>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</si>
  <si>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</si>
  <si>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</si>
  <si>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</si>
  <si>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</si>
  <si>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</si>
  <si>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</si>
  <si>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</si>
  <si>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</si>
  <si>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</si>
  <si>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</si>
  <si>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</si>
  <si>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</si>
  <si>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</si>
  <si>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</si>
  <si>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</si>
  <si>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</si>
  <si>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</si>
  <si>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</si>
  <si>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</si>
  <si>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</si>
  <si>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</si>
  <si>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</si>
  <si>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</si>
  <si>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</si>
  <si>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</si>
  <si>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</si>
  <si>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</si>
  <si>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</si>
  <si>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</si>
  <si>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</si>
  <si>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</si>
  <si>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</si>
  <si>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</si>
  <si>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</si>
  <si>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</si>
  <si>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</si>
  <si>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</si>
  <si>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</si>
  <si>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</si>
  <si>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</si>
  <si>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</si>
  <si>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</si>
  <si>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</si>
  <si>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</si>
  <si>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</si>
  <si>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</si>
  <si>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</si>
  <si>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</si>
  <si>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</si>
  <si>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</si>
  <si>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</si>
  <si>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</si>
  <si>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</si>
  <si>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</si>
  <si>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</si>
  <si>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</si>
  <si>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</si>
  <si>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</si>
  <si>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</si>
  <si>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</si>
  <si>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</si>
  <si>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</si>
  <si>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</si>
  <si>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</si>
  <si>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</si>
  <si>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</si>
  <si>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</si>
  <si>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</si>
  <si>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</si>
  <si>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</si>
  <si>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</si>
  <si>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</si>
  <si>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</si>
  <si>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</si>
  <si>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</si>
  <si>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</si>
  <si>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</si>
  <si>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</si>
  <si>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</si>
  <si>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</si>
  <si>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</si>
  <si>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</si>
  <si>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</si>
  <si>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</si>
  <si>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</si>
  <si>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</si>
  <si>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</si>
  <si>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</si>
  <si>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</si>
  <si>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</si>
  <si>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</si>
  <si>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</si>
  <si>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</si>
  <si>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</si>
  <si>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</si>
  <si>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</si>
  <si>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</si>
  <si>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</si>
  <si>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</si>
  <si>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</si>
  <si>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</si>
  <si>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</si>
  <si>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</si>
  <si>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</si>
  <si>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</si>
  <si>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</si>
  <si>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</si>
  <si>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</si>
  <si>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</si>
  <si>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</si>
  <si>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</si>
  <si>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</si>
  <si>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</si>
  <si>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</si>
  <si>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</si>
  <si>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</si>
  <si>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</si>
  <si>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</si>
  <si>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</si>
  <si>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</si>
  <si>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</si>
  <si>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</si>
  <si>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</si>
  <si>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</si>
  <si>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</si>
  <si>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</si>
  <si>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</si>
  <si>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</si>
  <si>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</si>
  <si>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</si>
  <si>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</si>
  <si>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</si>
  <si>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</si>
  <si>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</si>
  <si>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</si>
  <si>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</si>
  <si>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</si>
  <si>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</si>
  <si>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</si>
  <si>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</si>
  <si>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</si>
  <si>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</si>
  <si>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</si>
  <si>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</si>
  <si>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</si>
  <si>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</si>
  <si>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</si>
  <si>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</si>
  <si>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</si>
  <si>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</si>
  <si>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</si>
  <si>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</si>
  <si>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</si>
  <si>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</si>
  <si>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</si>
  <si>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</si>
  <si>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</si>
  <si>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</si>
  <si>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</si>
  <si>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</si>
  <si>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</si>
  <si>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</si>
  <si>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</si>
  <si>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</si>
  <si>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</si>
  <si>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</si>
  <si>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</si>
  <si>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</si>
  <si>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</si>
  <si>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</si>
  <si>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</si>
  <si>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</si>
  <si>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</si>
  <si>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</si>
  <si>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</si>
  <si>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</si>
  <si>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</si>
  <si>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</si>
  <si>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</si>
  <si>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</si>
  <si>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</si>
  <si>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</si>
  <si>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</si>
  <si>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</si>
  <si>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</si>
  <si>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</si>
  <si>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</si>
  <si>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</si>
  <si>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</si>
  <si>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</si>
  <si>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</si>
  <si>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</si>
  <si>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</si>
  <si>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</si>
  <si>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</si>
  <si>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</si>
  <si>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</si>
  <si>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</si>
  <si>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</si>
  <si>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</si>
  <si>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</si>
  <si>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</si>
  <si>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</si>
  <si>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</si>
  <si>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</si>
  <si>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</si>
  <si>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</si>
  <si>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</si>
  <si>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</si>
  <si>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</si>
  <si>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</si>
  <si>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</si>
  <si>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</si>
  <si>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</si>
  <si>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</si>
  <si>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</si>
  <si>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</si>
  <si>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</si>
  <si>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</si>
  <si>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</si>
  <si>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</si>
  <si>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</si>
  <si>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</si>
  <si>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</si>
  <si>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</si>
  <si>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</si>
  <si>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</si>
  <si>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</si>
  <si>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</si>
  <si>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</si>
  <si>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</si>
  <si>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</si>
  <si>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</si>
  <si>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</si>
  <si>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</si>
  <si>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</si>
  <si>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</si>
  <si>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</si>
  <si>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</si>
  <si>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</si>
  <si>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</si>
  <si>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</si>
  <si>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</si>
  <si>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</si>
  <si>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</si>
  <si>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</si>
  <si>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</si>
  <si>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</si>
  <si>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</si>
  <si>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</si>
  <si>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</si>
  <si>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</si>
  <si>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</si>
  <si>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</si>
  <si>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</si>
  <si>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</si>
  <si>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</si>
  <si>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</si>
  <si>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</si>
  <si>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</si>
  <si>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</si>
  <si>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</si>
  <si>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</si>
  <si>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</si>
  <si>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</si>
  <si>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</si>
  <si>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</si>
  <si>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</si>
  <si>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</si>
  <si>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</si>
  <si>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</si>
  <si>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</si>
  <si>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</si>
  <si>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</si>
  <si>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</si>
  <si>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</si>
  <si>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</si>
  <si>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</si>
  <si>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</si>
  <si>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</si>
  <si>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</si>
  <si>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</si>
  <si>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</si>
  <si>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</si>
  <si>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</si>
  <si>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</si>
  <si>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</si>
  <si>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</si>
  <si>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</si>
  <si>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</si>
  <si>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</si>
  <si>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</si>
  <si>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</si>
  <si>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</si>
  <si>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</si>
  <si>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</si>
  <si>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</si>
  <si>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</si>
  <si>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</si>
  <si>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</si>
  <si>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</si>
  <si>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</si>
  <si>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</si>
  <si>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</si>
  <si>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</si>
  <si>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</si>
  <si>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</si>
  <si>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</si>
  <si>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</si>
  <si>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</si>
  <si>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</si>
  <si>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</si>
  <si>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</si>
  <si>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</si>
  <si>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</si>
  <si>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</si>
  <si>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</si>
  <si>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</si>
  <si>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</si>
  <si>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</si>
  <si>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</si>
  <si>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</si>
  <si>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</si>
  <si>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</si>
  <si>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</si>
  <si>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</si>
  <si>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</si>
  <si>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</si>
  <si>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</si>
  <si>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</si>
  <si>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</si>
  <si>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</si>
  <si>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</si>
  <si>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</si>
  <si>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</si>
  <si>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</si>
  <si>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</si>
  <si>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</si>
  <si>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</si>
  <si>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</si>
  <si>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</si>
  <si>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</si>
  <si>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</si>
  <si>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</si>
  <si>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</si>
  <si>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</si>
  <si>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</si>
  <si>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</si>
  <si>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</si>
  <si>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</si>
  <si>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</si>
  <si>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</si>
  <si>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</si>
  <si>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</si>
  <si>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</si>
  <si>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</si>
  <si>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</si>
  <si>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</si>
  <si>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</si>
  <si>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</si>
  <si>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</si>
  <si>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</si>
  <si>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</si>
  <si>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</si>
  <si>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</si>
  <si>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</si>
  <si>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</si>
  <si>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</si>
  <si>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</si>
  <si>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</si>
  <si>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</si>
  <si>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</si>
  <si>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</si>
  <si>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</si>
  <si>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</si>
  <si>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</si>
  <si>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</si>
  <si>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</si>
  <si>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</si>
  <si>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</si>
  <si>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</si>
  <si>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</si>
  <si>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</si>
  <si>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</si>
  <si>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</si>
  <si>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</si>
  <si>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</si>
  <si>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</si>
  <si>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</si>
  <si>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</si>
  <si>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</si>
  <si>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</si>
  <si>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</si>
  <si>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</si>
  <si>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</si>
  <si>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</si>
  <si>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</si>
  <si>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</si>
  <si>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</si>
  <si>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</si>
  <si>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</si>
  <si>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</si>
  <si>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</si>
  <si>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</si>
  <si>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</si>
  <si>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</si>
  <si>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</si>
  <si>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</si>
  <si>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</si>
  <si>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</si>
  <si>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</si>
  <si>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</si>
  <si>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</si>
  <si>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</si>
  <si>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</si>
  <si>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</si>
  <si>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</si>
  <si>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</si>
  <si>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</si>
  <si>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</si>
  <si>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</si>
  <si>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</si>
  <si>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</si>
  <si>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</si>
  <si>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</si>
  <si>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</si>
  <si>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</si>
  <si>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</si>
  <si>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</si>
  <si>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</si>
  <si>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</si>
  <si>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</si>
  <si>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</si>
  <si>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</si>
  <si>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</si>
  <si>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</si>
  <si>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</si>
  <si>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</si>
  <si>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</si>
  <si>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</si>
  <si>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</si>
  <si>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</si>
  <si>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</si>
  <si>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</si>
  <si>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</si>
  <si>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</si>
  <si>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</si>
  <si>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</si>
  <si>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</si>
  <si>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</si>
  <si>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</si>
  <si>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</si>
  <si>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</si>
  <si>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</si>
  <si>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</si>
  <si>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</si>
  <si>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</si>
  <si>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</si>
  <si>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</si>
  <si>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</si>
  <si>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</si>
  <si>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</si>
  <si>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</si>
  <si>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</si>
  <si>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</si>
  <si>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</si>
  <si>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</si>
  <si>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</si>
  <si>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</si>
  <si>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</si>
  <si>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</si>
  <si>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</si>
  <si>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</si>
  <si>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</si>
  <si>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</si>
  <si>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</si>
  <si>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</si>
  <si>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</si>
  <si>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</si>
  <si>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</si>
  <si>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</si>
  <si>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</si>
  <si>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</si>
  <si>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</si>
  <si>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</si>
  <si>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</si>
  <si>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</si>
  <si>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</si>
  <si>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</si>
  <si>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</si>
  <si>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</si>
  <si>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</si>
  <si>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</si>
  <si>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</si>
  <si>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</si>
  <si>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</si>
  <si>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</si>
  <si>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</si>
  <si>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</si>
  <si>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</si>
  <si>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</si>
  <si>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</si>
  <si>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</si>
  <si>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</si>
  <si>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</si>
  <si>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</si>
  <si>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</si>
  <si>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</si>
  <si>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</si>
  <si>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</si>
  <si>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</si>
  <si>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</si>
  <si>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</si>
  <si>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</si>
  <si>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</si>
  <si>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</si>
  <si>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</si>
  <si>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</si>
  <si>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</si>
  <si>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</si>
  <si>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</si>
  <si>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</si>
  <si>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</si>
  <si>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</si>
  <si>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</si>
  <si>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</si>
  <si>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</si>
  <si>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</si>
  <si>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</si>
  <si>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</si>
  <si>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</si>
  <si>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</si>
  <si>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</si>
  <si>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</si>
  <si>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</si>
  <si>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</si>
  <si>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</si>
  <si>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</si>
  <si>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</si>
  <si>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</si>
  <si>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</si>
  <si>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</si>
  <si>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</si>
  <si>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</si>
  <si>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</si>
  <si>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</si>
  <si>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</si>
  <si>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</si>
  <si>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</si>
  <si>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</si>
  <si>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</si>
  <si>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</si>
  <si>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</si>
  <si>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</si>
  <si>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</si>
  <si>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</si>
  <si>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</si>
  <si>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</si>
  <si>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</si>
  <si>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</si>
  <si>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</si>
  <si>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</si>
  <si>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</si>
  <si>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</si>
  <si>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</si>
  <si>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</si>
  <si>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</si>
  <si>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</si>
  <si>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</si>
  <si>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</si>
  <si>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</si>
  <si>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</si>
  <si>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</si>
  <si>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</si>
  <si>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</si>
  <si>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</si>
  <si>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</si>
  <si>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</si>
  <si>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</si>
  <si>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</si>
  <si>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</si>
  <si>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</si>
  <si>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</si>
  <si>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</si>
  <si>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</si>
  <si>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</si>
  <si>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</si>
  <si>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</si>
  <si>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</si>
  <si>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</si>
  <si>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</si>
  <si>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</si>
  <si>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</si>
  <si>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</si>
  <si>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</si>
  <si>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</si>
  <si>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</si>
  <si>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</si>
  <si>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</si>
  <si>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</si>
  <si>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</si>
  <si>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</si>
  <si>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</si>
  <si>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</si>
  <si>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</si>
  <si>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</si>
  <si>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</si>
  <si>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</si>
  <si>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</si>
  <si>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</si>
  <si>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</si>
  <si>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</si>
  <si>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</si>
  <si>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</si>
  <si>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</si>
  <si>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</si>
  <si>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</si>
  <si>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</si>
  <si>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</si>
  <si>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</si>
  <si>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</si>
  <si>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</si>
  <si>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</si>
  <si>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</si>
  <si>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</si>
  <si>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</si>
  <si>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</si>
  <si>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</si>
  <si>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</si>
  <si>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</si>
  <si>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</si>
  <si>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</si>
  <si>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</si>
  <si>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</si>
  <si>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</si>
  <si>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</si>
  <si>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</si>
  <si>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</si>
  <si>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</si>
  <si>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</si>
  <si>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</si>
  <si>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</si>
  <si>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</si>
  <si>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</si>
  <si>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</si>
  <si>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</si>
  <si>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</si>
  <si>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</si>
  <si>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</si>
  <si>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</si>
  <si>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</si>
  <si>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</si>
  <si>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</si>
  <si>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</si>
  <si>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</si>
  <si>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</si>
  <si>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</si>
  <si>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</si>
  <si>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</si>
  <si>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</si>
  <si>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</si>
  <si>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</si>
  <si>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</si>
  <si>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</si>
  <si>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</si>
  <si>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</si>
  <si>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</si>
  <si>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</si>
  <si>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</si>
  <si>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</si>
  <si>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</si>
  <si>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</si>
  <si>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</si>
  <si>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</si>
  <si>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</si>
  <si>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</si>
  <si>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</si>
  <si>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</si>
  <si>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</si>
  <si>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</si>
  <si>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</si>
  <si>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</si>
  <si>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</si>
  <si>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</si>
  <si>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</si>
  <si>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</si>
  <si>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</si>
  <si>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</si>
  <si>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</si>
  <si>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</si>
  <si>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</si>
  <si>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</si>
  <si>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</si>
  <si>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</si>
  <si>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</si>
  <si>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</si>
  <si>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</si>
  <si>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</si>
  <si>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</si>
  <si>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</si>
  <si>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</si>
  <si>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</si>
  <si>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</si>
  <si>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</si>
  <si>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</si>
  <si>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</si>
  <si>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</si>
  <si>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</si>
  <si>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</si>
  <si>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</si>
  <si>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</si>
  <si>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</si>
  <si>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</si>
  <si>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</si>
  <si>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</si>
  <si>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</si>
  <si>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</si>
  <si>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</si>
  <si>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</si>
  <si>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</si>
  <si>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</si>
  <si>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</si>
  <si>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</si>
  <si>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</si>
  <si>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</si>
  <si>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</si>
  <si>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</si>
  <si>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</si>
  <si>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</si>
  <si>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</si>
  <si>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</si>
  <si>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</si>
  <si>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</si>
  <si>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</si>
  <si>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</si>
  <si>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</si>
  <si>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</si>
  <si>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</si>
  <si>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</si>
  <si>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</si>
  <si>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</si>
  <si>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</si>
  <si>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</si>
  <si>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</si>
  <si>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</si>
  <si>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</si>
  <si>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</si>
  <si>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</si>
  <si>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</si>
  <si>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</si>
  <si>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</si>
  <si>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</si>
  <si>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</si>
  <si>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</si>
  <si>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</si>
  <si>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</si>
  <si>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</si>
  <si>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</si>
  <si>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</si>
  <si>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</si>
  <si>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</si>
  <si>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</si>
  <si>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</si>
  <si>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</si>
  <si>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</si>
  <si>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</si>
  <si>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</si>
  <si>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</si>
  <si>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</si>
  <si>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</si>
  <si>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</si>
  <si>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</si>
  <si>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</si>
  <si>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</si>
  <si>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</si>
  <si>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</si>
  <si>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</si>
  <si>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</si>
  <si>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</si>
  <si>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</si>
  <si>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</si>
  <si>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</si>
  <si>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</si>
  <si>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</si>
  <si>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</si>
  <si>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</si>
  <si>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</si>
  <si>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</si>
  <si>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</si>
  <si>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</si>
  <si>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</si>
  <si>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</si>
  <si>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</si>
  <si>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</si>
  <si>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</si>
  <si>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</si>
  <si>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</si>
  <si>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</si>
  <si>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</si>
  <si>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</si>
  <si>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</si>
  <si>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</si>
  <si>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</si>
  <si>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</si>
  <si>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</si>
  <si>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</si>
  <si>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</si>
  <si>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</si>
  <si>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</si>
  <si>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</si>
  <si>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</si>
  <si>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</si>
  <si>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</si>
  <si>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</si>
  <si>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</si>
  <si>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</si>
  <si>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</si>
  <si>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</si>
  <si>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</si>
  <si>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</si>
  <si>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</si>
  <si>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</si>
  <si>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</si>
  <si>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</si>
  <si>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</si>
  <si>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</si>
  <si>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</si>
  <si>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</si>
  <si>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</si>
  <si>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</si>
  <si>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</si>
  <si>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</si>
  <si>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</si>
  <si>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</si>
  <si>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</si>
  <si>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</si>
  <si>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</si>
  <si>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</si>
  <si>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</si>
  <si>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</si>
  <si>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</si>
  <si>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</si>
  <si>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</si>
  <si>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</si>
  <si>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</si>
  <si>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</si>
  <si>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</si>
  <si>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</si>
  <si>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</si>
  <si>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</si>
  <si>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</si>
  <si>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</si>
  <si>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</si>
  <si>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</si>
  <si>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</si>
  <si>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</si>
  <si>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</si>
  <si>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</si>
  <si>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</si>
  <si>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</si>
  <si>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</si>
  <si>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</si>
  <si>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</si>
  <si>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</si>
  <si>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</si>
  <si>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</si>
  <si>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</si>
  <si>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</si>
  <si>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</si>
  <si>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</si>
  <si>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</si>
  <si>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</si>
  <si>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</si>
  <si>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</si>
  <si>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</si>
  <si>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</si>
  <si>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</si>
  <si>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</si>
  <si>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</si>
  <si>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</si>
  <si>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</si>
  <si>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</si>
  <si>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</si>
  <si>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</si>
  <si>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</si>
  <si>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</si>
  <si>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</si>
  <si>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</si>
  <si>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</si>
  <si>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</si>
  <si>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</si>
  <si>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</si>
  <si>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</si>
  <si>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</si>
  <si>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</si>
  <si>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</si>
  <si>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</si>
  <si>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</si>
  <si>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</si>
  <si>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</si>
  <si>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</si>
  <si>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</si>
  <si>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</si>
  <si>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</si>
  <si>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</si>
  <si>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</si>
  <si>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</si>
  <si>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</si>
  <si>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</si>
  <si>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</si>
  <si>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</si>
  <si>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</si>
  <si>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</si>
  <si>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</si>
  <si>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</si>
  <si>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</si>
  <si>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</si>
  <si>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</si>
  <si>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</si>
  <si>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</si>
  <si>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</si>
  <si>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</si>
  <si>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</si>
  <si>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</si>
  <si>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</si>
  <si>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</si>
  <si>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</si>
  <si>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</si>
  <si>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</si>
  <si>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</si>
  <si>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</si>
  <si>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</si>
  <si>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</si>
  <si>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</si>
  <si>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</si>
  <si>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</si>
  <si>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</si>
  <si>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</si>
  <si>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</si>
  <si>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</si>
  <si>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</si>
  <si>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</si>
  <si>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</si>
  <si>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</si>
  <si>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</si>
  <si>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</si>
  <si>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</si>
  <si>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</si>
  <si>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</si>
  <si>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</si>
  <si>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</si>
  <si>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</si>
  <si>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</si>
  <si>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</si>
  <si>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</si>
  <si>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</si>
  <si>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</si>
  <si>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</si>
  <si>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</si>
  <si>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</si>
  <si>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</si>
  <si>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</si>
  <si>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</si>
  <si>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</si>
  <si>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</si>
  <si>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</si>
  <si>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</si>
  <si>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</si>
  <si>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</si>
  <si>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</si>
  <si>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</si>
  <si>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</si>
  <si>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</si>
  <si>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</si>
  <si>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</si>
  <si>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</si>
  <si>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</si>
  <si>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</si>
  <si>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</si>
  <si>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</si>
  <si>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</si>
  <si>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</si>
  <si>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</si>
  <si>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</si>
  <si>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</si>
  <si>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</si>
  <si>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</si>
  <si>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</si>
  <si>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</si>
  <si>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</si>
  <si>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</si>
  <si>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</si>
  <si>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</si>
  <si>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</si>
  <si>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</si>
  <si>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</si>
  <si>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</si>
  <si>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</si>
  <si>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</si>
  <si>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</si>
  <si>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</si>
  <si>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</si>
  <si>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</si>
  <si>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</si>
  <si>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</si>
  <si>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</si>
  <si>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</si>
  <si>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</si>
  <si>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</si>
  <si>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</si>
  <si>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</si>
  <si>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</si>
  <si>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</si>
  <si>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</si>
  <si>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</si>
  <si>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</si>
  <si>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</si>
  <si>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</si>
  <si>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</si>
  <si>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</si>
  <si>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</si>
  <si>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</si>
  <si>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</si>
  <si>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</si>
  <si>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</si>
  <si>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</si>
  <si>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</si>
  <si>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</si>
  <si>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</si>
  <si>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</si>
  <si>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</si>
  <si>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</si>
  <si>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</si>
  <si>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</si>
  <si>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</si>
  <si>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</si>
  <si>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</si>
  <si>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</si>
  <si>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</si>
  <si>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</si>
  <si>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</si>
  <si>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</si>
  <si>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</si>
  <si>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</si>
  <si>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</si>
  <si>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</si>
  <si>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</si>
  <si>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</si>
  <si>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</si>
  <si>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</si>
  <si>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</si>
  <si>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</si>
  <si>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</si>
  <si>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</si>
  <si>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</si>
  <si>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</si>
  <si>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</si>
  <si>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</si>
  <si>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</si>
  <si>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</si>
  <si>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</si>
  <si>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</si>
  <si>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</si>
  <si>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</si>
  <si>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</si>
  <si>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</si>
  <si>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</si>
  <si>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</si>
  <si>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</si>
  <si>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</si>
  <si>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</si>
  <si>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</si>
  <si>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</si>
  <si>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</si>
  <si>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</si>
  <si>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</si>
  <si>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</si>
  <si>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</si>
  <si>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</si>
  <si>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</si>
  <si>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</si>
  <si>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</si>
  <si>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</si>
  <si>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</si>
  <si>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</si>
  <si>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</si>
  <si>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</si>
  <si>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</si>
  <si>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</si>
  <si>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</si>
  <si>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</si>
  <si>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</si>
  <si>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</si>
  <si>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</si>
  <si>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</si>
  <si>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</si>
  <si>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</si>
  <si>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</si>
  <si>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</si>
  <si>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</si>
  <si>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</si>
  <si>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</si>
  <si>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</si>
  <si>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</si>
  <si>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</si>
  <si>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</si>
  <si>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</si>
  <si>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</si>
  <si>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</si>
  <si>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</si>
  <si>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</si>
  <si>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</si>
  <si>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</si>
  <si>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</si>
  <si>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</si>
  <si>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</si>
  <si>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</si>
  <si>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</si>
  <si>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</si>
  <si>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</si>
  <si>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</si>
  <si>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</si>
  <si>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</si>
  <si>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</si>
  <si>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</si>
  <si>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</si>
  <si>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</si>
  <si>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</si>
  <si>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</si>
  <si>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</si>
  <si>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</si>
  <si>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</si>
  <si>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</si>
  <si>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</si>
  <si>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</si>
  <si>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</si>
  <si>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</si>
  <si>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</si>
  <si>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</si>
  <si>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</si>
  <si>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</si>
  <si>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</si>
  <si>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</si>
  <si>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</si>
  <si>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</si>
  <si>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</si>
  <si>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</si>
  <si>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</si>
  <si>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</si>
  <si>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</si>
  <si>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</si>
  <si>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</si>
  <si>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</si>
  <si>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</si>
  <si>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</si>
  <si>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</si>
  <si>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</si>
  <si>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</si>
  <si>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</si>
  <si>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</si>
  <si>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</si>
  <si>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</si>
  <si>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</si>
  <si>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</si>
  <si>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</si>
  <si>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</si>
  <si>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</si>
  <si>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</si>
  <si>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</si>
  <si>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</si>
  <si>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</si>
  <si>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</si>
  <si>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</si>
  <si>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</si>
  <si>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</si>
  <si>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</si>
  <si>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</si>
  <si>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</si>
  <si>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</si>
  <si>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</si>
  <si>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</si>
  <si>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</si>
  <si>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</si>
  <si>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</si>
  <si>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</si>
  <si>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</si>
  <si>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</si>
  <si>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</si>
  <si>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</si>
  <si>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</si>
  <si>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</si>
  <si>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</si>
  <si>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</si>
  <si>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</si>
  <si>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</si>
  <si>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</si>
  <si>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</si>
  <si>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</si>
  <si>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</si>
  <si>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</si>
  <si>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</si>
  <si>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</si>
  <si>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</si>
  <si>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</si>
  <si>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</si>
  <si>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</si>
  <si>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</si>
  <si>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</si>
  <si>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</si>
  <si>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</si>
  <si>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</si>
  <si>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</si>
  <si>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</si>
  <si>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</si>
  <si>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</si>
  <si>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</si>
  <si>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</si>
  <si>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</si>
  <si>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</si>
  <si>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</si>
  <si>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</si>
  <si>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</si>
  <si>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</si>
  <si>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</si>
  <si>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</si>
  <si>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</si>
  <si>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</si>
  <si>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</si>
  <si>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</si>
  <si>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</si>
  <si>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</si>
  <si>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</si>
  <si>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</si>
  <si>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</si>
  <si>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</si>
  <si>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</si>
  <si>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</si>
  <si>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</si>
  <si>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</si>
  <si>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</si>
  <si>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</si>
  <si>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</si>
  <si>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</si>
  <si>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</si>
  <si>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</si>
  <si>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</si>
  <si>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</si>
  <si>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</si>
  <si>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</si>
  <si>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</si>
  <si>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</si>
  <si>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</si>
  <si>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</si>
  <si>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</si>
  <si>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</si>
  <si>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</si>
  <si>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</si>
  <si>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</si>
  <si>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</si>
  <si>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</si>
  <si>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</si>
  <si>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</si>
  <si>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</si>
  <si>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</si>
  <si>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</si>
  <si>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</si>
  <si>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</si>
  <si>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</si>
  <si>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</si>
  <si>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</si>
  <si>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</si>
  <si>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</si>
  <si>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</si>
  <si>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</si>
  <si>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</si>
  <si>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</si>
  <si>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</si>
  <si>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</si>
  <si>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</si>
  <si>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</si>
  <si>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</si>
  <si>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</si>
  <si>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</si>
  <si>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</si>
  <si>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</si>
  <si>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</si>
  <si>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</si>
  <si>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</si>
  <si>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</si>
  <si>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</si>
  <si>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</si>
  <si>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</si>
  <si>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</si>
  <si>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</si>
  <si>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</si>
  <si>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</si>
  <si>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</si>
  <si>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</si>
  <si>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</si>
  <si>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</si>
  <si>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</si>
  <si>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</si>
  <si>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</si>
  <si>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</si>
  <si>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</si>
  <si>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</si>
  <si>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</si>
  <si>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</si>
  <si>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</si>
  <si>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</si>
  <si>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</si>
  <si>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</si>
  <si>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</si>
  <si>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</si>
  <si>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</si>
  <si>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</si>
  <si>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</si>
  <si>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</si>
  <si>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</si>
  <si>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</si>
  <si>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</si>
  <si>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</si>
  <si>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</si>
  <si>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</si>
  <si>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</si>
  <si>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</si>
  <si>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</si>
  <si>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</si>
  <si>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</si>
  <si>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</si>
  <si>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</si>
  <si>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</si>
  <si>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</si>
  <si>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</si>
  <si>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</si>
  <si>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</si>
  <si>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</si>
  <si>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</si>
  <si>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</si>
  <si>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</si>
  <si>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</si>
  <si>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</si>
  <si>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</si>
  <si>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</si>
  <si>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</si>
  <si>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</si>
  <si>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</si>
  <si>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</si>
  <si>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</si>
  <si>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</si>
  <si>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</si>
  <si>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</si>
  <si>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</si>
  <si>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</si>
  <si>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</si>
  <si>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</si>
  <si>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</si>
  <si>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</si>
  <si>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</si>
  <si>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</si>
  <si>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</si>
  <si>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</si>
  <si>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</si>
  <si>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</si>
  <si>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</si>
  <si>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</si>
  <si>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</si>
  <si>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</si>
  <si>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</si>
  <si>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</si>
  <si>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</si>
  <si>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</si>
  <si>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</si>
  <si>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</si>
  <si>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</si>
  <si>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</si>
  <si>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</si>
  <si>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</si>
  <si>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</si>
  <si>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</si>
  <si>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</si>
  <si>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</si>
  <si>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</si>
  <si>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</si>
  <si>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</si>
  <si>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</si>
  <si>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</si>
  <si>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</si>
  <si>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</si>
  <si>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</si>
  <si>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</si>
  <si>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</si>
  <si>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</si>
  <si>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</si>
  <si>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</si>
  <si>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</si>
  <si>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</si>
  <si>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</si>
  <si>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</si>
  <si>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</si>
  <si>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</si>
  <si>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</si>
  <si>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</si>
  <si>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</si>
  <si>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</si>
  <si>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</si>
  <si>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</si>
  <si>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</si>
  <si>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</si>
  <si>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</si>
  <si>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</si>
  <si>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</si>
  <si>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</si>
  <si>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</si>
  <si>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</si>
  <si>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</si>
  <si>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</si>
  <si>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</si>
  <si>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</si>
  <si>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</si>
  <si>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</si>
  <si>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</si>
  <si>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</si>
  <si>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</si>
  <si>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</si>
  <si>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</si>
  <si>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</si>
  <si>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</si>
  <si>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</si>
  <si>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</si>
  <si>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</si>
  <si>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</si>
  <si>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</si>
  <si>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</si>
  <si>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</si>
  <si>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</si>
  <si>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</si>
  <si>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</si>
  <si>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</si>
  <si>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</si>
  <si>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</si>
  <si>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</si>
  <si>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</si>
  <si>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</si>
  <si>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</si>
  <si>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</si>
  <si>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</si>
  <si>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</si>
  <si>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</si>
  <si>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</si>
  <si>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</si>
  <si>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</si>
  <si>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</si>
  <si>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</si>
  <si>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</si>
  <si>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</si>
  <si>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</si>
  <si>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</si>
  <si>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</si>
  <si>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</si>
  <si>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</si>
  <si>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</si>
  <si>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</si>
  <si>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</si>
  <si>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</si>
  <si>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</si>
  <si>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</si>
  <si>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</si>
  <si>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</si>
  <si>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</si>
  <si>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</si>
  <si>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</si>
  <si>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</si>
  <si>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</si>
  <si>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</si>
  <si>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</si>
  <si>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</si>
  <si>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</si>
  <si>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</si>
  <si>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</si>
  <si>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</si>
  <si>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</si>
  <si>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</si>
  <si>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</si>
  <si>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</si>
  <si>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</si>
  <si>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</si>
  <si>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</si>
  <si>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</si>
  <si>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</si>
  <si>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</si>
  <si>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</si>
  <si>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</si>
  <si>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</si>
  <si>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</si>
  <si>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</si>
  <si>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</si>
  <si>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</si>
  <si>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</si>
  <si>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</si>
  <si>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</si>
  <si>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</si>
  <si>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</si>
  <si>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</si>
  <si>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</si>
  <si>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</si>
  <si>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</si>
  <si>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</si>
  <si>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</si>
  <si>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</si>
  <si>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</si>
  <si>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</si>
  <si>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</si>
  <si>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</si>
  <si>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</si>
  <si>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</si>
  <si>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</si>
  <si>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</si>
  <si>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</si>
  <si>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</si>
  <si>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</si>
  <si>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</si>
  <si>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</si>
  <si>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</si>
  <si>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</si>
  <si>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</si>
  <si>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</si>
  <si>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</si>
  <si>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</si>
  <si>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</si>
  <si>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</si>
  <si>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</si>
  <si>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</si>
  <si>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</si>
  <si>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</si>
  <si>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</si>
  <si>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</si>
  <si>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</si>
  <si>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</si>
  <si>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</si>
  <si>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</si>
  <si>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</si>
  <si>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</si>
  <si>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</si>
  <si>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</si>
  <si>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</si>
  <si>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</si>
  <si>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</si>
  <si>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</si>
  <si>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</si>
  <si>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</si>
  <si>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</si>
  <si>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</si>
  <si>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</si>
  <si>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</si>
  <si>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</si>
  <si>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</si>
  <si>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</si>
  <si>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</si>
  <si>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</si>
  <si>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</si>
  <si>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</si>
  <si>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</si>
  <si>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</si>
  <si>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</si>
  <si>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</si>
  <si>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</si>
  <si>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</si>
  <si>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</si>
  <si>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</si>
  <si>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</si>
  <si>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</si>
  <si>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</si>
  <si>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</si>
  <si>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</si>
  <si>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</si>
  <si>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</si>
  <si>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</si>
  <si>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</si>
  <si>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</si>
  <si>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</si>
  <si>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</si>
  <si>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</si>
  <si>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</si>
  <si>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</si>
  <si>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</si>
  <si>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</si>
  <si>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</si>
  <si>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</si>
  <si>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</si>
  <si>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</si>
  <si>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</si>
  <si>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</si>
  <si>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</si>
  <si>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</si>
  <si>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</si>
  <si>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</si>
  <si>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</si>
  <si>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</si>
  <si>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</si>
  <si>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</si>
  <si>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</si>
  <si>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</si>
  <si>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</si>
  <si>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</si>
  <si>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</si>
  <si>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</si>
  <si>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</si>
  <si>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</si>
  <si>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</si>
  <si>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</si>
  <si>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</si>
  <si>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</si>
  <si>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</si>
  <si>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</si>
  <si>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</si>
  <si>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</si>
  <si>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</si>
  <si>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</si>
  <si>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</si>
  <si>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</si>
  <si>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</si>
  <si>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</si>
  <si>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</si>
  <si>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</si>
  <si>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</si>
  <si>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</si>
  <si>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</si>
  <si>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</si>
  <si>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</si>
  <si>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</si>
  <si>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</si>
  <si>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</si>
  <si>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</si>
  <si>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</si>
  <si>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</si>
  <si>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</si>
  <si>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</si>
  <si>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</si>
  <si>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</si>
  <si>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</si>
  <si>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</si>
  <si>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</si>
  <si>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</si>
  <si>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</si>
  <si>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</si>
  <si>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</si>
  <si>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</si>
  <si>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</si>
  <si>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</si>
  <si>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</si>
  <si>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</si>
  <si>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</si>
  <si>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</si>
  <si>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</si>
  <si>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</si>
  <si>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</si>
  <si>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</si>
  <si>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</si>
  <si>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</si>
  <si>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</si>
  <si>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</si>
  <si>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</si>
  <si>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</si>
  <si>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</si>
  <si>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</si>
  <si>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</si>
  <si>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</si>
  <si>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</si>
  <si>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</si>
  <si>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</si>
  <si>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</si>
  <si>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</si>
  <si>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</si>
  <si>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</si>
  <si>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</si>
  <si>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</si>
  <si>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</si>
  <si>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</si>
  <si>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</si>
  <si>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</si>
  <si>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</si>
  <si>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</si>
  <si>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</si>
  <si>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</si>
  <si>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</si>
  <si>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</si>
  <si>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</si>
  <si>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</si>
  <si>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</si>
  <si>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</si>
  <si>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</si>
  <si>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</si>
  <si>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</si>
  <si>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</si>
  <si>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</si>
  <si>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</si>
  <si>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</si>
  <si>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</si>
  <si>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</si>
  <si>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</si>
  <si>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</si>
  <si>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</si>
  <si>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</si>
  <si>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</si>
  <si>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</si>
  <si>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</si>
  <si>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</si>
  <si>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</si>
  <si>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</si>
  <si>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</si>
  <si>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</si>
  <si>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</si>
  <si>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</si>
  <si>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</si>
  <si>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</si>
  <si>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</si>
  <si>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</si>
  <si>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</si>
  <si>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</si>
  <si>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</si>
  <si>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</si>
  <si>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</si>
  <si>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</si>
  <si>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</si>
  <si>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</si>
  <si>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</si>
  <si>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</si>
  <si>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</si>
  <si>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</si>
  <si>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</si>
  <si>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</si>
  <si>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</si>
  <si>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</si>
  <si>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</si>
  <si>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</si>
  <si>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</si>
  <si>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</si>
  <si>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</si>
  <si>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</si>
  <si>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</si>
  <si>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</si>
  <si>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</si>
  <si>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</si>
  <si>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</si>
  <si>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</si>
  <si>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</si>
  <si>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</si>
  <si>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</si>
  <si>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</si>
  <si>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</si>
  <si>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</si>
  <si>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</si>
  <si>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</si>
  <si>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</si>
  <si>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</si>
  <si>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</si>
  <si>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</si>
  <si>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</si>
  <si>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</si>
  <si>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</si>
  <si>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</si>
  <si>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</si>
  <si>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</si>
  <si>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</si>
  <si>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</si>
  <si>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</si>
  <si>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</si>
  <si>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</si>
  <si>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</si>
  <si>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</si>
  <si>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</si>
  <si>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</si>
  <si>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</si>
  <si>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</si>
  <si>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</si>
  <si>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</si>
  <si>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</si>
  <si>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</si>
  <si>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</si>
  <si>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</si>
  <si>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</si>
  <si>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</si>
  <si>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</si>
  <si>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</si>
  <si>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</si>
  <si>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</si>
  <si>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</si>
  <si>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</si>
  <si>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</si>
  <si>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</si>
  <si>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</si>
  <si>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</si>
  <si>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</si>
  <si>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</si>
  <si>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</si>
  <si>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</si>
  <si>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</si>
  <si>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</si>
  <si>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</si>
  <si>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</si>
  <si>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</si>
  <si>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</si>
  <si>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</si>
  <si>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</si>
  <si>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</si>
  <si>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</si>
  <si>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</si>
  <si>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</si>
  <si>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</si>
  <si>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</si>
  <si>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</si>
  <si>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</si>
  <si>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</si>
  <si>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</si>
  <si>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</si>
  <si>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</si>
  <si>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</si>
  <si>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</si>
  <si>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</si>
  <si>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</si>
  <si>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</si>
  <si>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</si>
  <si>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</si>
  <si>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</si>
  <si>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</si>
  <si>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</si>
  <si>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</si>
  <si>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</si>
  <si>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</si>
  <si>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</si>
  <si>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</si>
  <si>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</si>
  <si>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</si>
  <si>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</si>
  <si>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</si>
  <si>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</si>
  <si>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</si>
  <si>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</si>
  <si>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</si>
  <si>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</si>
  <si>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</si>
  <si>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</si>
  <si>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</si>
  <si>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</si>
  <si>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</si>
  <si>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</si>
  <si>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</si>
  <si>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</si>
  <si>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</si>
  <si>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</si>
  <si>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</si>
  <si>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</si>
  <si>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</si>
  <si>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</si>
  <si>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</si>
  <si>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</si>
  <si>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</si>
  <si>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</si>
  <si>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</si>
  <si>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</si>
  <si>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</si>
  <si>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</si>
  <si>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</si>
  <si>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</si>
  <si>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</si>
  <si>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</si>
  <si>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</si>
  <si>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</si>
  <si>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</si>
  <si>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</si>
  <si>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</si>
  <si>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</si>
  <si>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</si>
  <si>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</si>
  <si>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</si>
  <si>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</si>
  <si>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</si>
  <si>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</si>
  <si>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</si>
  <si>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</si>
  <si>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</si>
  <si>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</si>
  <si>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</si>
  <si>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</si>
  <si>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</si>
  <si>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</si>
  <si>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</si>
  <si>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</si>
  <si>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</si>
  <si>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</si>
  <si>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</si>
  <si>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</si>
  <si>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</si>
  <si>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</si>
  <si>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</si>
  <si>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</si>
  <si>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</si>
  <si>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</si>
  <si>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</si>
  <si>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</si>
  <si>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</si>
  <si>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</si>
  <si>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</si>
  <si>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</si>
  <si>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</si>
  <si>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</si>
  <si>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</si>
  <si>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</si>
  <si>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</si>
  <si>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</si>
  <si>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</si>
  <si>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</si>
  <si>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</si>
  <si>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</si>
  <si>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</si>
  <si>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</si>
  <si>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</si>
  <si>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</si>
  <si>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</si>
  <si>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</si>
  <si>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</si>
  <si>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</si>
  <si>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</si>
  <si>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</si>
  <si>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</si>
  <si>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</si>
  <si>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</si>
  <si>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</si>
  <si>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</si>
  <si>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</si>
  <si>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</si>
  <si>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</si>
  <si>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</si>
  <si>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</si>
  <si>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</si>
  <si>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</si>
  <si>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</si>
  <si>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</si>
  <si>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</si>
  <si>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</si>
  <si>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</si>
  <si>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</si>
  <si>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</si>
  <si>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</si>
  <si>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</si>
  <si>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</si>
  <si>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</si>
  <si>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</si>
  <si>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</si>
  <si>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</si>
  <si>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</si>
  <si>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</si>
  <si>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</si>
  <si>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</si>
  <si>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</si>
  <si>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</si>
  <si>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</si>
  <si>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</si>
  <si>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</si>
  <si>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</si>
  <si>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</si>
  <si>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</si>
  <si>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</si>
  <si>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</si>
  <si>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</si>
  <si>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</si>
  <si>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</si>
  <si>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</si>
  <si>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</si>
  <si>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</si>
  <si>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</si>
  <si>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</si>
  <si>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</si>
  <si>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</si>
  <si>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</si>
  <si>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</si>
  <si>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</si>
  <si>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</si>
  <si>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</si>
  <si>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</si>
  <si>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</si>
  <si>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</si>
  <si>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</si>
  <si>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</si>
  <si>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</si>
  <si>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</si>
  <si>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</si>
  <si>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</si>
  <si>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</si>
  <si>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</si>
  <si>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</si>
  <si>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</si>
  <si>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</si>
  <si>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</si>
  <si>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</si>
  <si>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</si>
  <si>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</si>
  <si>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</si>
  <si>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</si>
  <si>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</si>
  <si>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</si>
  <si>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</si>
  <si>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</si>
  <si>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</si>
  <si>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</si>
  <si>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</si>
  <si>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</si>
  <si>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</si>
  <si>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</si>
  <si>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</si>
  <si>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</si>
  <si>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</si>
  <si>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</si>
  <si>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</si>
  <si>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</si>
  <si>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</si>
  <si>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</si>
  <si>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</si>
  <si>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</si>
  <si>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</si>
  <si>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</si>
  <si>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</si>
  <si>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</si>
  <si>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</si>
  <si>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</si>
  <si>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</si>
  <si>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</si>
  <si>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</si>
  <si>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</si>
  <si>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</si>
  <si>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</si>
  <si>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</si>
  <si>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</si>
  <si>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</si>
  <si>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</si>
  <si>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</si>
  <si>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</si>
  <si>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</si>
  <si>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</si>
  <si>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</si>
  <si>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</si>
  <si>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</si>
  <si>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</si>
  <si>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</si>
  <si>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</si>
  <si>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</si>
  <si>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</si>
  <si>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</si>
  <si>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</si>
  <si>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</si>
  <si>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</si>
  <si>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</si>
  <si>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</si>
  <si>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</si>
  <si>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</si>
  <si>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</si>
  <si>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</si>
  <si>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</si>
  <si>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</si>
  <si>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</si>
  <si>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</si>
  <si>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</si>
  <si>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</si>
  <si>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</si>
  <si>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</si>
  <si>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</si>
  <si>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</si>
  <si>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</si>
  <si>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</si>
  <si>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</si>
  <si>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</si>
  <si>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</si>
  <si>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</si>
  <si>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</si>
  <si>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</si>
  <si>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</si>
  <si>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</si>
  <si>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</si>
  <si>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</si>
  <si>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</si>
  <si>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</si>
  <si>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</si>
  <si>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</si>
  <si>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</si>
  <si>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</si>
  <si>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</si>
  <si>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</si>
  <si>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</si>
  <si>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</si>
  <si>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</si>
  <si>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</si>
  <si>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</si>
  <si>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</si>
  <si>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</si>
  <si>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</si>
  <si>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</si>
  <si>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</si>
  <si>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</si>
  <si>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</si>
  <si>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</si>
  <si>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</si>
  <si>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</si>
  <si>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</si>
  <si>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</si>
  <si>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</si>
  <si>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</si>
  <si>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</si>
  <si>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</si>
  <si>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</si>
  <si>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</si>
  <si>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</si>
  <si>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</si>
  <si>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</si>
  <si>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</si>
  <si>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</si>
  <si>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</si>
  <si>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</si>
  <si>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</si>
  <si>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</si>
  <si>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</si>
  <si>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</si>
  <si>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</si>
  <si>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</si>
  <si>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</si>
  <si>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</si>
  <si>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</si>
  <si>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</si>
  <si>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</si>
  <si>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</si>
  <si>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</si>
  <si>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</si>
  <si>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</si>
  <si>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</si>
  <si>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</si>
  <si>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</si>
  <si>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</si>
  <si>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</si>
  <si>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</si>
  <si>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</si>
  <si>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</si>
  <si>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</si>
  <si>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</si>
  <si>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</si>
  <si>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</si>
  <si>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</si>
  <si>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</si>
  <si>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</si>
  <si>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</si>
  <si>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</si>
  <si>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</si>
  <si>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</si>
  <si>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</si>
  <si>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</si>
  <si>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</si>
  <si>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</si>
  <si>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</si>
  <si>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</si>
  <si>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</si>
  <si>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</si>
  <si>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</si>
  <si>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</si>
  <si>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</si>
  <si>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</si>
  <si>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</si>
  <si>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</si>
  <si>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</si>
  <si>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</si>
  <si>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</si>
  <si>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</si>
  <si>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</si>
  <si>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</si>
  <si>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</si>
  <si>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</si>
  <si>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</si>
  <si>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</si>
  <si>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</si>
  <si>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</si>
  <si>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</si>
  <si>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</si>
  <si>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</si>
  <si>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</si>
  <si>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</si>
  <si>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</si>
  <si>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</si>
  <si>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</si>
  <si>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</si>
  <si>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</si>
  <si>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</si>
  <si>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</si>
  <si>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</si>
  <si>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</si>
  <si>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</si>
  <si>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</si>
  <si>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</si>
  <si>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</si>
  <si>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</si>
  <si>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</si>
  <si>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</si>
  <si>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</si>
  <si>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</si>
  <si>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</si>
  <si>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</si>
  <si>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</si>
  <si>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</si>
  <si>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</si>
  <si>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</si>
  <si>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</si>
  <si>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</si>
  <si>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</si>
  <si>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</si>
  <si>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</si>
  <si>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</si>
  <si>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</si>
  <si>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</si>
  <si>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</si>
  <si>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</si>
  <si>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</si>
  <si>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</si>
  <si>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</si>
  <si>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</si>
  <si>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</si>
  <si>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</si>
  <si>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</si>
  <si>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</si>
  <si>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</si>
  <si>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</si>
  <si>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</si>
  <si>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</si>
  <si>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</si>
  <si>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</si>
  <si>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</si>
  <si>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</si>
  <si>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</si>
  <si>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</si>
  <si>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</si>
  <si>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</si>
  <si>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</si>
  <si>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</si>
  <si>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</si>
  <si>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</si>
  <si>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</si>
  <si>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</si>
  <si>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</si>
  <si>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</si>
  <si>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</si>
  <si>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</si>
  <si>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</si>
  <si>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</si>
  <si>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</si>
  <si>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</si>
  <si>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</si>
  <si>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</si>
  <si>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</si>
  <si>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</si>
  <si>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</si>
  <si>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</si>
  <si>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</si>
  <si>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</si>
  <si>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</si>
  <si>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</si>
  <si>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</si>
  <si>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</si>
  <si>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</si>
  <si>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</si>
  <si>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</si>
  <si>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</si>
  <si>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</si>
  <si>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</si>
  <si>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</si>
  <si>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</si>
  <si>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</si>
  <si>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</si>
  <si>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</si>
  <si>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</si>
  <si>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</si>
  <si>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</si>
  <si>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</si>
  <si>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</si>
  <si>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</si>
  <si>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</si>
  <si>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</si>
  <si>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</si>
  <si>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</si>
  <si>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</si>
  <si>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</si>
  <si>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</si>
  <si>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</si>
  <si>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</si>
  <si>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</si>
  <si>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</si>
  <si>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</si>
  <si>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</si>
  <si>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</si>
  <si>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</si>
  <si>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</si>
  <si>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</si>
  <si>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</si>
  <si>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</si>
  <si>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</si>
  <si>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</si>
  <si>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</si>
  <si>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</si>
  <si>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</si>
  <si>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</si>
  <si>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</si>
  <si>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</si>
  <si>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</si>
  <si>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</si>
  <si>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</si>
  <si>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</si>
  <si>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</si>
  <si>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</si>
  <si>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</si>
  <si>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</si>
  <si>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</si>
  <si>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</si>
  <si>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</si>
  <si>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</si>
  <si>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</si>
  <si>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</si>
  <si>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</si>
  <si>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</si>
  <si>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</si>
  <si>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</si>
  <si>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</si>
  <si>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</si>
  <si>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</si>
  <si>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</si>
  <si>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</si>
  <si>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</si>
  <si>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</si>
  <si>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</si>
  <si>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</si>
  <si>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</si>
  <si>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</si>
  <si>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</si>
  <si>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</si>
  <si>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</si>
  <si>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</si>
  <si>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</si>
  <si>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</si>
  <si>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</si>
  <si>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</si>
  <si>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</si>
  <si>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</si>
  <si>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</si>
  <si>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</si>
  <si>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</si>
  <si>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</si>
  <si>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</si>
  <si>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</si>
  <si>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</si>
  <si>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</si>
  <si>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</si>
  <si>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</si>
  <si>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</si>
  <si>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</si>
  <si>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</si>
  <si>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</si>
  <si>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</si>
  <si>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</si>
  <si>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</si>
  <si>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</si>
  <si>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</si>
  <si>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</si>
  <si>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</si>
  <si>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</si>
  <si>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</si>
  <si>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</si>
  <si>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</si>
  <si>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</si>
  <si>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</si>
  <si>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</si>
  <si>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</si>
  <si>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</si>
  <si>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</si>
  <si>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</si>
  <si>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</si>
  <si>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</si>
  <si>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</si>
  <si>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</si>
  <si>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</si>
  <si>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</si>
  <si>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</si>
  <si>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</si>
  <si>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</si>
  <si>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</si>
  <si>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</si>
  <si>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</si>
  <si>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</si>
  <si>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</si>
  <si>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</si>
  <si>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</si>
  <si>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</si>
  <si>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</si>
  <si>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</si>
  <si>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</si>
  <si>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</si>
  <si>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</si>
  <si>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</si>
  <si>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</si>
  <si>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</si>
  <si>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</si>
  <si>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</si>
  <si>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</si>
  <si>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</si>
  <si>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</si>
  <si>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</si>
  <si>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</si>
  <si>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</si>
  <si>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</si>
  <si>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</si>
  <si>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</si>
  <si>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</si>
  <si>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</si>
  <si>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</si>
  <si>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</si>
  <si>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</si>
  <si>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</si>
  <si>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</si>
  <si>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</si>
  <si>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</si>
  <si>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</si>
  <si>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</si>
  <si>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</si>
  <si>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</si>
  <si>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</si>
  <si>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</si>
  <si>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</si>
  <si>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</si>
  <si>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</si>
  <si>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</si>
  <si>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</si>
  <si>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</si>
  <si>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</si>
  <si>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</si>
  <si>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</si>
  <si>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</si>
  <si>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</si>
  <si>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</si>
  <si>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</si>
  <si>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</si>
  <si>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</si>
  <si>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</si>
  <si>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</si>
  <si>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</si>
  <si>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</si>
  <si>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</si>
  <si>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</si>
  <si>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</si>
  <si>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</si>
  <si>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</si>
  <si>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</si>
  <si>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</si>
  <si>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</si>
  <si>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</si>
  <si>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</si>
  <si>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</si>
  <si>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</si>
  <si>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</si>
  <si>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</si>
  <si>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</si>
  <si>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</si>
  <si>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</si>
  <si>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</si>
  <si>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</si>
  <si>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</si>
  <si>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</si>
  <si>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</si>
  <si>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</si>
  <si>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</si>
  <si>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</si>
  <si>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</si>
  <si>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</si>
  <si>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</si>
  <si>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</si>
  <si>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</si>
  <si>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</si>
  <si>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</si>
  <si>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</si>
  <si>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</si>
  <si>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</si>
  <si>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</si>
  <si>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</si>
  <si>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</si>
  <si>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</si>
  <si>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</si>
  <si>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</si>
  <si>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</si>
  <si>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</si>
  <si>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</si>
  <si>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</si>
  <si>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</si>
  <si>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</si>
  <si>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</si>
  <si>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</si>
  <si>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</si>
  <si>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</si>
  <si>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</si>
  <si>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</si>
  <si>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</si>
  <si>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</si>
  <si>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</si>
  <si>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</si>
  <si>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</si>
  <si>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</si>
  <si>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</si>
  <si>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</si>
  <si>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</si>
  <si>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</si>
  <si>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</si>
  <si>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</si>
  <si>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</si>
  <si>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</si>
  <si>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</si>
  <si>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</si>
  <si>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</si>
  <si>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</si>
  <si>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</si>
  <si>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</si>
  <si>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</si>
  <si>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</si>
  <si>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</si>
  <si>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</si>
  <si>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</si>
  <si>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</si>
  <si>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</si>
  <si>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</si>
  <si>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</si>
  <si>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</si>
  <si>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</si>
  <si>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</si>
  <si>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</si>
  <si>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</si>
  <si>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</si>
  <si>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</si>
  <si>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</si>
  <si>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</si>
  <si>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</si>
  <si>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</si>
  <si>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</si>
  <si>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</si>
  <si>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</si>
  <si>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</si>
  <si>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</si>
  <si>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</si>
  <si>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</si>
  <si>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</si>
  <si>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</si>
  <si>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</si>
  <si>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</si>
  <si>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</si>
  <si>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</si>
  <si>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</si>
  <si>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</si>
  <si>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</si>
  <si>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</si>
  <si>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</si>
  <si>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</si>
  <si>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</si>
  <si>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</si>
  <si>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</si>
  <si>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</si>
  <si>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</si>
  <si>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</si>
  <si>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</si>
  <si>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</si>
  <si>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</si>
  <si>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</si>
  <si>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</si>
  <si>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</si>
  <si>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</si>
  <si>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</si>
  <si>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</si>
  <si>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</si>
  <si>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</si>
  <si>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</si>
  <si>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</si>
  <si>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</si>
  <si>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</si>
  <si>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</si>
  <si>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</si>
  <si>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</si>
  <si>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</si>
  <si>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</si>
  <si>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</si>
  <si>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</si>
  <si>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</si>
  <si>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</si>
  <si>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</si>
  <si>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</si>
  <si>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</si>
  <si>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</si>
  <si>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</si>
  <si>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</si>
  <si>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</si>
  <si>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</si>
  <si>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</si>
  <si>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</si>
  <si>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</si>
  <si>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</si>
  <si>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</si>
  <si>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</si>
  <si>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</si>
  <si>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</si>
  <si>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</si>
  <si>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</si>
  <si>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</si>
  <si>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</si>
  <si>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</si>
  <si>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</si>
  <si>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</si>
  <si>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</si>
  <si>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</si>
  <si>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</si>
  <si>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</si>
  <si>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</si>
  <si>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</si>
  <si>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</si>
  <si>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</si>
  <si>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</si>
  <si>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</si>
  <si>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</si>
  <si>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</si>
  <si>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</si>
  <si>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</si>
  <si>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</si>
  <si>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</si>
  <si>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</si>
  <si>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</si>
  <si>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</si>
  <si>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</si>
  <si>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</si>
  <si>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</si>
  <si>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</si>
  <si>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</si>
  <si>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</si>
  <si>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</si>
  <si>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</si>
  <si>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</si>
  <si>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</si>
  <si>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</si>
  <si>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</si>
  <si>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</si>
  <si>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</si>
  <si>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</si>
  <si>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</si>
  <si>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</si>
  <si>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</si>
  <si>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</si>
  <si>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</si>
  <si>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</si>
  <si>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</si>
  <si>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</si>
  <si>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</si>
  <si>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</si>
  <si>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</si>
  <si>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</si>
  <si>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</si>
  <si>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</si>
  <si>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</si>
  <si>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</si>
  <si>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</si>
  <si>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</si>
  <si>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</si>
  <si>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</si>
  <si>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</si>
  <si>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</si>
  <si>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</si>
  <si>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</si>
  <si>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</si>
  <si>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</si>
  <si>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</si>
  <si>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</si>
  <si>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</si>
  <si>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</si>
  <si>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</si>
  <si>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</si>
  <si>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</si>
  <si>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</si>
  <si>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</si>
  <si>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</si>
  <si>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</si>
  <si>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</si>
  <si>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</si>
  <si>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</si>
  <si>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</si>
  <si>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</si>
  <si>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</si>
  <si>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</si>
  <si>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</si>
  <si>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</si>
  <si>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</si>
  <si>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</si>
  <si>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</si>
  <si>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</si>
  <si>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</si>
  <si>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</si>
  <si>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</si>
  <si>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</si>
  <si>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</si>
  <si>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</si>
  <si>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</si>
  <si>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</si>
  <si>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</si>
  <si>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</si>
  <si>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</si>
  <si>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</si>
  <si>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</si>
  <si>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</si>
  <si>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</si>
  <si>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</si>
  <si>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</si>
  <si>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</si>
  <si>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</si>
  <si>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</si>
  <si>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</si>
  <si>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</si>
  <si>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</si>
  <si>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</si>
  <si>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</si>
  <si>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</si>
  <si>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</si>
  <si>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</si>
  <si>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</si>
  <si>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</si>
  <si>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</si>
  <si>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</si>
  <si>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</si>
  <si>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</si>
  <si>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</si>
  <si>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</si>
  <si>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</si>
  <si>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</si>
  <si>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</si>
  <si>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</si>
  <si>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</si>
  <si>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</si>
  <si>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</si>
  <si>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</si>
  <si>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</si>
  <si>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</si>
  <si>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</si>
  <si>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</si>
  <si>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</si>
  <si>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</si>
  <si>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</si>
  <si>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</si>
  <si>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</si>
  <si>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</si>
  <si>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</si>
  <si>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</si>
  <si>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</si>
  <si>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</si>
  <si>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</si>
  <si>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</si>
  <si>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</si>
  <si>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</si>
  <si>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</si>
  <si>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</si>
  <si>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</si>
  <si>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</si>
  <si>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</si>
  <si>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</si>
  <si>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</si>
  <si>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</si>
  <si>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</si>
  <si>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</si>
  <si>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</si>
  <si>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</si>
  <si>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</si>
  <si>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</si>
  <si>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</si>
  <si>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</si>
  <si>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</si>
  <si>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</si>
  <si>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</si>
  <si>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</si>
  <si>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</si>
  <si>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</si>
  <si>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</si>
  <si>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</si>
  <si>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</si>
  <si>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</si>
  <si>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</si>
  <si>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</si>
  <si>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</si>
  <si>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</si>
  <si>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</si>
  <si>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</si>
  <si>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</si>
  <si>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</si>
  <si>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</si>
  <si>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</si>
  <si>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</si>
  <si>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</si>
  <si>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</si>
  <si>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</si>
  <si>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</si>
  <si>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</si>
  <si>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</si>
  <si>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</si>
  <si>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</si>
  <si>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</si>
  <si>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</si>
  <si>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</si>
  <si>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</si>
  <si>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</si>
  <si>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</si>
  <si>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</si>
  <si>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</si>
  <si>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</si>
  <si>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</si>
  <si>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</si>
  <si>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</si>
  <si>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</si>
  <si>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</si>
  <si>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</si>
  <si>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</si>
  <si>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</si>
  <si>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</si>
  <si>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</si>
  <si>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</si>
  <si>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</si>
  <si>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</si>
  <si>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</si>
  <si>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</si>
  <si>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</si>
  <si>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</si>
  <si>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</si>
  <si>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</si>
  <si>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</si>
  <si>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</si>
  <si>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</si>
  <si>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</si>
  <si>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</si>
  <si>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</si>
  <si>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</si>
  <si>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</si>
  <si>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</si>
  <si>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</si>
  <si>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</si>
  <si>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</si>
  <si>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</si>
  <si>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</si>
  <si>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</si>
  <si>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</si>
  <si>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</si>
  <si>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</si>
  <si>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</si>
  <si>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</si>
  <si>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</si>
  <si>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</si>
  <si>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</si>
  <si>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</si>
  <si>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</si>
  <si>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진진(1)</t>
    <phoneticPr fontId="2" type="noConversion"/>
  </si>
  <si>
    <t xml:space="preserve">김용진 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</si>
  <si>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</si>
  <si>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</si>
  <si>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</si>
  <si>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</si>
  <si>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42주 긴급추가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</si>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</sst>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6" xfId="0" applyFont="1" applyFill="1" applyBorder="1" applyAlignment="1">
      <alignment horizontal="center" vertical="center" wrapText="1"/>
    </xf>
    <xf numFmtId="0" fontId="123" fillId="4" borderId="36" xfId="0" applyFont="1" applyFill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23" fillId="0" borderId="42" xfId="0" applyFont="1" applyBorder="1" applyAlignment="1">
      <alignment horizontal="center" vertical="center" wrapText="1"/>
    </xf>
    <xf numFmtId="0" fontId="124" fillId="0" borderId="43" xfId="0" applyFont="1" applyBorder="1" applyAlignment="1">
      <alignment horizontal="center" vertical="center" wrapText="1"/>
    </xf>
    <xf numFmtId="0" fontId="125" fillId="0" borderId="44" xfId="0" applyFont="1" applyBorder="1" applyAlignment="1">
      <alignment horizontal="center" vertical="center" wrapText="1"/>
    </xf>
    <xf numFmtId="0" fontId="130" fillId="0" borderId="45" xfId="0" applyFont="1" applyBorder="1" applyAlignment="1">
      <alignment horizontal="center" vertical="center" wrapText="1"/>
    </xf>
    <xf numFmtId="0" fontId="123" fillId="0" borderId="46" xfId="0" applyFont="1" applyBorder="1" applyAlignment="1">
      <alignment horizontal="center" vertical="center" wrapText="1"/>
    </xf>
    <xf numFmtId="0" fontId="130" fillId="0" borderId="47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4" fillId="0" borderId="48" xfId="0" applyFont="1" applyBorder="1" applyAlignment="1">
      <alignment horizontal="center" vertical="center" wrapText="1"/>
    </xf>
    <xf numFmtId="0" fontId="130" fillId="0" borderId="49" xfId="0" applyFont="1" applyBorder="1" applyAlignment="1">
      <alignment horizontal="center" vertical="center" wrapText="1"/>
    </xf>
    <xf numFmtId="0" fontId="130" fillId="0" borderId="50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3"/>
  <sheetViews>
    <sheetView showGridLines="0" topLeftCell="B778" zoomScaleNormal="100" workbookViewId="0">
      <selection activeCell="H789" sqref="H789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20" t="s">
        <v>3261</v>
      </c>
      <c r="B1" s="920"/>
      <c r="C1" s="920"/>
      <c r="D1" s="920"/>
      <c r="E1" s="920"/>
      <c r="F1" s="920"/>
      <c r="G1" s="920"/>
      <c r="H1" s="920"/>
      <c r="I1" s="920"/>
      <c r="J1" s="920"/>
      <c r="K1" s="920"/>
      <c r="L1" s="920"/>
      <c r="M1" s="92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21"/>
      <c r="Q22" s="922"/>
      <c r="R22" s="922"/>
      <c r="S22" s="922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21"/>
      <c r="Q27" s="922"/>
      <c r="R27" s="922"/>
      <c r="S27" s="922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21"/>
      <c r="Q36" s="922"/>
      <c r="R36" s="922"/>
      <c r="S36" s="922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21"/>
      <c r="Q37" s="922"/>
      <c r="R37" s="922"/>
      <c r="S37" s="922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21"/>
      <c r="Q40" s="922"/>
      <c r="R40" s="922"/>
      <c r="S40" s="922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21"/>
      <c r="Q41" s="922"/>
      <c r="R41" s="922"/>
      <c r="S41" s="922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21" t="s">
        <v>4390</v>
      </c>
      <c r="Q43" s="922"/>
      <c r="R43" s="922"/>
      <c r="S43" s="922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21"/>
      <c r="Q61" s="922"/>
      <c r="R61" s="922"/>
      <c r="S61" s="922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21"/>
      <c r="Q64" s="922"/>
      <c r="R64" s="922"/>
      <c r="S64" s="922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21"/>
      <c r="Q67" s="922"/>
      <c r="R67" s="922"/>
      <c r="S67" s="922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21"/>
      <c r="Q74" s="922"/>
      <c r="R74" s="922"/>
      <c r="S74" s="922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21"/>
      <c r="Q83" s="922"/>
      <c r="R83" s="922"/>
      <c r="S83" s="922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21"/>
      <c r="Q85" s="922"/>
      <c r="R85" s="922"/>
      <c r="S85" s="922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21" t="s">
        <v>4390</v>
      </c>
      <c r="Q93" s="922"/>
      <c r="R93" s="922"/>
      <c r="S93" s="922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25"/>
      <c r="Q169" s="926"/>
      <c r="R169" s="926"/>
      <c r="S169" s="92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23" t="s">
        <v>4688</v>
      </c>
      <c r="Q182" s="924"/>
      <c r="R182" s="924"/>
      <c r="S182" s="92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27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28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28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29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27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28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28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5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9" t="s">
        <v>7203</v>
      </c>
      <c r="F686" s="824">
        <v>3306</v>
      </c>
      <c r="G686" s="16" t="s">
        <v>7204</v>
      </c>
      <c r="H686" s="829" t="s">
        <v>7205</v>
      </c>
      <c r="I686" s="829" t="s">
        <v>7206</v>
      </c>
      <c r="J686" s="829" t="s">
        <v>7207</v>
      </c>
      <c r="K686" s="125" t="s">
        <v>66</v>
      </c>
      <c r="L686" s="16" t="s">
        <v>7208</v>
      </c>
      <c r="M686" s="8">
        <v>4</v>
      </c>
      <c r="N686" s="828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9" t="s">
        <v>7203</v>
      </c>
      <c r="F687" s="824">
        <v>3306</v>
      </c>
      <c r="G687" s="16" t="s">
        <v>7204</v>
      </c>
      <c r="H687" s="829" t="s">
        <v>7205</v>
      </c>
      <c r="I687" s="829" t="s">
        <v>7206</v>
      </c>
      <c r="J687" s="829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9" t="s">
        <v>7203</v>
      </c>
      <c r="F688" s="824">
        <v>3306</v>
      </c>
      <c r="G688" s="16" t="s">
        <v>7204</v>
      </c>
      <c r="H688" s="829" t="s">
        <v>7205</v>
      </c>
      <c r="I688" s="829" t="s">
        <v>7206</v>
      </c>
      <c r="J688" s="829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9" t="s">
        <v>7057</v>
      </c>
      <c r="F691" s="824" t="s">
        <v>7058</v>
      </c>
      <c r="G691" s="16" t="s">
        <v>23</v>
      </c>
      <c r="H691" s="829" t="s">
        <v>7060</v>
      </c>
      <c r="I691" s="824"/>
      <c r="J691" s="829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9" t="s">
        <v>6706</v>
      </c>
      <c r="I692" s="824" t="s">
        <v>7210</v>
      </c>
      <c r="J692" s="829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9" t="s">
        <v>7203</v>
      </c>
      <c r="F693" s="824">
        <v>3306</v>
      </c>
      <c r="G693" s="16" t="s">
        <v>7204</v>
      </c>
      <c r="H693" s="829" t="s">
        <v>7205</v>
      </c>
      <c r="I693" s="829" t="s">
        <v>7206</v>
      </c>
      <c r="J693" s="829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9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9" t="s">
        <v>7214</v>
      </c>
      <c r="I695" s="824"/>
      <c r="J695" s="829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9" t="s">
        <v>6706</v>
      </c>
      <c r="I696" s="824" t="s">
        <v>7197</v>
      </c>
      <c r="J696" s="829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9" t="s">
        <v>7203</v>
      </c>
      <c r="F697" s="824">
        <v>3306</v>
      </c>
      <c r="G697" s="16" t="s">
        <v>7204</v>
      </c>
      <c r="H697" s="829" t="s">
        <v>7205</v>
      </c>
      <c r="I697" s="829" t="s">
        <v>7206</v>
      </c>
      <c r="J697" s="829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9" t="s">
        <v>7186</v>
      </c>
      <c r="I699" s="824" t="s">
        <v>7187</v>
      </c>
      <c r="J699" s="829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9" t="s">
        <v>6706</v>
      </c>
      <c r="I700" s="824" t="s">
        <v>7199</v>
      </c>
      <c r="J700" s="829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9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9" t="s">
        <v>6706</v>
      </c>
      <c r="I705" s="824" t="s">
        <v>7197</v>
      </c>
      <c r="J705" s="829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9" t="s">
        <v>7243</v>
      </c>
      <c r="I706" s="824" t="s">
        <v>7244</v>
      </c>
      <c r="J706" s="829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9" t="s">
        <v>6706</v>
      </c>
      <c r="I707" s="824" t="s">
        <v>7197</v>
      </c>
      <c r="J707" s="829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9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9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9" t="s">
        <v>6706</v>
      </c>
      <c r="I710" s="824" t="s">
        <v>7197</v>
      </c>
      <c r="J710" s="829"/>
      <c r="K710" s="277" t="s">
        <v>7198</v>
      </c>
      <c r="L710" s="16">
        <v>9080</v>
      </c>
      <c r="M710" s="18" t="s">
        <v>7211</v>
      </c>
      <c r="N710" s="828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9" t="s">
        <v>6706</v>
      </c>
      <c r="I712" s="824" t="s">
        <v>7197</v>
      </c>
      <c r="J712" s="829"/>
      <c r="K712" s="277" t="s">
        <v>7198</v>
      </c>
      <c r="L712" s="16">
        <v>9080</v>
      </c>
      <c r="M712" s="18" t="s">
        <v>7211</v>
      </c>
      <c r="N712" s="828"/>
      <c r="O712" s="430"/>
      <c r="P712" s="824"/>
    </row>
    <row r="713" spans="1:16" s="17" customFormat="1" ht="33" customHeight="1">
      <c r="A713" s="842"/>
      <c r="B713" s="399">
        <v>46296</v>
      </c>
      <c r="C713" s="4" t="s">
        <v>7247</v>
      </c>
      <c r="D713" s="4" t="s">
        <v>7248</v>
      </c>
      <c r="E713" s="843" t="s">
        <v>7249</v>
      </c>
      <c r="F713" s="843">
        <v>7062</v>
      </c>
      <c r="G713" s="16" t="s">
        <v>7250</v>
      </c>
      <c r="H713" s="845" t="s">
        <v>7262</v>
      </c>
      <c r="I713" s="843" t="s">
        <v>7260</v>
      </c>
      <c r="J713" s="845" t="s">
        <v>7252</v>
      </c>
      <c r="K713" s="277"/>
      <c r="L713" s="16" t="s">
        <v>7255</v>
      </c>
      <c r="M713" s="18">
        <v>3</v>
      </c>
      <c r="N713" s="844"/>
      <c r="O713" s="430"/>
      <c r="P713" s="843"/>
    </row>
    <row r="714" spans="1:16" s="17" customFormat="1" ht="33" customHeight="1">
      <c r="A714" s="842"/>
      <c r="B714" s="399">
        <v>46297</v>
      </c>
      <c r="C714" s="4" t="s">
        <v>7247</v>
      </c>
      <c r="D714" s="4" t="s">
        <v>7248</v>
      </c>
      <c r="E714" s="843" t="s">
        <v>7249</v>
      </c>
      <c r="F714" s="843">
        <v>7062</v>
      </c>
      <c r="G714" s="16" t="s">
        <v>7250</v>
      </c>
      <c r="H714" s="845" t="s">
        <v>7251</v>
      </c>
      <c r="I714" s="843" t="s">
        <v>7261</v>
      </c>
      <c r="J714" s="845" t="s">
        <v>7253</v>
      </c>
      <c r="K714" s="277"/>
      <c r="L714" s="16" t="s">
        <v>7256</v>
      </c>
      <c r="M714" s="18">
        <v>3</v>
      </c>
      <c r="N714" s="844"/>
      <c r="O714" s="430"/>
      <c r="P714" s="843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9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9" t="s">
        <v>6706</v>
      </c>
      <c r="I716" s="824" t="s">
        <v>7197</v>
      </c>
      <c r="J716" s="829"/>
      <c r="K716" s="277" t="s">
        <v>7198</v>
      </c>
      <c r="L716" s="16">
        <v>9080</v>
      </c>
      <c r="M716" s="18" t="s">
        <v>7211</v>
      </c>
      <c r="N716" s="828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9" t="s">
        <v>7257</v>
      </c>
      <c r="I719" s="824"/>
      <c r="J719" s="824"/>
      <c r="K719" s="125"/>
      <c r="L719" s="16"/>
      <c r="M719" s="8"/>
      <c r="N719" s="828"/>
      <c r="O719" s="430"/>
      <c r="P719" s="31"/>
    </row>
    <row r="720" spans="1:16" s="17" customFormat="1" ht="33" customHeight="1">
      <c r="A720" s="851"/>
      <c r="B720" s="399">
        <v>46300</v>
      </c>
      <c r="C720" s="4" t="s">
        <v>21</v>
      </c>
      <c r="D720" s="4" t="s">
        <v>14</v>
      </c>
      <c r="E720" s="853" t="s">
        <v>7305</v>
      </c>
      <c r="F720" s="853" t="s">
        <v>7306</v>
      </c>
      <c r="G720" s="16" t="s">
        <v>7307</v>
      </c>
      <c r="H720" s="858" t="s">
        <v>7316</v>
      </c>
      <c r="I720" s="853"/>
      <c r="J720" s="853" t="s">
        <v>7309</v>
      </c>
      <c r="K720" s="125" t="s">
        <v>7310</v>
      </c>
      <c r="L720" s="16" t="s">
        <v>7311</v>
      </c>
      <c r="M720" s="8">
        <v>2</v>
      </c>
      <c r="N720" s="857"/>
      <c r="O720" s="430"/>
      <c r="P720" s="853"/>
    </row>
    <row r="721" spans="1:16" s="17" customFormat="1" ht="33" customHeight="1">
      <c r="A721" s="851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8" t="s">
        <v>7303</v>
      </c>
      <c r="I721" s="853" t="s">
        <v>7304</v>
      </c>
      <c r="J721" s="853"/>
      <c r="K721" s="125" t="s">
        <v>7283</v>
      </c>
      <c r="L721" s="16" t="s">
        <v>7284</v>
      </c>
      <c r="M721" s="8">
        <v>2</v>
      </c>
      <c r="N721" s="853"/>
      <c r="O721" s="431"/>
      <c r="P721" s="853"/>
    </row>
    <row r="722" spans="1:16" s="17" customFormat="1" ht="33" customHeight="1">
      <c r="A722" s="851"/>
      <c r="B722" s="399">
        <v>46301</v>
      </c>
      <c r="C722" s="4" t="s">
        <v>21</v>
      </c>
      <c r="D722" s="4" t="s">
        <v>14</v>
      </c>
      <c r="E722" s="853" t="s">
        <v>7305</v>
      </c>
      <c r="F722" s="853" t="s">
        <v>7306</v>
      </c>
      <c r="G722" s="16" t="s">
        <v>7307</v>
      </c>
      <c r="H722" s="858" t="s">
        <v>7308</v>
      </c>
      <c r="I722" s="853"/>
      <c r="J722" s="853" t="s">
        <v>7309</v>
      </c>
      <c r="K722" s="125" t="s">
        <v>7310</v>
      </c>
      <c r="L722" s="16" t="s">
        <v>7311</v>
      </c>
      <c r="M722" s="8">
        <v>2</v>
      </c>
      <c r="N722" s="853"/>
      <c r="O722" s="431"/>
      <c r="P722" s="853"/>
    </row>
    <row r="723" spans="1:16" s="17" customFormat="1" ht="33" customHeight="1">
      <c r="A723" s="865"/>
      <c r="B723" s="399">
        <v>46301</v>
      </c>
      <c r="C723" s="4" t="s">
        <v>21</v>
      </c>
      <c r="D723" s="4" t="s">
        <v>7364</v>
      </c>
      <c r="E723" s="870" t="s">
        <v>7365</v>
      </c>
      <c r="F723" s="870" t="s">
        <v>7366</v>
      </c>
      <c r="G723" s="16" t="s">
        <v>115</v>
      </c>
      <c r="H723" s="891" t="s">
        <v>7367</v>
      </c>
      <c r="I723" s="870"/>
      <c r="J723" s="870" t="s">
        <v>7368</v>
      </c>
      <c r="K723" s="125" t="s">
        <v>7369</v>
      </c>
      <c r="L723" s="16">
        <v>9080</v>
      </c>
      <c r="M723" s="8">
        <v>1</v>
      </c>
      <c r="N723" s="870"/>
      <c r="O723" s="431"/>
      <c r="P723" s="870"/>
    </row>
    <row r="724" spans="1:16" s="17" customFormat="1" ht="33" customHeight="1">
      <c r="A724" s="865"/>
      <c r="B724" s="399">
        <v>46301</v>
      </c>
      <c r="C724" s="4" t="s">
        <v>6707</v>
      </c>
      <c r="D724" s="4" t="s">
        <v>25</v>
      </c>
      <c r="E724" s="870" t="s">
        <v>6709</v>
      </c>
      <c r="F724" s="870">
        <v>7065</v>
      </c>
      <c r="G724" s="16" t="s">
        <v>145</v>
      </c>
      <c r="H724" s="874" t="s">
        <v>6706</v>
      </c>
      <c r="I724" s="870" t="s">
        <v>6842</v>
      </c>
      <c r="J724" s="874"/>
      <c r="K724" s="277" t="s">
        <v>209</v>
      </c>
      <c r="L724" s="16">
        <v>9080</v>
      </c>
      <c r="M724" s="18" t="s">
        <v>209</v>
      </c>
      <c r="N724" s="870"/>
      <c r="O724" s="431"/>
      <c r="P724" s="870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70" t="s">
        <v>7365</v>
      </c>
      <c r="F725" s="870" t="s">
        <v>7366</v>
      </c>
      <c r="G725" s="16" t="s">
        <v>115</v>
      </c>
      <c r="H725" s="891" t="s">
        <v>7367</v>
      </c>
      <c r="I725" s="870"/>
      <c r="J725" s="870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51"/>
      <c r="B726" s="399">
        <v>46302</v>
      </c>
      <c r="C726" s="4" t="s">
        <v>21</v>
      </c>
      <c r="D726" s="4" t="s">
        <v>14</v>
      </c>
      <c r="E726" s="853" t="s">
        <v>7305</v>
      </c>
      <c r="F726" s="853" t="s">
        <v>7313</v>
      </c>
      <c r="G726" s="16" t="s">
        <v>7307</v>
      </c>
      <c r="H726" s="858" t="s">
        <v>7312</v>
      </c>
      <c r="I726" s="853"/>
      <c r="J726" s="853" t="s">
        <v>7309</v>
      </c>
      <c r="K726" s="125" t="s">
        <v>7310</v>
      </c>
      <c r="L726" s="16" t="s">
        <v>7311</v>
      </c>
      <c r="M726" s="8">
        <v>2</v>
      </c>
      <c r="N726" s="857"/>
      <c r="O726" s="430"/>
      <c r="P726" s="853"/>
    </row>
    <row r="727" spans="1:16" s="17" customFormat="1" ht="33" customHeight="1">
      <c r="A727" s="865"/>
      <c r="B727" s="399">
        <v>46302</v>
      </c>
      <c r="C727" s="4" t="s">
        <v>6707</v>
      </c>
      <c r="D727" s="4" t="s">
        <v>25</v>
      </c>
      <c r="E727" s="870" t="s">
        <v>6709</v>
      </c>
      <c r="F727" s="870">
        <v>7065</v>
      </c>
      <c r="G727" s="16" t="s">
        <v>145</v>
      </c>
      <c r="H727" s="874" t="s">
        <v>6706</v>
      </c>
      <c r="I727" s="870" t="s">
        <v>6842</v>
      </c>
      <c r="J727" s="874"/>
      <c r="K727" s="277" t="s">
        <v>209</v>
      </c>
      <c r="L727" s="16">
        <v>9080</v>
      </c>
      <c r="M727" s="18" t="s">
        <v>209</v>
      </c>
      <c r="N727" s="873"/>
      <c r="O727" s="430"/>
      <c r="P727" s="870"/>
    </row>
    <row r="728" spans="1:16" s="17" customFormat="1" ht="33" customHeight="1">
      <c r="A728" s="865"/>
      <c r="B728" s="399">
        <v>46303</v>
      </c>
      <c r="C728" s="4" t="s">
        <v>7357</v>
      </c>
      <c r="D728" s="4" t="s">
        <v>17</v>
      </c>
      <c r="E728" s="870" t="s">
        <v>7358</v>
      </c>
      <c r="F728" s="870" t="s">
        <v>7359</v>
      </c>
      <c r="G728" s="16" t="s">
        <v>6966</v>
      </c>
      <c r="H728" s="874" t="s">
        <v>7360</v>
      </c>
      <c r="I728" s="870" t="s">
        <v>7361</v>
      </c>
      <c r="J728" s="870" t="s">
        <v>7362</v>
      </c>
      <c r="K728" s="125" t="s">
        <v>7363</v>
      </c>
      <c r="L728" s="16" t="s">
        <v>7355</v>
      </c>
      <c r="M728" s="8">
        <v>2</v>
      </c>
      <c r="N728" s="873"/>
      <c r="O728" s="430"/>
      <c r="P728" s="870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5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3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51"/>
      <c r="B730" s="399">
        <v>46303</v>
      </c>
      <c r="C730" s="4" t="s">
        <v>21</v>
      </c>
      <c r="D730" s="4" t="s">
        <v>14</v>
      </c>
      <c r="E730" s="853" t="s">
        <v>7305</v>
      </c>
      <c r="F730" s="853" t="s">
        <v>7313</v>
      </c>
      <c r="G730" s="16" t="s">
        <v>7307</v>
      </c>
      <c r="H730" s="858" t="s">
        <v>7312</v>
      </c>
      <c r="I730" s="853"/>
      <c r="J730" s="853" t="s">
        <v>7309</v>
      </c>
      <c r="K730" s="125" t="s">
        <v>7310</v>
      </c>
      <c r="L730" s="16" t="s">
        <v>7311</v>
      </c>
      <c r="M730" s="8">
        <v>2</v>
      </c>
      <c r="N730" s="857"/>
      <c r="O730" s="430"/>
      <c r="P730" s="853"/>
    </row>
    <row r="731" spans="1:16" s="17" customFormat="1" ht="33" customHeight="1">
      <c r="A731" s="865"/>
      <c r="B731" s="399">
        <v>46303</v>
      </c>
      <c r="C731" s="4" t="s">
        <v>6707</v>
      </c>
      <c r="D731" s="4" t="s">
        <v>25</v>
      </c>
      <c r="E731" s="870" t="s">
        <v>6709</v>
      </c>
      <c r="F731" s="870">
        <v>7065</v>
      </c>
      <c r="G731" s="16" t="s">
        <v>145</v>
      </c>
      <c r="H731" s="874" t="s">
        <v>6706</v>
      </c>
      <c r="I731" s="870" t="s">
        <v>7424</v>
      </c>
      <c r="J731" s="874"/>
      <c r="K731" s="277" t="s">
        <v>209</v>
      </c>
      <c r="L731" s="16">
        <v>9080</v>
      </c>
      <c r="M731" s="18" t="s">
        <v>209</v>
      </c>
      <c r="N731" s="873"/>
      <c r="O731" s="430"/>
      <c r="P731" s="870"/>
    </row>
    <row r="732" spans="1:16" s="17" customFormat="1" ht="33" customHeight="1">
      <c r="A732" s="851"/>
      <c r="B732" s="399">
        <v>46304</v>
      </c>
      <c r="C732" s="4" t="s">
        <v>21</v>
      </c>
      <c r="D732" s="4" t="s">
        <v>14</v>
      </c>
      <c r="E732" s="853" t="s">
        <v>7305</v>
      </c>
      <c r="F732" s="853" t="s">
        <v>7313</v>
      </c>
      <c r="G732" s="16" t="s">
        <v>7307</v>
      </c>
      <c r="H732" s="858" t="s">
        <v>7312</v>
      </c>
      <c r="I732" s="853"/>
      <c r="J732" s="853" t="s">
        <v>7309</v>
      </c>
      <c r="K732" s="125" t="s">
        <v>7310</v>
      </c>
      <c r="L732" s="16" t="s">
        <v>7311</v>
      </c>
      <c r="M732" s="8">
        <v>2</v>
      </c>
      <c r="N732" s="857"/>
      <c r="O732" s="430"/>
      <c r="P732" s="853"/>
    </row>
    <row r="733" spans="1:16" s="17" customFormat="1" ht="33" customHeight="1">
      <c r="A733" s="865"/>
      <c r="B733" s="399">
        <v>46304</v>
      </c>
      <c r="C733" s="4" t="s">
        <v>138</v>
      </c>
      <c r="D733" s="4" t="s">
        <v>14</v>
      </c>
      <c r="E733" s="870" t="s">
        <v>1787</v>
      </c>
      <c r="F733" s="870" t="s">
        <v>2978</v>
      </c>
      <c r="G733" s="16" t="s">
        <v>23</v>
      </c>
      <c r="H733" s="874" t="s">
        <v>7340</v>
      </c>
      <c r="I733" s="870"/>
      <c r="J733" s="870" t="s">
        <v>641</v>
      </c>
      <c r="K733" s="125" t="s">
        <v>84</v>
      </c>
      <c r="L733" s="16" t="s">
        <v>6287</v>
      </c>
      <c r="M733" s="8">
        <v>2</v>
      </c>
      <c r="N733" s="873"/>
      <c r="O733" s="430"/>
      <c r="P733" s="870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51"/>
      <c r="B735" s="878">
        <v>46305</v>
      </c>
      <c r="C735" s="4" t="s">
        <v>21</v>
      </c>
      <c r="D735" s="4" t="s">
        <v>14</v>
      </c>
      <c r="E735" s="853" t="s">
        <v>7305</v>
      </c>
      <c r="F735" s="853" t="s">
        <v>7306</v>
      </c>
      <c r="G735" s="16" t="s">
        <v>7307</v>
      </c>
      <c r="H735" s="858" t="s">
        <v>7314</v>
      </c>
      <c r="I735" s="853"/>
      <c r="J735" s="853" t="s">
        <v>7309</v>
      </c>
      <c r="K735" s="125" t="s">
        <v>7310</v>
      </c>
      <c r="L735" s="16" t="s">
        <v>7311</v>
      </c>
      <c r="M735" s="8">
        <v>2</v>
      </c>
      <c r="N735" s="857"/>
      <c r="O735" s="430"/>
      <c r="P735" s="853"/>
    </row>
    <row r="736" spans="1:16" s="17" customFormat="1" ht="33" customHeight="1">
      <c r="A736" s="865"/>
      <c r="B736" s="878">
        <v>46305</v>
      </c>
      <c r="C736" s="4" t="s">
        <v>6707</v>
      </c>
      <c r="D736" s="4" t="s">
        <v>25</v>
      </c>
      <c r="E736" s="870" t="s">
        <v>6709</v>
      </c>
      <c r="F736" s="870">
        <v>7065</v>
      </c>
      <c r="G736" s="16" t="s">
        <v>145</v>
      </c>
      <c r="H736" s="874" t="s">
        <v>6706</v>
      </c>
      <c r="I736" s="870" t="s">
        <v>7424</v>
      </c>
      <c r="J736" s="874"/>
      <c r="K736" s="277" t="s">
        <v>209</v>
      </c>
      <c r="L736" s="16">
        <v>9080</v>
      </c>
      <c r="M736" s="18" t="s">
        <v>209</v>
      </c>
      <c r="N736" s="892"/>
      <c r="O736" s="430"/>
      <c r="P736" s="870"/>
    </row>
    <row r="737" spans="1:16" s="17" customFormat="1" ht="33" customHeight="1">
      <c r="A737" s="852"/>
      <c r="B737" s="878">
        <v>46306</v>
      </c>
      <c r="C737" s="4" t="s">
        <v>21</v>
      </c>
      <c r="D737" s="4" t="s">
        <v>14</v>
      </c>
      <c r="E737" s="853" t="s">
        <v>7305</v>
      </c>
      <c r="F737" s="853" t="s">
        <v>7306</v>
      </c>
      <c r="G737" s="16" t="s">
        <v>7307</v>
      </c>
      <c r="H737" s="858" t="s">
        <v>7314</v>
      </c>
      <c r="I737" s="853"/>
      <c r="J737" s="853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3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8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51"/>
      <c r="B740" s="399">
        <v>46307</v>
      </c>
      <c r="C740" s="4" t="s">
        <v>7290</v>
      </c>
      <c r="D740" s="4" t="s">
        <v>7291</v>
      </c>
      <c r="E740" s="853" t="s">
        <v>7292</v>
      </c>
      <c r="F740" s="853" t="s">
        <v>7293</v>
      </c>
      <c r="G740" s="16" t="s">
        <v>7341</v>
      </c>
      <c r="H740" s="858" t="s">
        <v>7343</v>
      </c>
      <c r="I740" s="853"/>
      <c r="J740" s="858" t="s">
        <v>7342</v>
      </c>
      <c r="K740" s="125" t="s">
        <v>15</v>
      </c>
      <c r="L740" s="16" t="s">
        <v>7318</v>
      </c>
      <c r="M740" s="8">
        <v>1</v>
      </c>
      <c r="N740" s="853"/>
      <c r="O740" s="429"/>
      <c r="P740" s="853"/>
    </row>
    <row r="741" spans="1:16" s="17" customFormat="1" ht="33" customHeight="1">
      <c r="A741" s="851"/>
      <c r="B741" s="399">
        <v>46307</v>
      </c>
      <c r="C741" s="4" t="s">
        <v>21</v>
      </c>
      <c r="D741" s="4" t="s">
        <v>14</v>
      </c>
      <c r="E741" s="853" t="s">
        <v>7305</v>
      </c>
      <c r="F741" s="853" t="s">
        <v>7306</v>
      </c>
      <c r="G741" s="16" t="s">
        <v>7307</v>
      </c>
      <c r="H741" s="858" t="s">
        <v>7314</v>
      </c>
      <c r="I741" s="853"/>
      <c r="J741" s="853" t="s">
        <v>7309</v>
      </c>
      <c r="K741" s="125" t="s">
        <v>7310</v>
      </c>
      <c r="L741" s="16" t="s">
        <v>7311</v>
      </c>
      <c r="M741" s="8">
        <v>2</v>
      </c>
      <c r="N741" s="853"/>
      <c r="O741" s="429"/>
      <c r="P741" s="853"/>
    </row>
    <row r="742" spans="1:16" s="17" customFormat="1" ht="33" customHeight="1">
      <c r="A742" s="865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4" t="s">
        <v>7353</v>
      </c>
      <c r="I742" s="870" t="s">
        <v>7397</v>
      </c>
      <c r="J742" s="870" t="s">
        <v>7354</v>
      </c>
      <c r="K742" s="125" t="s">
        <v>84</v>
      </c>
      <c r="L742" s="16" t="s">
        <v>7355</v>
      </c>
      <c r="M742" s="8">
        <v>3</v>
      </c>
      <c r="N742" s="870"/>
      <c r="O742" s="429"/>
      <c r="P742" s="870"/>
    </row>
    <row r="743" spans="1:16" s="17" customFormat="1" ht="33" customHeight="1">
      <c r="A743" s="865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74" t="s">
        <v>7417</v>
      </c>
      <c r="I743" s="870" t="s">
        <v>7418</v>
      </c>
      <c r="J743" s="870" t="s">
        <v>7419</v>
      </c>
      <c r="K743" s="125" t="s">
        <v>7420</v>
      </c>
      <c r="L743" s="16" t="s">
        <v>7410</v>
      </c>
      <c r="M743" s="8">
        <v>6</v>
      </c>
      <c r="N743" s="870"/>
      <c r="O743" s="429"/>
      <c r="P743" s="870"/>
    </row>
    <row r="744" spans="1:16" s="17" customFormat="1" ht="33" customHeight="1">
      <c r="A744" s="865"/>
      <c r="B744" s="399">
        <v>46307</v>
      </c>
      <c r="C744" s="4" t="s">
        <v>6707</v>
      </c>
      <c r="D744" s="4" t="s">
        <v>25</v>
      </c>
      <c r="E744" s="870" t="s">
        <v>6709</v>
      </c>
      <c r="F744" s="870">
        <v>7065</v>
      </c>
      <c r="G744" s="16" t="s">
        <v>145</v>
      </c>
      <c r="H744" s="874" t="s">
        <v>6706</v>
      </c>
      <c r="I744" s="870" t="s">
        <v>7421</v>
      </c>
      <c r="J744" s="874"/>
      <c r="K744" s="277" t="s">
        <v>209</v>
      </c>
      <c r="L744" s="16">
        <v>9080</v>
      </c>
      <c r="M744" s="18" t="s">
        <v>209</v>
      </c>
      <c r="N744" s="870"/>
      <c r="O744" s="429"/>
      <c r="P744" s="870"/>
    </row>
    <row r="745" spans="1:16" s="17" customFormat="1" ht="33" customHeight="1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74" t="s">
        <v>7417</v>
      </c>
      <c r="I745" s="870" t="s">
        <v>7418</v>
      </c>
      <c r="J745" s="870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>
      <c r="A746" s="851"/>
      <c r="B746" s="399">
        <v>46308</v>
      </c>
      <c r="C746" s="4" t="s">
        <v>21</v>
      </c>
      <c r="D746" s="4" t="s">
        <v>14</v>
      </c>
      <c r="E746" s="853" t="s">
        <v>7305</v>
      </c>
      <c r="F746" s="853" t="s">
        <v>7306</v>
      </c>
      <c r="G746" s="16" t="s">
        <v>7307</v>
      </c>
      <c r="H746" s="858" t="s">
        <v>7314</v>
      </c>
      <c r="I746" s="853"/>
      <c r="J746" s="853" t="s">
        <v>7309</v>
      </c>
      <c r="K746" s="125" t="s">
        <v>7310</v>
      </c>
      <c r="L746" s="16" t="s">
        <v>7311</v>
      </c>
      <c r="M746" s="8">
        <v>2</v>
      </c>
      <c r="N746" s="853"/>
      <c r="O746" s="429"/>
      <c r="P746" s="853"/>
    </row>
    <row r="747" spans="1:16" s="17" customFormat="1" ht="33" customHeight="1">
      <c r="A747" s="865"/>
      <c r="B747" s="399">
        <v>46308</v>
      </c>
      <c r="C747" s="4" t="s">
        <v>6707</v>
      </c>
      <c r="D747" s="4" t="s">
        <v>25</v>
      </c>
      <c r="E747" s="870" t="s">
        <v>6709</v>
      </c>
      <c r="F747" s="870">
        <v>7065</v>
      </c>
      <c r="G747" s="16" t="s">
        <v>145</v>
      </c>
      <c r="H747" s="874" t="s">
        <v>6706</v>
      </c>
      <c r="I747" s="870" t="s">
        <v>7421</v>
      </c>
      <c r="J747" s="874"/>
      <c r="K747" s="277" t="s">
        <v>209</v>
      </c>
      <c r="L747" s="16">
        <v>9080</v>
      </c>
      <c r="M747" s="18" t="s">
        <v>209</v>
      </c>
      <c r="N747" s="870"/>
      <c r="O747" s="429"/>
      <c r="P747" s="870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74" t="s">
        <v>7279</v>
      </c>
      <c r="F748" s="454" t="s">
        <v>270</v>
      </c>
      <c r="G748" s="16" t="s">
        <v>6284</v>
      </c>
      <c r="H748" s="874" t="s">
        <v>7285</v>
      </c>
      <c r="I748" s="870"/>
      <c r="J748" s="870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51"/>
      <c r="B749" s="399">
        <v>46309</v>
      </c>
      <c r="C749" s="4" t="s">
        <v>21</v>
      </c>
      <c r="D749" s="4" t="s">
        <v>14</v>
      </c>
      <c r="E749" s="853" t="s">
        <v>7305</v>
      </c>
      <c r="F749" s="853" t="s">
        <v>7306</v>
      </c>
      <c r="G749" s="16" t="s">
        <v>7307</v>
      </c>
      <c r="H749" s="858" t="s">
        <v>7315</v>
      </c>
      <c r="I749" s="853"/>
      <c r="J749" s="853" t="s">
        <v>7309</v>
      </c>
      <c r="K749" s="125" t="s">
        <v>7310</v>
      </c>
      <c r="L749" s="16" t="s">
        <v>7311</v>
      </c>
      <c r="M749" s="8">
        <v>2</v>
      </c>
      <c r="N749" s="857"/>
      <c r="O749" s="430"/>
      <c r="P749" s="853"/>
    </row>
    <row r="750" spans="1:16" s="17" customFormat="1" ht="33" customHeight="1">
      <c r="A750" s="865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74" t="s">
        <v>7417</v>
      </c>
      <c r="I750" s="870" t="s">
        <v>7418</v>
      </c>
      <c r="J750" s="870" t="s">
        <v>7419</v>
      </c>
      <c r="K750" s="125" t="s">
        <v>7420</v>
      </c>
      <c r="L750" s="16" t="s">
        <v>7422</v>
      </c>
      <c r="M750" s="8">
        <v>6</v>
      </c>
      <c r="N750" s="873"/>
      <c r="O750" s="430"/>
      <c r="P750" s="870"/>
    </row>
    <row r="751" spans="1:16" s="17" customFormat="1" ht="33" customHeight="1">
      <c r="A751" s="865"/>
      <c r="B751" s="399">
        <v>46309</v>
      </c>
      <c r="C751" s="4" t="s">
        <v>6707</v>
      </c>
      <c r="D751" s="4" t="s">
        <v>25</v>
      </c>
      <c r="E751" s="870" t="s">
        <v>6709</v>
      </c>
      <c r="F751" s="870">
        <v>7065</v>
      </c>
      <c r="G751" s="16" t="s">
        <v>145</v>
      </c>
      <c r="H751" s="874" t="s">
        <v>6706</v>
      </c>
      <c r="I751" s="870" t="s">
        <v>7421</v>
      </c>
      <c r="J751" s="874"/>
      <c r="K751" s="277" t="s">
        <v>209</v>
      </c>
      <c r="L751" s="16">
        <v>9080</v>
      </c>
      <c r="M751" s="18" t="s">
        <v>209</v>
      </c>
      <c r="N751" s="873"/>
      <c r="O751" s="430"/>
      <c r="P751" s="870"/>
    </row>
    <row r="752" spans="1:16" s="17" customFormat="1" ht="33" customHeight="1">
      <c r="A752" s="865"/>
      <c r="B752" s="399">
        <v>46310</v>
      </c>
      <c r="C752" s="4" t="s">
        <v>7377</v>
      </c>
      <c r="D752" s="4" t="s">
        <v>7378</v>
      </c>
      <c r="E752" s="870" t="s">
        <v>7379</v>
      </c>
      <c r="F752" s="454">
        <v>3307</v>
      </c>
      <c r="G752" s="16" t="s">
        <v>7380</v>
      </c>
      <c r="H752" s="874" t="s">
        <v>6975</v>
      </c>
      <c r="I752" s="870" t="s">
        <v>7381</v>
      </c>
      <c r="J752" s="870" t="s">
        <v>7382</v>
      </c>
      <c r="K752" s="125" t="s">
        <v>7383</v>
      </c>
      <c r="L752" s="16" t="s">
        <v>209</v>
      </c>
      <c r="M752" s="8">
        <v>4</v>
      </c>
      <c r="N752" s="873"/>
      <c r="O752" s="430"/>
      <c r="P752" s="870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4" t="s">
        <v>7400</v>
      </c>
      <c r="I753" s="870" t="s">
        <v>7397</v>
      </c>
      <c r="J753" s="870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>
      <c r="A754" s="865"/>
      <c r="B754" s="399">
        <v>46310</v>
      </c>
      <c r="C754" s="4" t="s">
        <v>21</v>
      </c>
      <c r="D754" s="4" t="s">
        <v>14</v>
      </c>
      <c r="E754" s="870" t="s">
        <v>7371</v>
      </c>
      <c r="F754" s="453" t="s">
        <v>4902</v>
      </c>
      <c r="G754" s="16" t="s">
        <v>7376</v>
      </c>
      <c r="H754" s="875" t="s">
        <v>7372</v>
      </c>
      <c r="I754" s="870"/>
      <c r="J754" s="870" t="s">
        <v>7373</v>
      </c>
      <c r="K754" s="125" t="s">
        <v>7374</v>
      </c>
      <c r="L754" s="16" t="s">
        <v>4550</v>
      </c>
      <c r="M754" s="8">
        <v>1</v>
      </c>
      <c r="N754" s="873"/>
      <c r="O754" s="430" t="s">
        <v>7375</v>
      </c>
      <c r="P754" s="870"/>
    </row>
    <row r="755" spans="1:16" s="17" customFormat="1" ht="33" customHeight="1">
      <c r="A755" s="851"/>
      <c r="B755" s="399">
        <v>46310</v>
      </c>
      <c r="C755" s="4" t="s">
        <v>21</v>
      </c>
      <c r="D755" s="4" t="s">
        <v>14</v>
      </c>
      <c r="E755" s="853" t="s">
        <v>7305</v>
      </c>
      <c r="F755" s="454" t="s">
        <v>7306</v>
      </c>
      <c r="G755" s="16" t="s">
        <v>7307</v>
      </c>
      <c r="H755" s="858" t="s">
        <v>7402</v>
      </c>
      <c r="I755" s="853"/>
      <c r="J755" s="853" t="s">
        <v>7309</v>
      </c>
      <c r="K755" s="125" t="s">
        <v>7310</v>
      </c>
      <c r="L755" s="16" t="s">
        <v>7311</v>
      </c>
      <c r="M755" s="8">
        <v>2</v>
      </c>
      <c r="N755" s="857"/>
      <c r="O755" s="430"/>
      <c r="P755" s="853"/>
    </row>
    <row r="756" spans="1:16" s="17" customFormat="1" ht="33" customHeight="1">
      <c r="A756" s="842"/>
      <c r="B756" s="399">
        <v>46310</v>
      </c>
      <c r="C756" s="4" t="s">
        <v>64</v>
      </c>
      <c r="D756" s="4" t="s">
        <v>30</v>
      </c>
      <c r="E756" s="870" t="s">
        <v>1895</v>
      </c>
      <c r="F756" s="454">
        <v>7062</v>
      </c>
      <c r="G756" s="16" t="s">
        <v>205</v>
      </c>
      <c r="H756" s="874" t="s">
        <v>7297</v>
      </c>
      <c r="I756" s="870"/>
      <c r="J756" s="874" t="s">
        <v>7298</v>
      </c>
      <c r="K756" s="125" t="s">
        <v>84</v>
      </c>
      <c r="L756" s="16" t="s">
        <v>4550</v>
      </c>
      <c r="M756" s="8">
        <v>2</v>
      </c>
      <c r="N756" s="844"/>
      <c r="O756" s="430" t="s">
        <v>7412</v>
      </c>
      <c r="P756" s="843"/>
    </row>
    <row r="757" spans="1:16" s="17" customFormat="1" ht="33" customHeight="1">
      <c r="A757" s="865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74" t="s">
        <v>7417</v>
      </c>
      <c r="I757" s="870" t="s">
        <v>7418</v>
      </c>
      <c r="J757" s="870" t="s">
        <v>7419</v>
      </c>
      <c r="K757" s="125" t="s">
        <v>7420</v>
      </c>
      <c r="L757" s="16" t="s">
        <v>7422</v>
      </c>
      <c r="M757" s="8">
        <v>6</v>
      </c>
      <c r="N757" s="873"/>
      <c r="O757" s="430"/>
      <c r="P757" s="870"/>
    </row>
    <row r="758" spans="1:16" s="17" customFormat="1" ht="33" customHeight="1">
      <c r="A758" s="865"/>
      <c r="B758" s="399">
        <v>46310</v>
      </c>
      <c r="C758" s="4" t="s">
        <v>6707</v>
      </c>
      <c r="D758" s="4" t="s">
        <v>25</v>
      </c>
      <c r="E758" s="870" t="s">
        <v>6709</v>
      </c>
      <c r="F758" s="870">
        <v>7065</v>
      </c>
      <c r="G758" s="16" t="s">
        <v>145</v>
      </c>
      <c r="H758" s="874" t="s">
        <v>6706</v>
      </c>
      <c r="I758" s="870" t="s">
        <v>7421</v>
      </c>
      <c r="J758" s="874"/>
      <c r="K758" s="277" t="s">
        <v>209</v>
      </c>
      <c r="L758" s="16">
        <v>9080</v>
      </c>
      <c r="M758" s="18" t="s">
        <v>209</v>
      </c>
      <c r="N758" s="873"/>
      <c r="O758" s="430"/>
      <c r="P758" s="870"/>
    </row>
    <row r="759" spans="1:16" s="17" customFormat="1" ht="33" customHeight="1">
      <c r="A759" s="865"/>
      <c r="B759" s="399">
        <v>46311</v>
      </c>
      <c r="C759" s="4" t="s">
        <v>64</v>
      </c>
      <c r="D759" s="4" t="s">
        <v>30</v>
      </c>
      <c r="E759" s="870" t="s">
        <v>1895</v>
      </c>
      <c r="F759" s="454">
        <v>7062</v>
      </c>
      <c r="G759" s="16" t="s">
        <v>205</v>
      </c>
      <c r="H759" s="874" t="s">
        <v>7254</v>
      </c>
      <c r="I759" s="870"/>
      <c r="J759" s="874" t="s">
        <v>7298</v>
      </c>
      <c r="K759" s="125" t="s">
        <v>84</v>
      </c>
      <c r="L759" s="16" t="s">
        <v>4550</v>
      </c>
      <c r="M759" s="8">
        <v>2</v>
      </c>
      <c r="N759" s="873"/>
      <c r="O759" s="430" t="s">
        <v>7413</v>
      </c>
      <c r="P759" s="870"/>
    </row>
    <row r="760" spans="1:16" s="17" customFormat="1" ht="33" customHeight="1">
      <c r="A760" s="865"/>
      <c r="B760" s="399">
        <v>46311</v>
      </c>
      <c r="C760" s="4" t="s">
        <v>138</v>
      </c>
      <c r="D760" s="4" t="s">
        <v>177</v>
      </c>
      <c r="E760" s="880" t="s">
        <v>5890</v>
      </c>
      <c r="F760" s="880">
        <v>3307</v>
      </c>
      <c r="G760" s="16" t="s">
        <v>1328</v>
      </c>
      <c r="H760" s="886" t="s">
        <v>6970</v>
      </c>
      <c r="I760" s="880" t="s">
        <v>3730</v>
      </c>
      <c r="J760" s="880" t="s">
        <v>7466</v>
      </c>
      <c r="K760" s="125" t="s">
        <v>181</v>
      </c>
      <c r="L760" s="16" t="s">
        <v>209</v>
      </c>
      <c r="M760" s="8">
        <v>4</v>
      </c>
      <c r="N760" s="873"/>
      <c r="O760" s="430"/>
      <c r="P760" s="870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53" t="s">
        <v>7305</v>
      </c>
      <c r="F761" s="853" t="s">
        <v>7306</v>
      </c>
      <c r="G761" s="16" t="s">
        <v>7307</v>
      </c>
      <c r="H761" s="858" t="s">
        <v>7403</v>
      </c>
      <c r="I761" s="853"/>
      <c r="J761" s="853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51"/>
      <c r="B762" s="399">
        <v>46311</v>
      </c>
      <c r="C762" s="4" t="s">
        <v>7405</v>
      </c>
      <c r="D762" s="4" t="s">
        <v>17</v>
      </c>
      <c r="E762" s="853" t="s">
        <v>100</v>
      </c>
      <c r="F762" s="453" t="s">
        <v>7406</v>
      </c>
      <c r="G762" s="16" t="s">
        <v>37</v>
      </c>
      <c r="H762" s="858" t="s">
        <v>7407</v>
      </c>
      <c r="I762" s="853" t="s">
        <v>7408</v>
      </c>
      <c r="J762" s="853" t="s">
        <v>7409</v>
      </c>
      <c r="K762" s="125" t="s">
        <v>84</v>
      </c>
      <c r="L762" s="16" t="s">
        <v>7410</v>
      </c>
      <c r="M762" s="8">
        <v>2</v>
      </c>
      <c r="N762" s="857"/>
      <c r="O762" s="430" t="s">
        <v>5645</v>
      </c>
      <c r="P762" s="853"/>
    </row>
    <row r="763" spans="1:16" s="17" customFormat="1" ht="33" customHeight="1">
      <c r="A763" s="865"/>
      <c r="B763" s="399">
        <v>46311</v>
      </c>
      <c r="C763" s="4" t="s">
        <v>6707</v>
      </c>
      <c r="D763" s="4" t="s">
        <v>25</v>
      </c>
      <c r="E763" s="870" t="s">
        <v>6709</v>
      </c>
      <c r="F763" s="870">
        <v>7065</v>
      </c>
      <c r="G763" s="16" t="s">
        <v>145</v>
      </c>
      <c r="H763" s="874" t="s">
        <v>6706</v>
      </c>
      <c r="I763" s="870" t="s">
        <v>7423</v>
      </c>
      <c r="J763" s="874"/>
      <c r="K763" s="277" t="s">
        <v>209</v>
      </c>
      <c r="L763" s="16">
        <v>9080</v>
      </c>
      <c r="M763" s="18" t="s">
        <v>209</v>
      </c>
      <c r="N763" s="873"/>
      <c r="O763" s="430"/>
      <c r="P763" s="870"/>
    </row>
    <row r="764" spans="1:16" s="17" customFormat="1" ht="33" customHeight="1">
      <c r="A764" s="865"/>
      <c r="B764" s="369">
        <v>46312</v>
      </c>
      <c r="C764" s="4" t="s">
        <v>21</v>
      </c>
      <c r="D764" s="4" t="s">
        <v>30</v>
      </c>
      <c r="E764" s="870" t="s">
        <v>3421</v>
      </c>
      <c r="F764" s="870">
        <v>7062</v>
      </c>
      <c r="G764" s="16" t="s">
        <v>205</v>
      </c>
      <c r="H764" s="874" t="s">
        <v>7259</v>
      </c>
      <c r="I764" s="870"/>
      <c r="J764" s="874" t="s">
        <v>7395</v>
      </c>
      <c r="K764" s="125" t="s">
        <v>84</v>
      </c>
      <c r="L764" s="16" t="s">
        <v>4550</v>
      </c>
      <c r="M764" s="8">
        <v>2</v>
      </c>
      <c r="N764" s="873"/>
      <c r="O764" s="430"/>
      <c r="P764" s="870"/>
    </row>
    <row r="765" spans="1:16" s="17" customFormat="1" ht="33" customHeight="1">
      <c r="A765" s="865"/>
      <c r="B765" s="369">
        <v>46312</v>
      </c>
      <c r="C765" s="4" t="s">
        <v>138</v>
      </c>
      <c r="D765" s="4" t="s">
        <v>177</v>
      </c>
      <c r="E765" s="880" t="s">
        <v>5890</v>
      </c>
      <c r="F765" s="880">
        <v>3307</v>
      </c>
      <c r="G765" s="16" t="s">
        <v>1328</v>
      </c>
      <c r="H765" s="886" t="s">
        <v>6970</v>
      </c>
      <c r="I765" s="880" t="s">
        <v>3730</v>
      </c>
      <c r="J765" s="880" t="s">
        <v>7466</v>
      </c>
      <c r="K765" s="125" t="s">
        <v>181</v>
      </c>
      <c r="L765" s="16" t="s">
        <v>209</v>
      </c>
      <c r="M765" s="8">
        <v>4</v>
      </c>
      <c r="N765" s="873"/>
      <c r="O765" s="430"/>
      <c r="P765" s="870"/>
    </row>
    <row r="766" spans="1:16" s="17" customFormat="1" ht="33" customHeight="1">
      <c r="A766" s="865"/>
      <c r="B766" s="369">
        <v>46312</v>
      </c>
      <c r="C766" s="4" t="s">
        <v>21</v>
      </c>
      <c r="D766" s="4" t="s">
        <v>14</v>
      </c>
      <c r="E766" s="870" t="s">
        <v>7305</v>
      </c>
      <c r="F766" s="870" t="s">
        <v>7306</v>
      </c>
      <c r="G766" s="16" t="s">
        <v>207</v>
      </c>
      <c r="H766" s="874" t="s">
        <v>7404</v>
      </c>
      <c r="I766" s="870"/>
      <c r="J766" s="870" t="s">
        <v>7309</v>
      </c>
      <c r="K766" s="125" t="s">
        <v>3645</v>
      </c>
      <c r="L766" s="16" t="s">
        <v>209</v>
      </c>
      <c r="M766" s="8">
        <v>2</v>
      </c>
      <c r="N766" s="873"/>
      <c r="O766" s="430"/>
      <c r="P766" s="870"/>
    </row>
    <row r="767" spans="1:16" s="17" customFormat="1" ht="33" customHeight="1">
      <c r="A767" s="865"/>
      <c r="B767" s="369">
        <v>46313</v>
      </c>
      <c r="C767" s="4" t="s">
        <v>138</v>
      </c>
      <c r="D767" s="4" t="s">
        <v>177</v>
      </c>
      <c r="E767" s="880" t="s">
        <v>5890</v>
      </c>
      <c r="F767" s="880">
        <v>3307</v>
      </c>
      <c r="G767" s="16" t="s">
        <v>1328</v>
      </c>
      <c r="H767" s="886" t="s">
        <v>6970</v>
      </c>
      <c r="I767" s="880" t="s">
        <v>3730</v>
      </c>
      <c r="J767" s="880" t="s">
        <v>7466</v>
      </c>
      <c r="K767" s="125" t="s">
        <v>181</v>
      </c>
      <c r="L767" s="16" t="s">
        <v>209</v>
      </c>
      <c r="M767" s="8">
        <v>4</v>
      </c>
      <c r="N767" s="873"/>
      <c r="O767" s="430"/>
      <c r="P767" s="870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53" t="s">
        <v>7305</v>
      </c>
      <c r="F768" s="853" t="s">
        <v>7306</v>
      </c>
      <c r="G768" s="16" t="s">
        <v>7307</v>
      </c>
      <c r="H768" s="874" t="s">
        <v>7404</v>
      </c>
      <c r="I768" s="853"/>
      <c r="J768" s="853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9"/>
      <c r="B771" s="399">
        <v>46314</v>
      </c>
      <c r="C771" s="4" t="s">
        <v>138</v>
      </c>
      <c r="D771" s="4" t="s">
        <v>177</v>
      </c>
      <c r="E771" s="880" t="s">
        <v>5890</v>
      </c>
      <c r="F771" s="880">
        <v>3307</v>
      </c>
      <c r="G771" s="16" t="s">
        <v>1328</v>
      </c>
      <c r="H771" s="886" t="s">
        <v>6970</v>
      </c>
      <c r="I771" s="880" t="s">
        <v>3730</v>
      </c>
      <c r="J771" s="880" t="s">
        <v>7466</v>
      </c>
      <c r="K771" s="125" t="s">
        <v>181</v>
      </c>
      <c r="L771" s="16" t="s">
        <v>209</v>
      </c>
      <c r="M771" s="8">
        <v>4</v>
      </c>
      <c r="N771" s="880"/>
      <c r="O771" s="431"/>
      <c r="P771" s="880"/>
    </row>
    <row r="772" spans="1:16" s="17" customFormat="1" ht="33" customHeight="1">
      <c r="A772" s="865"/>
      <c r="B772" s="399">
        <v>46314</v>
      </c>
      <c r="C772" s="4" t="s">
        <v>6707</v>
      </c>
      <c r="D772" s="4" t="s">
        <v>25</v>
      </c>
      <c r="E772" s="870" t="s">
        <v>6709</v>
      </c>
      <c r="F772" s="870">
        <v>7065</v>
      </c>
      <c r="G772" s="16" t="s">
        <v>145</v>
      </c>
      <c r="H772" s="874" t="s">
        <v>7447</v>
      </c>
      <c r="I772" s="870" t="s">
        <v>7448</v>
      </c>
      <c r="J772" s="874"/>
      <c r="K772" s="277" t="s">
        <v>209</v>
      </c>
      <c r="L772" s="16" t="s">
        <v>4550</v>
      </c>
      <c r="M772" s="18" t="s">
        <v>209</v>
      </c>
      <c r="N772" s="870"/>
      <c r="O772" s="431"/>
      <c r="P772" s="870"/>
    </row>
    <row r="773" spans="1:16" s="17" customFormat="1" ht="40.5">
      <c r="A773" s="865"/>
      <c r="B773" s="399">
        <v>46314</v>
      </c>
      <c r="C773" s="4" t="s">
        <v>21</v>
      </c>
      <c r="D773" s="4" t="s">
        <v>7384</v>
      </c>
      <c r="E773" s="870" t="s">
        <v>7385</v>
      </c>
      <c r="F773" s="870" t="s">
        <v>7386</v>
      </c>
      <c r="G773" s="16" t="s">
        <v>7464</v>
      </c>
      <c r="H773" s="886" t="s">
        <v>7465</v>
      </c>
      <c r="I773" s="870" t="s">
        <v>7408</v>
      </c>
      <c r="J773" s="870"/>
      <c r="K773" s="125" t="s">
        <v>7374</v>
      </c>
      <c r="L773" s="16" t="s">
        <v>7410</v>
      </c>
      <c r="M773" s="8">
        <v>1</v>
      </c>
      <c r="N773" s="870"/>
      <c r="O773" s="431"/>
      <c r="P773" s="870"/>
    </row>
    <row r="774" spans="1:16" s="17" customFormat="1" ht="33" customHeight="1">
      <c r="A774" s="865"/>
      <c r="B774" s="399">
        <v>46315</v>
      </c>
      <c r="C774" s="4" t="s">
        <v>6707</v>
      </c>
      <c r="D774" s="4" t="s">
        <v>25</v>
      </c>
      <c r="E774" s="870" t="s">
        <v>6709</v>
      </c>
      <c r="F774" s="870">
        <v>7065</v>
      </c>
      <c r="G774" s="16" t="s">
        <v>145</v>
      </c>
      <c r="H774" s="874" t="s">
        <v>7447</v>
      </c>
      <c r="I774" s="870" t="s">
        <v>7448</v>
      </c>
      <c r="J774" s="874"/>
      <c r="K774" s="277" t="s">
        <v>209</v>
      </c>
      <c r="L774" s="16" t="s">
        <v>4550</v>
      </c>
      <c r="M774" s="18" t="s">
        <v>209</v>
      </c>
      <c r="N774" s="870"/>
      <c r="O774" s="431"/>
      <c r="P774" s="870"/>
    </row>
    <row r="775" spans="1:16" s="17" customFormat="1" ht="33" customHeight="1">
      <c r="A775" s="879"/>
      <c r="B775" s="399">
        <v>46315</v>
      </c>
      <c r="C775" s="4" t="s">
        <v>138</v>
      </c>
      <c r="D775" s="4" t="s">
        <v>7457</v>
      </c>
      <c r="E775" s="880" t="s">
        <v>7458</v>
      </c>
      <c r="F775" s="880" t="s">
        <v>7459</v>
      </c>
      <c r="G775" s="16" t="s">
        <v>7460</v>
      </c>
      <c r="H775" s="886" t="s">
        <v>7461</v>
      </c>
      <c r="I775" s="880"/>
      <c r="J775" s="886" t="s">
        <v>7462</v>
      </c>
      <c r="K775" s="277" t="s">
        <v>181</v>
      </c>
      <c r="L775" s="16" t="s">
        <v>7463</v>
      </c>
      <c r="M775" s="18">
        <v>1</v>
      </c>
      <c r="N775" s="880"/>
      <c r="O775" s="431"/>
      <c r="P775" s="880"/>
    </row>
    <row r="776" spans="1:16" s="17" customFormat="1" ht="33" customHeight="1">
      <c r="A776" s="865"/>
      <c r="B776" s="399">
        <v>46315</v>
      </c>
      <c r="C776" s="4" t="s">
        <v>21</v>
      </c>
      <c r="D776" s="4" t="s">
        <v>14</v>
      </c>
      <c r="E776" s="291" t="s">
        <v>107</v>
      </c>
      <c r="F776" s="870" t="s">
        <v>3420</v>
      </c>
      <c r="G776" s="16" t="s">
        <v>143</v>
      </c>
      <c r="H776" s="874" t="s">
        <v>7442</v>
      </c>
      <c r="I776" s="870" t="s">
        <v>120</v>
      </c>
      <c r="J776" s="870" t="s">
        <v>7441</v>
      </c>
      <c r="K776" s="125" t="s">
        <v>66</v>
      </c>
      <c r="L776" s="16" t="s">
        <v>4379</v>
      </c>
      <c r="M776" s="8">
        <v>2</v>
      </c>
      <c r="N776" s="870"/>
      <c r="O776" s="431"/>
      <c r="P776" s="870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53" t="s">
        <v>7300</v>
      </c>
      <c r="F777" s="853" t="s">
        <v>7301</v>
      </c>
      <c r="G777" s="16" t="s">
        <v>7294</v>
      </c>
      <c r="H777" s="858" t="s">
        <v>7302</v>
      </c>
      <c r="I777" s="870" t="s">
        <v>7440</v>
      </c>
      <c r="J777" s="870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9"/>
      <c r="B778" s="399">
        <v>46315</v>
      </c>
      <c r="C778" s="4" t="s">
        <v>138</v>
      </c>
      <c r="D778" s="4" t="s">
        <v>177</v>
      </c>
      <c r="E778" s="880" t="s">
        <v>5890</v>
      </c>
      <c r="F778" s="880">
        <v>3307</v>
      </c>
      <c r="G778" s="16" t="s">
        <v>1328</v>
      </c>
      <c r="H778" s="886" t="s">
        <v>6970</v>
      </c>
      <c r="I778" s="880" t="s">
        <v>3730</v>
      </c>
      <c r="J778" s="880" t="s">
        <v>7466</v>
      </c>
      <c r="K778" s="125" t="s">
        <v>181</v>
      </c>
      <c r="L778" s="16" t="s">
        <v>209</v>
      </c>
      <c r="M778" s="8">
        <v>4</v>
      </c>
      <c r="N778" s="880"/>
      <c r="O778" s="431"/>
      <c r="P778" s="880"/>
    </row>
    <row r="779" spans="1:16" s="17" customFormat="1" ht="33" customHeight="1">
      <c r="A779" s="879"/>
      <c r="B779" s="399">
        <v>46316</v>
      </c>
      <c r="C779" s="4" t="s">
        <v>138</v>
      </c>
      <c r="D779" s="4" t="s">
        <v>7457</v>
      </c>
      <c r="E779" s="880" t="s">
        <v>7458</v>
      </c>
      <c r="F779" s="880" t="s">
        <v>7459</v>
      </c>
      <c r="G779" s="16" t="s">
        <v>7460</v>
      </c>
      <c r="H779" s="886" t="s">
        <v>7461</v>
      </c>
      <c r="I779" s="880"/>
      <c r="J779" s="886" t="s">
        <v>7462</v>
      </c>
      <c r="K779" s="277" t="s">
        <v>181</v>
      </c>
      <c r="L779" s="16" t="s">
        <v>7463</v>
      </c>
      <c r="M779" s="18">
        <v>1</v>
      </c>
      <c r="N779" s="880"/>
      <c r="O779" s="431"/>
      <c r="P779" s="880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53" t="s">
        <v>7300</v>
      </c>
      <c r="F780" s="853" t="s">
        <v>7301</v>
      </c>
      <c r="G780" s="16" t="s">
        <v>7294</v>
      </c>
      <c r="H780" s="858" t="s">
        <v>7302</v>
      </c>
      <c r="I780" s="870" t="s">
        <v>7440</v>
      </c>
      <c r="J780" s="870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5"/>
      <c r="B781" s="399">
        <v>46316</v>
      </c>
      <c r="C781" s="4" t="s">
        <v>6707</v>
      </c>
      <c r="D781" s="4" t="s">
        <v>25</v>
      </c>
      <c r="E781" s="870" t="s">
        <v>6709</v>
      </c>
      <c r="F781" s="870">
        <v>7065</v>
      </c>
      <c r="G781" s="16" t="s">
        <v>145</v>
      </c>
      <c r="H781" s="874" t="s">
        <v>7447</v>
      </c>
      <c r="I781" s="874" t="s">
        <v>7450</v>
      </c>
      <c r="J781" s="874"/>
      <c r="K781" s="277" t="s">
        <v>209</v>
      </c>
      <c r="L781" s="16" t="s">
        <v>4550</v>
      </c>
      <c r="M781" s="18" t="s">
        <v>209</v>
      </c>
      <c r="N781" s="873"/>
      <c r="O781" s="430"/>
      <c r="P781" s="870"/>
    </row>
    <row r="782" spans="1:16" s="17" customFormat="1" ht="33" customHeight="1">
      <c r="A782" s="879"/>
      <c r="B782" s="399">
        <v>46316</v>
      </c>
      <c r="C782" s="4" t="s">
        <v>138</v>
      </c>
      <c r="D782" s="4" t="s">
        <v>177</v>
      </c>
      <c r="E782" s="880" t="s">
        <v>5890</v>
      </c>
      <c r="F782" s="880">
        <v>3307</v>
      </c>
      <c r="G782" s="16" t="s">
        <v>1328</v>
      </c>
      <c r="H782" s="886" t="s">
        <v>6970</v>
      </c>
      <c r="I782" s="880" t="s">
        <v>3730</v>
      </c>
      <c r="J782" s="880" t="s">
        <v>7466</v>
      </c>
      <c r="K782" s="125" t="s">
        <v>181</v>
      </c>
      <c r="L782" s="16" t="s">
        <v>209</v>
      </c>
      <c r="M782" s="8">
        <v>4</v>
      </c>
      <c r="N782" s="884"/>
      <c r="O782" s="430"/>
      <c r="P782" s="880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53" t="s">
        <v>7300</v>
      </c>
      <c r="F783" s="853" t="s">
        <v>7301</v>
      </c>
      <c r="G783" s="16" t="s">
        <v>7294</v>
      </c>
      <c r="H783" s="858" t="s">
        <v>7302</v>
      </c>
      <c r="I783" s="870" t="s">
        <v>7440</v>
      </c>
      <c r="J783" s="870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9"/>
      <c r="B784" s="399">
        <v>46317</v>
      </c>
      <c r="C784" s="4" t="s">
        <v>138</v>
      </c>
      <c r="D784" s="4" t="s">
        <v>7457</v>
      </c>
      <c r="E784" s="880" t="s">
        <v>7458</v>
      </c>
      <c r="F784" s="880" t="s">
        <v>7459</v>
      </c>
      <c r="G784" s="16" t="s">
        <v>7460</v>
      </c>
      <c r="H784" s="886" t="s">
        <v>7461</v>
      </c>
      <c r="I784" s="880"/>
      <c r="J784" s="886" t="s">
        <v>7462</v>
      </c>
      <c r="K784" s="277" t="s">
        <v>181</v>
      </c>
      <c r="L784" s="16" t="s">
        <v>7463</v>
      </c>
      <c r="M784" s="18">
        <v>1</v>
      </c>
      <c r="N784" s="884"/>
      <c r="O784" s="430"/>
      <c r="P784" s="880"/>
    </row>
    <row r="785" spans="1:16" s="17" customFormat="1" ht="33" customHeight="1">
      <c r="A785" s="865"/>
      <c r="B785" s="399">
        <v>46317</v>
      </c>
      <c r="C785" s="4" t="s">
        <v>6707</v>
      </c>
      <c r="D785" s="4" t="s">
        <v>25</v>
      </c>
      <c r="E785" s="870" t="s">
        <v>6709</v>
      </c>
      <c r="F785" s="870">
        <v>7065</v>
      </c>
      <c r="G785" s="16" t="s">
        <v>145</v>
      </c>
      <c r="H785" s="874" t="s">
        <v>7447</v>
      </c>
      <c r="I785" s="870" t="s">
        <v>7448</v>
      </c>
      <c r="J785" s="874"/>
      <c r="K785" s="277" t="s">
        <v>209</v>
      </c>
      <c r="L785" s="16" t="s">
        <v>7521</v>
      </c>
      <c r="M785" s="18" t="s">
        <v>209</v>
      </c>
      <c r="N785" s="873"/>
      <c r="O785" s="430"/>
      <c r="P785" s="870"/>
    </row>
    <row r="786" spans="1:16" s="17" customFormat="1" ht="33" customHeight="1">
      <c r="A786" s="865"/>
      <c r="B786" s="399">
        <v>46317</v>
      </c>
      <c r="C786" s="4" t="s">
        <v>7405</v>
      </c>
      <c r="D786" s="4" t="s">
        <v>30</v>
      </c>
      <c r="E786" s="870" t="s">
        <v>7429</v>
      </c>
      <c r="F786" s="870" t="s">
        <v>7430</v>
      </c>
      <c r="G786" s="16" t="s">
        <v>7431</v>
      </c>
      <c r="H786" s="874" t="s">
        <v>7504</v>
      </c>
      <c r="I786" s="870" t="s">
        <v>7433</v>
      </c>
      <c r="J786" s="870" t="s">
        <v>7432</v>
      </c>
      <c r="K786" s="125" t="s">
        <v>84</v>
      </c>
      <c r="L786" s="16" t="s">
        <v>6287</v>
      </c>
      <c r="M786" s="8">
        <v>2</v>
      </c>
      <c r="N786" s="873"/>
      <c r="O786" s="430" t="s">
        <v>7505</v>
      </c>
      <c r="P786" s="870"/>
    </row>
    <row r="787" spans="1:16" s="17" customFormat="1" ht="33" customHeight="1">
      <c r="A787" s="879"/>
      <c r="B787" s="399">
        <v>46317</v>
      </c>
      <c r="C787" s="4" t="s">
        <v>138</v>
      </c>
      <c r="D787" s="4" t="s">
        <v>177</v>
      </c>
      <c r="E787" s="880" t="s">
        <v>5890</v>
      </c>
      <c r="F787" s="880">
        <v>3307</v>
      </c>
      <c r="G787" s="16" t="s">
        <v>1328</v>
      </c>
      <c r="H787" s="886" t="s">
        <v>7506</v>
      </c>
      <c r="I787" s="880" t="s">
        <v>3730</v>
      </c>
      <c r="J787" s="880" t="s">
        <v>7466</v>
      </c>
      <c r="K787" s="125" t="s">
        <v>181</v>
      </c>
      <c r="L787" s="16" t="s">
        <v>209</v>
      </c>
      <c r="M787" s="8">
        <v>4</v>
      </c>
      <c r="N787" s="884"/>
      <c r="O787" s="430"/>
      <c r="P787" s="880"/>
    </row>
    <row r="788" spans="1:16" s="17" customFormat="1" ht="33" customHeight="1">
      <c r="A788" s="893"/>
      <c r="B788" s="399">
        <v>46318</v>
      </c>
      <c r="C788" s="4" t="s">
        <v>7405</v>
      </c>
      <c r="D788" s="4" t="s">
        <v>14</v>
      </c>
      <c r="E788" s="894" t="s">
        <v>7429</v>
      </c>
      <c r="F788" s="894" t="s">
        <v>2959</v>
      </c>
      <c r="G788" s="16" t="s">
        <v>143</v>
      </c>
      <c r="H788" s="896" t="s">
        <v>7522</v>
      </c>
      <c r="I788" s="894"/>
      <c r="J788" s="894" t="s">
        <v>7528</v>
      </c>
      <c r="K788" s="125" t="s">
        <v>7523</v>
      </c>
      <c r="L788" s="16" t="s">
        <v>6287</v>
      </c>
      <c r="M788" s="8">
        <v>2</v>
      </c>
      <c r="N788" s="895"/>
      <c r="O788" s="430" t="s">
        <v>7529</v>
      </c>
      <c r="P788" s="894"/>
    </row>
    <row r="789" spans="1:16" s="17" customFormat="1" ht="40.5">
      <c r="A789" s="865"/>
      <c r="B789" s="399">
        <v>46318</v>
      </c>
      <c r="C789" s="4" t="s">
        <v>7434</v>
      </c>
      <c r="D789" s="4" t="s">
        <v>7435</v>
      </c>
      <c r="E789" s="870" t="s">
        <v>7436</v>
      </c>
      <c r="F789" s="870" t="s">
        <v>7437</v>
      </c>
      <c r="G789" s="16" t="s">
        <v>7438</v>
      </c>
      <c r="H789" s="874" t="s">
        <v>7520</v>
      </c>
      <c r="I789" s="870" t="s">
        <v>120</v>
      </c>
      <c r="J789" s="870"/>
      <c r="K789" s="125" t="s">
        <v>7374</v>
      </c>
      <c r="L789" s="16" t="s">
        <v>7410</v>
      </c>
      <c r="M789" s="8">
        <v>1</v>
      </c>
      <c r="N789" s="873"/>
      <c r="O789" s="430"/>
      <c r="P789" s="870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70" t="s">
        <v>6709</v>
      </c>
      <c r="F790" s="870">
        <v>7065</v>
      </c>
      <c r="G790" s="16" t="s">
        <v>145</v>
      </c>
      <c r="H790" s="874" t="s">
        <v>7447</v>
      </c>
      <c r="I790" s="870" t="s">
        <v>7448</v>
      </c>
      <c r="J790" s="874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9"/>
      <c r="B791" s="399">
        <v>46318</v>
      </c>
      <c r="C791" s="4"/>
      <c r="D791" s="4"/>
      <c r="E791" s="880"/>
      <c r="F791" s="880"/>
      <c r="G791" s="16"/>
      <c r="H791" s="886"/>
      <c r="I791" s="880"/>
      <c r="J791" s="880"/>
      <c r="K791" s="125"/>
      <c r="L791" s="16"/>
      <c r="M791" s="8"/>
      <c r="N791" s="884"/>
      <c r="O791" s="430"/>
      <c r="P791" s="880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50" t="s">
        <v>7319</v>
      </c>
      <c r="B793" s="399">
        <v>46321</v>
      </c>
      <c r="C793" s="4" t="s">
        <v>21</v>
      </c>
      <c r="D793" s="4" t="s">
        <v>7425</v>
      </c>
      <c r="E793" s="874" t="s">
        <v>3280</v>
      </c>
      <c r="F793" s="870" t="s">
        <v>3635</v>
      </c>
      <c r="G793" s="16" t="s">
        <v>7426</v>
      </c>
      <c r="H793" s="874" t="s">
        <v>7427</v>
      </c>
      <c r="I793" s="853"/>
      <c r="J793" s="853" t="s">
        <v>7428</v>
      </c>
      <c r="K793" s="125" t="s">
        <v>7387</v>
      </c>
      <c r="L793" s="16" t="s">
        <v>7388</v>
      </c>
      <c r="M793" s="8">
        <v>1</v>
      </c>
      <c r="N793" s="853"/>
      <c r="O793" s="431"/>
      <c r="P793" s="853"/>
    </row>
    <row r="794" spans="1:16" s="17" customFormat="1" ht="33" customHeight="1">
      <c r="A794" s="893"/>
      <c r="B794" s="399">
        <v>46321</v>
      </c>
      <c r="C794" s="4" t="s">
        <v>21</v>
      </c>
      <c r="D794" s="4" t="s">
        <v>14</v>
      </c>
      <c r="E794" s="896" t="s">
        <v>7513</v>
      </c>
      <c r="F794" s="894" t="s">
        <v>7512</v>
      </c>
      <c r="G794" s="16" t="s">
        <v>2965</v>
      </c>
      <c r="H794" s="896" t="s">
        <v>7514</v>
      </c>
      <c r="I794" s="896" t="s">
        <v>7515</v>
      </c>
      <c r="J794" s="896" t="s">
        <v>7516</v>
      </c>
      <c r="K794" s="125" t="s">
        <v>15</v>
      </c>
      <c r="L794" s="16" t="s">
        <v>7517</v>
      </c>
      <c r="M794" s="8">
        <v>6</v>
      </c>
      <c r="N794" s="894"/>
      <c r="O794" s="431"/>
      <c r="P794" s="894"/>
    </row>
    <row r="795" spans="1:16" s="17" customFormat="1" ht="33" customHeight="1">
      <c r="A795" s="865"/>
      <c r="B795" s="399">
        <v>46321</v>
      </c>
      <c r="C795" s="4" t="s">
        <v>7443</v>
      </c>
      <c r="D795" s="4" t="s">
        <v>7444</v>
      </c>
      <c r="E795" s="874" t="s">
        <v>6551</v>
      </c>
      <c r="F795" s="870">
        <v>8262</v>
      </c>
      <c r="G795" s="16" t="s">
        <v>7445</v>
      </c>
      <c r="H795" s="874" t="s">
        <v>7541</v>
      </c>
      <c r="I795" s="870"/>
      <c r="J795" s="870" t="s">
        <v>7446</v>
      </c>
      <c r="K795" s="125" t="s">
        <v>84</v>
      </c>
      <c r="L795" s="16" t="s">
        <v>7388</v>
      </c>
      <c r="M795" s="8">
        <v>1</v>
      </c>
      <c r="N795" s="870"/>
      <c r="O795" s="431"/>
      <c r="P795" s="870"/>
    </row>
    <row r="796" spans="1:16" s="17" customFormat="1" ht="33" customHeight="1">
      <c r="A796" s="909"/>
      <c r="B796" s="399">
        <v>46321</v>
      </c>
      <c r="C796" s="4" t="s">
        <v>24</v>
      </c>
      <c r="D796" s="4" t="s">
        <v>14</v>
      </c>
      <c r="E796" s="910" t="s">
        <v>107</v>
      </c>
      <c r="F796" s="910" t="s">
        <v>7430</v>
      </c>
      <c r="G796" s="16" t="s">
        <v>143</v>
      </c>
      <c r="H796" s="912" t="s">
        <v>7531</v>
      </c>
      <c r="I796" s="910"/>
      <c r="J796" s="910" t="s">
        <v>7530</v>
      </c>
      <c r="K796" s="125" t="s">
        <v>15</v>
      </c>
      <c r="L796" s="16" t="s">
        <v>6287</v>
      </c>
      <c r="M796" s="8">
        <v>2</v>
      </c>
      <c r="N796" s="910"/>
      <c r="O796" s="431"/>
      <c r="P796" s="910"/>
    </row>
    <row r="797" spans="1:16" s="17" customFormat="1" ht="33" customHeight="1">
      <c r="A797" s="909"/>
      <c r="B797" s="399">
        <v>46321</v>
      </c>
      <c r="C797" s="4" t="s">
        <v>6707</v>
      </c>
      <c r="D797" s="4" t="s">
        <v>25</v>
      </c>
      <c r="E797" s="910" t="s">
        <v>6709</v>
      </c>
      <c r="F797" s="910">
        <v>7065</v>
      </c>
      <c r="G797" s="16" t="s">
        <v>145</v>
      </c>
      <c r="H797" s="912" t="s">
        <v>7538</v>
      </c>
      <c r="I797" s="910" t="s">
        <v>7539</v>
      </c>
      <c r="J797" s="910"/>
      <c r="K797" s="277" t="s">
        <v>209</v>
      </c>
      <c r="L797" s="16">
        <v>9080</v>
      </c>
      <c r="M797" s="18" t="s">
        <v>209</v>
      </c>
      <c r="N797" s="910"/>
      <c r="O797" s="431"/>
      <c r="P797" s="910"/>
    </row>
    <row r="798" spans="1:16" s="17" customFormat="1" ht="33" customHeight="1">
      <c r="A798" s="909"/>
      <c r="B798" s="399">
        <v>46322</v>
      </c>
      <c r="C798" s="4" t="s">
        <v>24</v>
      </c>
      <c r="D798" s="4" t="s">
        <v>14</v>
      </c>
      <c r="E798" s="910" t="s">
        <v>107</v>
      </c>
      <c r="F798" s="910" t="s">
        <v>7430</v>
      </c>
      <c r="G798" s="16" t="s">
        <v>143</v>
      </c>
      <c r="H798" s="912" t="s">
        <v>271</v>
      </c>
      <c r="I798" s="910"/>
      <c r="J798" s="910" t="s">
        <v>7530</v>
      </c>
      <c r="K798" s="125" t="s">
        <v>15</v>
      </c>
      <c r="L798" s="16" t="s">
        <v>6287</v>
      </c>
      <c r="M798" s="8">
        <v>2</v>
      </c>
      <c r="N798" s="910"/>
      <c r="O798" s="431"/>
      <c r="P798" s="910"/>
    </row>
    <row r="799" spans="1:16" s="17" customFormat="1" ht="33" customHeight="1">
      <c r="A799" s="865"/>
      <c r="B799" s="399">
        <v>46322</v>
      </c>
      <c r="C799" s="4" t="s">
        <v>7443</v>
      </c>
      <c r="D799" s="4" t="s">
        <v>7444</v>
      </c>
      <c r="E799" s="874" t="s">
        <v>6551</v>
      </c>
      <c r="F799" s="870">
        <v>8263</v>
      </c>
      <c r="G799" s="16" t="s">
        <v>7445</v>
      </c>
      <c r="H799" s="912" t="s">
        <v>7541</v>
      </c>
      <c r="I799" s="870"/>
      <c r="J799" s="870" t="s">
        <v>7446</v>
      </c>
      <c r="K799" s="125" t="s">
        <v>84</v>
      </c>
      <c r="L799" s="16" t="s">
        <v>7388</v>
      </c>
      <c r="M799" s="8">
        <v>1</v>
      </c>
      <c r="N799" s="870"/>
      <c r="O799" s="431"/>
      <c r="P799" s="870"/>
    </row>
    <row r="800" spans="1:16" s="17" customFormat="1" ht="33" customHeight="1">
      <c r="A800" s="851"/>
      <c r="B800" s="399">
        <v>46322</v>
      </c>
      <c r="C800" s="4" t="s">
        <v>7452</v>
      </c>
      <c r="D800" s="4" t="s">
        <v>7453</v>
      </c>
      <c r="E800" s="874" t="s">
        <v>7279</v>
      </c>
      <c r="F800" s="870" t="s">
        <v>7451</v>
      </c>
      <c r="G800" s="16" t="s">
        <v>7393</v>
      </c>
      <c r="H800" s="874" t="s">
        <v>7454</v>
      </c>
      <c r="I800" s="870" t="s">
        <v>7408</v>
      </c>
      <c r="J800" s="870"/>
      <c r="K800" s="125" t="s">
        <v>7374</v>
      </c>
      <c r="L800" s="16" t="s">
        <v>4379</v>
      </c>
      <c r="M800" s="8">
        <v>1</v>
      </c>
      <c r="N800" s="853"/>
      <c r="O800" s="431"/>
      <c r="P800" s="853"/>
    </row>
    <row r="801" spans="1:17" s="17" customFormat="1" ht="33" customHeight="1">
      <c r="A801" s="909"/>
      <c r="B801" s="399">
        <v>46322</v>
      </c>
      <c r="C801" s="4" t="s">
        <v>6707</v>
      </c>
      <c r="D801" s="4" t="s">
        <v>25</v>
      </c>
      <c r="E801" s="910" t="s">
        <v>6709</v>
      </c>
      <c r="F801" s="910">
        <v>7065</v>
      </c>
      <c r="G801" s="16" t="s">
        <v>145</v>
      </c>
      <c r="H801" s="912" t="s">
        <v>7538</v>
      </c>
      <c r="I801" s="910" t="s">
        <v>7540</v>
      </c>
      <c r="J801" s="910"/>
      <c r="K801" s="277" t="s">
        <v>209</v>
      </c>
      <c r="L801" s="16">
        <v>9080</v>
      </c>
      <c r="M801" s="18" t="s">
        <v>209</v>
      </c>
      <c r="N801" s="910"/>
      <c r="O801" s="431"/>
      <c r="P801" s="910"/>
    </row>
    <row r="802" spans="1:17" s="17" customFormat="1" ht="33" customHeight="1">
      <c r="A802" s="914"/>
      <c r="B802" s="399">
        <v>46323</v>
      </c>
      <c r="C802" s="4" t="s">
        <v>21</v>
      </c>
      <c r="D802" s="4" t="s">
        <v>14</v>
      </c>
      <c r="E802" s="917" t="s">
        <v>7429</v>
      </c>
      <c r="F802" s="917" t="s">
        <v>2959</v>
      </c>
      <c r="G802" s="16" t="s">
        <v>143</v>
      </c>
      <c r="H802" s="919" t="s">
        <v>7522</v>
      </c>
      <c r="I802" s="917"/>
      <c r="J802" s="917"/>
      <c r="K802" s="125"/>
      <c r="L802" s="16"/>
      <c r="M802" s="8"/>
      <c r="N802" s="917"/>
      <c r="O802" s="431"/>
      <c r="P802" s="917"/>
    </row>
    <row r="803" spans="1:17" s="17" customFormat="1" ht="33" customHeight="1">
      <c r="A803" s="851"/>
      <c r="B803" s="399">
        <v>46323</v>
      </c>
      <c r="C803" s="4" t="s">
        <v>6707</v>
      </c>
      <c r="D803" s="4" t="s">
        <v>25</v>
      </c>
      <c r="E803" s="910" t="s">
        <v>6709</v>
      </c>
      <c r="F803" s="910">
        <v>7065</v>
      </c>
      <c r="G803" s="16" t="s">
        <v>145</v>
      </c>
      <c r="H803" s="912" t="s">
        <v>7538</v>
      </c>
      <c r="I803" s="910" t="s">
        <v>7540</v>
      </c>
      <c r="J803" s="910"/>
      <c r="K803" s="277" t="s">
        <v>209</v>
      </c>
      <c r="L803" s="16">
        <v>9080</v>
      </c>
      <c r="M803" s="18" t="s">
        <v>209</v>
      </c>
      <c r="N803" s="857"/>
      <c r="O803" s="430"/>
      <c r="P803" s="853"/>
    </row>
    <row r="804" spans="1:17" s="17" customFormat="1" ht="33" customHeight="1">
      <c r="A804" s="893"/>
      <c r="B804" s="399">
        <v>46323</v>
      </c>
      <c r="C804" s="4" t="s">
        <v>186</v>
      </c>
      <c r="D804" s="4" t="s">
        <v>7444</v>
      </c>
      <c r="E804" s="896" t="s">
        <v>6551</v>
      </c>
      <c r="F804" s="894" t="s">
        <v>7507</v>
      </c>
      <c r="G804" s="16" t="s">
        <v>2193</v>
      </c>
      <c r="H804" s="896" t="s">
        <v>7508</v>
      </c>
      <c r="I804" s="894" t="s">
        <v>7509</v>
      </c>
      <c r="J804" s="894"/>
      <c r="K804" s="125" t="s">
        <v>7510</v>
      </c>
      <c r="L804" s="16" t="s">
        <v>7511</v>
      </c>
      <c r="M804" s="8">
        <v>2</v>
      </c>
      <c r="N804" s="895"/>
      <c r="O804" s="430"/>
      <c r="P804" s="894"/>
    </row>
    <row r="805" spans="1:17" s="17" customFormat="1" ht="33" customHeight="1">
      <c r="A805" s="851"/>
      <c r="B805" s="399">
        <v>46324</v>
      </c>
      <c r="C805" s="4" t="s">
        <v>6707</v>
      </c>
      <c r="D805" s="4" t="s">
        <v>25</v>
      </c>
      <c r="E805" s="910" t="s">
        <v>6709</v>
      </c>
      <c r="F805" s="910">
        <v>7065</v>
      </c>
      <c r="G805" s="16" t="s">
        <v>145</v>
      </c>
      <c r="H805" s="912" t="s">
        <v>7538</v>
      </c>
      <c r="I805" s="910" t="s">
        <v>7540</v>
      </c>
      <c r="J805" s="910"/>
      <c r="K805" s="277" t="s">
        <v>209</v>
      </c>
      <c r="L805" s="16">
        <v>9080</v>
      </c>
      <c r="M805" s="18" t="s">
        <v>209</v>
      </c>
      <c r="N805" s="857" t="s">
        <v>90</v>
      </c>
      <c r="O805" s="430"/>
      <c r="P805" s="853"/>
    </row>
    <row r="806" spans="1:17" s="17" customFormat="1" ht="33" customHeight="1">
      <c r="A806" s="851"/>
      <c r="B806" s="399">
        <v>46325</v>
      </c>
      <c r="C806" s="4" t="s">
        <v>6707</v>
      </c>
      <c r="D806" s="4" t="s">
        <v>25</v>
      </c>
      <c r="E806" s="910" t="s">
        <v>6709</v>
      </c>
      <c r="F806" s="910">
        <v>7065</v>
      </c>
      <c r="G806" s="16" t="s">
        <v>145</v>
      </c>
      <c r="H806" s="912" t="s">
        <v>7538</v>
      </c>
      <c r="I806" s="910" t="s">
        <v>7540</v>
      </c>
      <c r="J806" s="910"/>
      <c r="K806" s="277" t="s">
        <v>209</v>
      </c>
      <c r="L806" s="16">
        <v>9080</v>
      </c>
      <c r="M806" s="18" t="s">
        <v>209</v>
      </c>
      <c r="N806" s="895" t="s">
        <v>90</v>
      </c>
      <c r="O806" s="430"/>
      <c r="P806" s="853"/>
      <c r="Q806" s="17" t="s">
        <v>7449</v>
      </c>
    </row>
    <row r="807" spans="1:17" s="17" customFormat="1" ht="33" customHeight="1">
      <c r="A807" s="893"/>
      <c r="B807" s="369" t="s">
        <v>6575</v>
      </c>
      <c r="C807" s="4" t="s">
        <v>21</v>
      </c>
      <c r="D807" s="4" t="s">
        <v>7455</v>
      </c>
      <c r="E807" s="896" t="s">
        <v>7392</v>
      </c>
      <c r="F807" s="894" t="s">
        <v>3498</v>
      </c>
      <c r="G807" s="16" t="s">
        <v>23</v>
      </c>
      <c r="H807" s="896" t="s">
        <v>7456</v>
      </c>
      <c r="I807" s="894"/>
      <c r="J807" s="894"/>
      <c r="K807" s="125" t="s">
        <v>3584</v>
      </c>
      <c r="L807" s="16"/>
      <c r="M807" s="8"/>
      <c r="N807" s="892"/>
      <c r="O807" s="430" t="s">
        <v>7518</v>
      </c>
      <c r="P807" s="894"/>
    </row>
    <row r="808" spans="1:17" s="17" customFormat="1" ht="33" customHeight="1">
      <c r="A808" s="866"/>
      <c r="B808" s="369" t="s">
        <v>6575</v>
      </c>
      <c r="C808" s="4" t="s">
        <v>21</v>
      </c>
      <c r="D808" s="4" t="s">
        <v>17</v>
      </c>
      <c r="E808" s="291" t="s">
        <v>7392</v>
      </c>
      <c r="F808" s="870" t="s">
        <v>7398</v>
      </c>
      <c r="G808" s="16" t="s">
        <v>7393</v>
      </c>
      <c r="H808" s="874" t="s">
        <v>7394</v>
      </c>
      <c r="I808" s="870"/>
      <c r="J808" s="870"/>
      <c r="K808" s="125"/>
      <c r="L808" s="16"/>
      <c r="M808" s="8"/>
      <c r="N808" s="755"/>
      <c r="O808" s="428" t="s">
        <v>7519</v>
      </c>
      <c r="P808" s="870"/>
    </row>
    <row r="809" spans="1:17" s="17" customFormat="1" ht="33" customHeight="1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7" s="17" customFormat="1" ht="33" customHeight="1">
      <c r="A810" s="850" t="s">
        <v>7320</v>
      </c>
      <c r="B810" s="369">
        <v>46328</v>
      </c>
      <c r="C810" s="4"/>
      <c r="D810" s="4"/>
      <c r="E810" s="853"/>
      <c r="F810" s="853"/>
      <c r="G810" s="16"/>
      <c r="H810" s="858"/>
      <c r="I810" s="853"/>
      <c r="J810" s="853"/>
      <c r="K810" s="125"/>
      <c r="L810" s="16"/>
      <c r="M810" s="8"/>
      <c r="N810" s="853"/>
      <c r="O810" s="431"/>
      <c r="P810" s="853"/>
    </row>
    <row r="811" spans="1:17" s="17" customFormat="1" ht="33" customHeight="1">
      <c r="A811" s="851"/>
      <c r="B811" s="369">
        <v>46329</v>
      </c>
      <c r="C811" s="4" t="s">
        <v>21</v>
      </c>
      <c r="D811" s="4" t="s">
        <v>14</v>
      </c>
      <c r="E811" s="880" t="s">
        <v>107</v>
      </c>
      <c r="F811" s="453" t="s">
        <v>6745</v>
      </c>
      <c r="G811" s="16" t="s">
        <v>376</v>
      </c>
      <c r="H811" s="885" t="s">
        <v>7280</v>
      </c>
      <c r="I811" s="880" t="s">
        <v>120</v>
      </c>
      <c r="J811" s="880"/>
      <c r="K811" s="125" t="s">
        <v>15</v>
      </c>
      <c r="L811" s="16" t="s">
        <v>4379</v>
      </c>
      <c r="M811" s="8">
        <v>1</v>
      </c>
      <c r="N811" s="884"/>
      <c r="O811" s="430" t="s">
        <v>7281</v>
      </c>
      <c r="P811" s="853"/>
    </row>
    <row r="812" spans="1:17" s="17" customFormat="1" ht="33" customHeight="1">
      <c r="A812" s="851"/>
      <c r="B812" s="369">
        <v>46330</v>
      </c>
      <c r="C812" s="4"/>
      <c r="D812" s="4"/>
      <c r="E812" s="853"/>
      <c r="F812" s="853"/>
      <c r="G812" s="16"/>
      <c r="H812" s="858"/>
      <c r="I812" s="853"/>
      <c r="J812" s="853"/>
      <c r="K812" s="125"/>
      <c r="L812" s="16"/>
      <c r="M812" s="8"/>
      <c r="N812" s="857"/>
      <c r="O812" s="430"/>
      <c r="P812" s="853"/>
    </row>
    <row r="813" spans="1:17" s="17" customFormat="1" ht="33" customHeight="1">
      <c r="A813" s="851"/>
      <c r="B813" s="369">
        <v>46331</v>
      </c>
      <c r="C813" s="4" t="s">
        <v>21</v>
      </c>
      <c r="D813" s="4" t="s">
        <v>14</v>
      </c>
      <c r="E813" s="894" t="s">
        <v>7526</v>
      </c>
      <c r="F813" s="853" t="s">
        <v>6816</v>
      </c>
      <c r="G813" s="16" t="s">
        <v>7524</v>
      </c>
      <c r="H813" s="858" t="s">
        <v>7525</v>
      </c>
      <c r="I813" s="853"/>
      <c r="J813" s="853" t="s">
        <v>7527</v>
      </c>
      <c r="K813" s="125" t="s">
        <v>15</v>
      </c>
      <c r="L813" s="16" t="s">
        <v>33</v>
      </c>
      <c r="M813" s="8"/>
      <c r="N813" s="857"/>
      <c r="O813" s="430"/>
      <c r="P813" s="853"/>
    </row>
    <row r="814" spans="1:17" s="17" customFormat="1" ht="33" customHeight="1">
      <c r="A814" s="851"/>
      <c r="B814" s="369">
        <v>46332</v>
      </c>
      <c r="C814" s="4"/>
      <c r="D814" s="4"/>
      <c r="E814" s="853"/>
      <c r="F814" s="853"/>
      <c r="G814" s="16"/>
      <c r="H814" s="858"/>
      <c r="I814" s="853"/>
      <c r="J814" s="858"/>
      <c r="K814" s="125"/>
      <c r="L814" s="16"/>
      <c r="M814" s="8"/>
      <c r="N814" s="857"/>
      <c r="O814" s="430"/>
      <c r="P814" s="853"/>
    </row>
    <row r="815" spans="1:17" s="17" customFormat="1" ht="33" customHeight="1">
      <c r="A815" s="852"/>
      <c r="B815" s="369">
        <v>46333</v>
      </c>
      <c r="C815" s="4"/>
      <c r="D815" s="4"/>
      <c r="E815" s="291"/>
      <c r="F815" s="853"/>
      <c r="G815" s="16"/>
      <c r="H815" s="858"/>
      <c r="I815" s="853"/>
      <c r="J815" s="853"/>
      <c r="K815" s="125"/>
      <c r="L815" s="16"/>
      <c r="M815" s="8"/>
      <c r="N815" s="853"/>
      <c r="O815" s="432"/>
      <c r="P815" s="853"/>
    </row>
    <row r="816" spans="1:17" s="17" customFormat="1" ht="33" customHeight="1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>
      <c r="A817" s="850" t="s">
        <v>7321</v>
      </c>
      <c r="B817" s="369">
        <v>46335</v>
      </c>
      <c r="C817" s="4"/>
      <c r="D817" s="4"/>
      <c r="E817" s="853"/>
      <c r="F817" s="853"/>
      <c r="G817" s="16"/>
      <c r="H817" s="858"/>
      <c r="I817" s="853"/>
      <c r="J817" s="853"/>
      <c r="K817" s="125"/>
      <c r="L817" s="16"/>
      <c r="M817" s="8"/>
      <c r="N817" s="853"/>
      <c r="O817" s="431"/>
      <c r="P817" s="853"/>
    </row>
    <row r="818" spans="1:16" s="17" customFormat="1" ht="40.5">
      <c r="A818" s="851"/>
      <c r="B818" s="369">
        <v>46336</v>
      </c>
      <c r="C818" s="4" t="s">
        <v>7542</v>
      </c>
      <c r="D818" s="4" t="s">
        <v>7543</v>
      </c>
      <c r="E818" s="910" t="s">
        <v>7544</v>
      </c>
      <c r="F818" s="910" t="s">
        <v>7545</v>
      </c>
      <c r="G818" s="16" t="s">
        <v>7546</v>
      </c>
      <c r="H818" s="912" t="s">
        <v>7547</v>
      </c>
      <c r="I818" s="853" t="s">
        <v>7539</v>
      </c>
      <c r="J818" s="853"/>
      <c r="K818" s="125" t="s">
        <v>7548</v>
      </c>
      <c r="L818" s="16" t="s">
        <v>7549</v>
      </c>
      <c r="M818" s="8">
        <v>2</v>
      </c>
      <c r="N818" s="853"/>
      <c r="O818" s="431"/>
      <c r="P818" s="853"/>
    </row>
    <row r="819" spans="1:16" s="17" customFormat="1" ht="33" customHeight="1">
      <c r="A819" s="851"/>
      <c r="B819" s="369">
        <v>46337</v>
      </c>
      <c r="C819" s="4"/>
      <c r="D819" s="4"/>
      <c r="E819" s="853"/>
      <c r="F819" s="853"/>
      <c r="G819" s="16"/>
      <c r="H819" s="858"/>
      <c r="I819" s="853"/>
      <c r="J819" s="853"/>
      <c r="K819" s="125"/>
      <c r="L819" s="16"/>
      <c r="M819" s="8"/>
      <c r="N819" s="857"/>
      <c r="O819" s="430"/>
      <c r="P819" s="853"/>
    </row>
    <row r="820" spans="1:16" s="17" customFormat="1" ht="33" customHeight="1">
      <c r="A820" s="851"/>
      <c r="B820" s="369">
        <v>46338</v>
      </c>
      <c r="C820" s="4" t="s">
        <v>7496</v>
      </c>
      <c r="D820" s="4" t="s">
        <v>7497</v>
      </c>
      <c r="E820" s="853" t="s">
        <v>1787</v>
      </c>
      <c r="F820" s="853" t="s">
        <v>7498</v>
      </c>
      <c r="G820" s="16" t="s">
        <v>7499</v>
      </c>
      <c r="H820" s="858" t="s">
        <v>7500</v>
      </c>
      <c r="I820" s="853" t="s">
        <v>7501</v>
      </c>
      <c r="J820" s="853"/>
      <c r="K820" s="125" t="s">
        <v>7502</v>
      </c>
      <c r="L820" s="16" t="s">
        <v>7503</v>
      </c>
      <c r="M820" s="8">
        <v>1</v>
      </c>
      <c r="N820" s="857"/>
      <c r="O820" s="430"/>
      <c r="P820" s="853"/>
    </row>
    <row r="821" spans="1:16" s="17" customFormat="1" ht="33" customHeight="1">
      <c r="A821" s="909"/>
      <c r="B821" s="369">
        <v>46338</v>
      </c>
      <c r="C821" s="4" t="s">
        <v>24</v>
      </c>
      <c r="D821" s="4" t="s">
        <v>14</v>
      </c>
      <c r="E821" s="910" t="s">
        <v>107</v>
      </c>
      <c r="F821" s="910" t="s">
        <v>2959</v>
      </c>
      <c r="G821" s="16" t="s">
        <v>7532</v>
      </c>
      <c r="H821" s="912" t="s">
        <v>7535</v>
      </c>
      <c r="I821" s="910"/>
      <c r="J821" s="910" t="s">
        <v>255</v>
      </c>
      <c r="K821" s="125"/>
      <c r="L821" s="16"/>
      <c r="M821" s="8"/>
      <c r="N821" s="911"/>
      <c r="O821" s="430"/>
      <c r="P821" s="910"/>
    </row>
    <row r="822" spans="1:16" s="17" customFormat="1" ht="33" customHeight="1">
      <c r="A822" s="909"/>
      <c r="B822" s="369">
        <v>46339</v>
      </c>
      <c r="C822" s="4" t="s">
        <v>24</v>
      </c>
      <c r="D822" s="4" t="s">
        <v>14</v>
      </c>
      <c r="E822" s="910" t="s">
        <v>107</v>
      </c>
      <c r="F822" s="910" t="s">
        <v>2959</v>
      </c>
      <c r="G822" s="16" t="s">
        <v>7533</v>
      </c>
      <c r="H822" s="912" t="s">
        <v>7536</v>
      </c>
      <c r="I822" s="910"/>
      <c r="J822" s="910" t="s">
        <v>255</v>
      </c>
      <c r="K822" s="125"/>
      <c r="L822" s="16"/>
      <c r="M822" s="8"/>
      <c r="N822" s="911"/>
      <c r="O822" s="430"/>
      <c r="P822" s="910"/>
    </row>
    <row r="823" spans="1:16" s="17" customFormat="1" ht="33" customHeight="1">
      <c r="A823" s="851"/>
      <c r="B823" s="369">
        <v>46339</v>
      </c>
      <c r="C823" s="4" t="s">
        <v>24</v>
      </c>
      <c r="D823" s="4" t="s">
        <v>14</v>
      </c>
      <c r="E823" s="910" t="s">
        <v>107</v>
      </c>
      <c r="F823" s="910" t="s">
        <v>2959</v>
      </c>
      <c r="G823" s="16" t="s">
        <v>7534</v>
      </c>
      <c r="H823" s="858" t="s">
        <v>7537</v>
      </c>
      <c r="I823" s="853"/>
      <c r="J823" s="858"/>
      <c r="K823" s="125"/>
      <c r="L823" s="16"/>
      <c r="M823" s="8"/>
      <c r="N823" s="857"/>
      <c r="O823" s="430"/>
      <c r="P823" s="853"/>
    </row>
    <row r="824" spans="1:16" s="17" customFormat="1" ht="33" customHeight="1">
      <c r="A824" s="852"/>
      <c r="B824" s="369">
        <v>46340</v>
      </c>
      <c r="C824" s="4"/>
      <c r="D824" s="4"/>
      <c r="E824" s="291"/>
      <c r="F824" s="853"/>
      <c r="G824" s="16"/>
      <c r="H824" s="858"/>
      <c r="I824" s="853"/>
      <c r="J824" s="853"/>
      <c r="K824" s="125"/>
      <c r="L824" s="16"/>
      <c r="M824" s="8"/>
      <c r="N824" s="853"/>
      <c r="O824" s="432"/>
      <c r="P824" s="853"/>
    </row>
    <row r="825" spans="1:16" s="17" customFormat="1" ht="33" customHeight="1">
      <c r="A825" s="322" t="s">
        <v>0</v>
      </c>
      <c r="B825" s="323" t="s">
        <v>1</v>
      </c>
      <c r="C825" s="322" t="s">
        <v>2</v>
      </c>
      <c r="D825" s="322" t="s">
        <v>3</v>
      </c>
      <c r="E825" s="322" t="s">
        <v>4</v>
      </c>
      <c r="F825" s="322" t="s">
        <v>5</v>
      </c>
      <c r="G825" s="322" t="s">
        <v>6</v>
      </c>
      <c r="H825" s="324" t="s">
        <v>7</v>
      </c>
      <c r="I825" s="322" t="s">
        <v>8</v>
      </c>
      <c r="J825" s="322" t="s">
        <v>9</v>
      </c>
      <c r="K825" s="325" t="s">
        <v>10</v>
      </c>
      <c r="L825" s="326" t="s">
        <v>11</v>
      </c>
      <c r="M825" s="322" t="s">
        <v>12</v>
      </c>
      <c r="N825" s="327" t="s">
        <v>13</v>
      </c>
      <c r="O825" s="427" t="s">
        <v>63</v>
      </c>
      <c r="P825" s="322" t="s">
        <v>123</v>
      </c>
    </row>
    <row r="826" spans="1:16" s="17" customFormat="1" ht="33" customHeight="1">
      <c r="A826" s="850" t="s">
        <v>7322</v>
      </c>
      <c r="B826" s="369">
        <v>46342</v>
      </c>
      <c r="C826" s="4" t="s">
        <v>138</v>
      </c>
      <c r="D826" s="4" t="s">
        <v>30</v>
      </c>
      <c r="E826" s="870" t="s">
        <v>107</v>
      </c>
      <c r="F826" s="870" t="s">
        <v>3345</v>
      </c>
      <c r="G826" s="16" t="s">
        <v>67</v>
      </c>
      <c r="H826" s="874" t="s">
        <v>7329</v>
      </c>
      <c r="I826" s="870"/>
      <c r="J826" s="870" t="s">
        <v>7317</v>
      </c>
      <c r="K826" s="125" t="s">
        <v>84</v>
      </c>
      <c r="L826" s="16" t="s">
        <v>4550</v>
      </c>
      <c r="M826" s="8"/>
      <c r="N826" s="853"/>
      <c r="O826" s="431"/>
      <c r="P826" s="853"/>
    </row>
    <row r="827" spans="1:16" s="17" customFormat="1" ht="33" customHeight="1">
      <c r="A827" s="851"/>
      <c r="B827" s="369">
        <v>46343</v>
      </c>
      <c r="C827" s="4" t="s">
        <v>138</v>
      </c>
      <c r="D827" s="4" t="s">
        <v>30</v>
      </c>
      <c r="E827" s="870" t="s">
        <v>107</v>
      </c>
      <c r="F827" s="870" t="s">
        <v>3345</v>
      </c>
      <c r="G827" s="16" t="s">
        <v>67</v>
      </c>
      <c r="H827" s="874" t="s">
        <v>7329</v>
      </c>
      <c r="I827" s="870"/>
      <c r="J827" s="870" t="s">
        <v>7317</v>
      </c>
      <c r="K827" s="125" t="s">
        <v>84</v>
      </c>
      <c r="L827" s="16" t="s">
        <v>4550</v>
      </c>
      <c r="M827" s="8"/>
      <c r="N827" s="853"/>
      <c r="O827" s="431"/>
      <c r="P827" s="853"/>
    </row>
    <row r="828" spans="1:16" s="17" customFormat="1" ht="33" customHeight="1">
      <c r="A828" s="851"/>
      <c r="B828" s="369">
        <v>46344</v>
      </c>
      <c r="C828" s="4" t="s">
        <v>138</v>
      </c>
      <c r="D828" s="4" t="s">
        <v>30</v>
      </c>
      <c r="E828" s="870" t="s">
        <v>107</v>
      </c>
      <c r="F828" s="870" t="s">
        <v>3345</v>
      </c>
      <c r="G828" s="16" t="s">
        <v>67</v>
      </c>
      <c r="H828" s="874" t="s">
        <v>7329</v>
      </c>
      <c r="I828" s="870"/>
      <c r="J828" s="870" t="s">
        <v>7317</v>
      </c>
      <c r="K828" s="125" t="s">
        <v>84</v>
      </c>
      <c r="L828" s="16" t="s">
        <v>4550</v>
      </c>
      <c r="M828" s="8"/>
      <c r="N828" s="857"/>
      <c r="O828" s="430"/>
      <c r="P828" s="853"/>
    </row>
    <row r="829" spans="1:16" s="17" customFormat="1" ht="33" customHeight="1">
      <c r="A829" s="851"/>
      <c r="B829" s="369">
        <v>46345</v>
      </c>
      <c r="C829" s="4" t="s">
        <v>138</v>
      </c>
      <c r="D829" s="4" t="s">
        <v>30</v>
      </c>
      <c r="E829" s="870" t="s">
        <v>107</v>
      </c>
      <c r="F829" s="870" t="s">
        <v>3345</v>
      </c>
      <c r="G829" s="16" t="s">
        <v>67</v>
      </c>
      <c r="H829" s="874" t="s">
        <v>7329</v>
      </c>
      <c r="I829" s="870"/>
      <c r="J829" s="870" t="s">
        <v>7317</v>
      </c>
      <c r="K829" s="125" t="s">
        <v>84</v>
      </c>
      <c r="L829" s="16" t="s">
        <v>4550</v>
      </c>
      <c r="M829" s="8"/>
      <c r="N829" s="857"/>
      <c r="O829" s="430"/>
      <c r="P829" s="853"/>
    </row>
    <row r="830" spans="1:16" s="17" customFormat="1" ht="33" customHeight="1">
      <c r="A830" s="851"/>
      <c r="B830" s="369">
        <v>46346</v>
      </c>
      <c r="C830" s="4"/>
      <c r="D830" s="4"/>
      <c r="E830" s="853"/>
      <c r="F830" s="853"/>
      <c r="G830" s="16"/>
      <c r="H830" s="858"/>
      <c r="I830" s="853"/>
      <c r="J830" s="858"/>
      <c r="K830" s="125"/>
      <c r="L830" s="16"/>
      <c r="M830" s="8"/>
      <c r="N830" s="857"/>
      <c r="O830" s="430"/>
      <c r="P830" s="853"/>
    </row>
    <row r="831" spans="1:16" s="17" customFormat="1" ht="33" customHeight="1">
      <c r="A831" s="852"/>
      <c r="B831" s="369">
        <v>46347</v>
      </c>
      <c r="C831" s="4"/>
      <c r="D831" s="4"/>
      <c r="E831" s="291"/>
      <c r="F831" s="853"/>
      <c r="G831" s="16"/>
      <c r="H831" s="858"/>
      <c r="I831" s="853"/>
      <c r="J831" s="853"/>
      <c r="K831" s="125"/>
      <c r="L831" s="16"/>
      <c r="M831" s="8"/>
      <c r="N831" s="853"/>
      <c r="O831" s="432"/>
      <c r="P831" s="853"/>
    </row>
    <row r="832" spans="1:16" s="17" customFormat="1" ht="33" customHeight="1">
      <c r="A832" s="322" t="s">
        <v>0</v>
      </c>
      <c r="B832" s="323" t="s">
        <v>1</v>
      </c>
      <c r="C832" s="322" t="s">
        <v>2</v>
      </c>
      <c r="D832" s="322" t="s">
        <v>3</v>
      </c>
      <c r="E832" s="322" t="s">
        <v>4</v>
      </c>
      <c r="F832" s="322" t="s">
        <v>5</v>
      </c>
      <c r="G832" s="322" t="s">
        <v>6</v>
      </c>
      <c r="H832" s="324" t="s">
        <v>7</v>
      </c>
      <c r="I832" s="322" t="s">
        <v>8</v>
      </c>
      <c r="J832" s="322" t="s">
        <v>9</v>
      </c>
      <c r="K832" s="325" t="s">
        <v>10</v>
      </c>
      <c r="L832" s="326" t="s">
        <v>11</v>
      </c>
      <c r="M832" s="322" t="s">
        <v>12</v>
      </c>
      <c r="N832" s="327" t="s">
        <v>13</v>
      </c>
      <c r="O832" s="427" t="s">
        <v>63</v>
      </c>
      <c r="P832" s="322" t="s">
        <v>123</v>
      </c>
    </row>
    <row r="833" spans="1:16" s="17" customFormat="1" ht="33" customHeight="1">
      <c r="A833" s="850" t="s">
        <v>7323</v>
      </c>
      <c r="B833" s="369">
        <v>46349</v>
      </c>
      <c r="C833" s="4"/>
      <c r="D833" s="4"/>
      <c r="E833" s="853"/>
      <c r="F833" s="853"/>
      <c r="G833" s="16"/>
      <c r="H833" s="858"/>
      <c r="I833" s="853"/>
      <c r="J833" s="853"/>
      <c r="K833" s="125"/>
      <c r="L833" s="16"/>
      <c r="M833" s="8"/>
      <c r="N833" s="853"/>
      <c r="O833" s="431"/>
      <c r="P833" s="853"/>
    </row>
    <row r="834" spans="1:16" s="17" customFormat="1" ht="33" customHeight="1">
      <c r="A834" s="851"/>
      <c r="B834" s="369">
        <v>46350</v>
      </c>
      <c r="C834" s="4"/>
      <c r="D834" s="4"/>
      <c r="E834" s="853"/>
      <c r="F834" s="853"/>
      <c r="G834" s="16"/>
      <c r="H834" s="858"/>
      <c r="I834" s="853"/>
      <c r="J834" s="853"/>
      <c r="K834" s="125"/>
      <c r="L834" s="16"/>
      <c r="M834" s="8"/>
      <c r="N834" s="853"/>
      <c r="O834" s="431"/>
      <c r="P834" s="853"/>
    </row>
    <row r="835" spans="1:16" s="17" customFormat="1" ht="33" customHeight="1">
      <c r="A835" s="851"/>
      <c r="B835" s="369">
        <v>46351</v>
      </c>
      <c r="C835" s="4"/>
      <c r="D835" s="4"/>
      <c r="E835" s="853"/>
      <c r="F835" s="853"/>
      <c r="G835" s="16"/>
      <c r="H835" s="858"/>
      <c r="I835" s="853"/>
      <c r="J835" s="853"/>
      <c r="K835" s="125"/>
      <c r="L835" s="16"/>
      <c r="M835" s="8"/>
      <c r="N835" s="857"/>
      <c r="O835" s="430"/>
      <c r="P835" s="853"/>
    </row>
    <row r="836" spans="1:16" s="17" customFormat="1" ht="33" customHeight="1">
      <c r="A836" s="851"/>
      <c r="B836" s="369">
        <v>46352</v>
      </c>
      <c r="C836" s="4"/>
      <c r="D836" s="4"/>
      <c r="E836" s="853"/>
      <c r="F836" s="853"/>
      <c r="G836" s="16"/>
      <c r="H836" s="858"/>
      <c r="I836" s="853"/>
      <c r="J836" s="853"/>
      <c r="K836" s="125"/>
      <c r="L836" s="16"/>
      <c r="M836" s="8"/>
      <c r="N836" s="857"/>
      <c r="O836" s="430"/>
      <c r="P836" s="853"/>
    </row>
    <row r="837" spans="1:16" s="17" customFormat="1" ht="33" customHeight="1">
      <c r="A837" s="851"/>
      <c r="B837" s="369">
        <v>46353</v>
      </c>
      <c r="C837" s="4"/>
      <c r="D837" s="4"/>
      <c r="E837" s="853"/>
      <c r="F837" s="853"/>
      <c r="G837" s="16"/>
      <c r="H837" s="858"/>
      <c r="I837" s="853"/>
      <c r="J837" s="858"/>
      <c r="K837" s="125"/>
      <c r="L837" s="16"/>
      <c r="M837" s="8"/>
      <c r="N837" s="857"/>
      <c r="O837" s="430"/>
      <c r="P837" s="853"/>
    </row>
    <row r="838" spans="1:16" s="17" customFormat="1" ht="33" customHeight="1">
      <c r="A838" s="852"/>
      <c r="B838" s="369">
        <v>46354</v>
      </c>
      <c r="C838" s="4"/>
      <c r="D838" s="4"/>
      <c r="E838" s="291"/>
      <c r="F838" s="853"/>
      <c r="G838" s="16"/>
      <c r="H838" s="858"/>
      <c r="I838" s="853"/>
      <c r="J838" s="853"/>
      <c r="K838" s="125"/>
      <c r="L838" s="16"/>
      <c r="M838" s="8"/>
      <c r="N838" s="853"/>
      <c r="O838" s="432"/>
      <c r="P838" s="853"/>
    </row>
    <row r="839" spans="1:16" s="17" customFormat="1" ht="33" customHeight="1">
      <c r="A839" s="322" t="s">
        <v>0</v>
      </c>
      <c r="B839" s="323" t="s">
        <v>1</v>
      </c>
      <c r="C839" s="322" t="s">
        <v>2</v>
      </c>
      <c r="D839" s="322" t="s">
        <v>3</v>
      </c>
      <c r="E839" s="322" t="s">
        <v>4</v>
      </c>
      <c r="F839" s="322" t="s">
        <v>5</v>
      </c>
      <c r="G839" s="322" t="s">
        <v>6</v>
      </c>
      <c r="H839" s="324" t="s">
        <v>7</v>
      </c>
      <c r="I839" s="322" t="s">
        <v>8</v>
      </c>
      <c r="J839" s="322" t="s">
        <v>9</v>
      </c>
      <c r="K839" s="325" t="s">
        <v>10</v>
      </c>
      <c r="L839" s="326" t="s">
        <v>11</v>
      </c>
      <c r="M839" s="322" t="s">
        <v>12</v>
      </c>
      <c r="N839" s="327" t="s">
        <v>13</v>
      </c>
      <c r="O839" s="427" t="s">
        <v>63</v>
      </c>
      <c r="P839" s="322" t="s">
        <v>123</v>
      </c>
    </row>
    <row r="840" spans="1:16" s="17" customFormat="1" ht="33" customHeight="1">
      <c r="A840" s="850" t="s">
        <v>7324</v>
      </c>
      <c r="B840" s="369">
        <v>46356</v>
      </c>
      <c r="C840" s="4"/>
      <c r="D840" s="4"/>
      <c r="E840" s="853"/>
      <c r="F840" s="853"/>
      <c r="G840" s="16"/>
      <c r="H840" s="858"/>
      <c r="I840" s="853"/>
      <c r="J840" s="853"/>
      <c r="K840" s="125"/>
      <c r="L840" s="16"/>
      <c r="M840" s="8"/>
      <c r="N840" s="853"/>
      <c r="O840" s="431"/>
      <c r="P840" s="853"/>
    </row>
    <row r="841" spans="1:16" s="17" customFormat="1" ht="33" customHeight="1">
      <c r="A841" s="851"/>
      <c r="B841" s="369">
        <v>46357</v>
      </c>
      <c r="C841" s="4"/>
      <c r="D841" s="4"/>
      <c r="E841" s="853"/>
      <c r="F841" s="853"/>
      <c r="G841" s="16"/>
      <c r="H841" s="858"/>
      <c r="I841" s="853"/>
      <c r="J841" s="853"/>
      <c r="K841" s="125"/>
      <c r="L841" s="16"/>
      <c r="M841" s="8"/>
      <c r="N841" s="853"/>
      <c r="O841" s="431"/>
      <c r="P841" s="853"/>
    </row>
    <row r="842" spans="1:16" s="17" customFormat="1" ht="33" customHeight="1">
      <c r="A842" s="851"/>
      <c r="B842" s="369">
        <v>46358</v>
      </c>
      <c r="C842" s="4"/>
      <c r="D842" s="4"/>
      <c r="E842" s="853"/>
      <c r="F842" s="853"/>
      <c r="G842" s="16"/>
      <c r="H842" s="858"/>
      <c r="I842" s="853"/>
      <c r="J842" s="853"/>
      <c r="K842" s="125"/>
      <c r="L842" s="16"/>
      <c r="M842" s="8"/>
      <c r="N842" s="857"/>
      <c r="O842" s="430"/>
      <c r="P842" s="853"/>
    </row>
    <row r="843" spans="1:16" s="17" customFormat="1" ht="33" customHeight="1">
      <c r="A843" s="851"/>
      <c r="B843" s="369">
        <v>46359</v>
      </c>
      <c r="C843" s="4"/>
      <c r="D843" s="4"/>
      <c r="E843" s="853"/>
      <c r="F843" s="853"/>
      <c r="G843" s="16"/>
      <c r="H843" s="858"/>
      <c r="I843" s="853"/>
      <c r="J843" s="853"/>
      <c r="K843" s="125"/>
      <c r="L843" s="16"/>
      <c r="M843" s="8"/>
      <c r="N843" s="857"/>
      <c r="O843" s="430"/>
      <c r="P843" s="853"/>
    </row>
    <row r="844" spans="1:16" s="17" customFormat="1" ht="33" customHeight="1">
      <c r="A844" s="851"/>
      <c r="B844" s="369">
        <v>46360</v>
      </c>
      <c r="C844" s="4"/>
      <c r="D844" s="4"/>
      <c r="E844" s="853"/>
      <c r="F844" s="853"/>
      <c r="G844" s="16"/>
      <c r="H844" s="858"/>
      <c r="I844" s="853"/>
      <c r="J844" s="858"/>
      <c r="K844" s="125"/>
      <c r="L844" s="16"/>
      <c r="M844" s="8"/>
      <c r="N844" s="857"/>
      <c r="O844" s="430"/>
      <c r="P844" s="853"/>
    </row>
    <row r="845" spans="1:16" s="17" customFormat="1" ht="33" customHeight="1">
      <c r="A845" s="852"/>
      <c r="B845" s="369">
        <v>46361</v>
      </c>
      <c r="C845" s="4"/>
      <c r="D845" s="4"/>
      <c r="E845" s="291"/>
      <c r="F845" s="853"/>
      <c r="G845" s="16"/>
      <c r="H845" s="858"/>
      <c r="I845" s="853"/>
      <c r="J845" s="853"/>
      <c r="K845" s="125"/>
      <c r="L845" s="16"/>
      <c r="M845" s="8"/>
      <c r="N845" s="853"/>
      <c r="O845" s="432"/>
      <c r="P845" s="853"/>
    </row>
    <row r="846" spans="1:16" s="17" customFormat="1" ht="33" customHeight="1">
      <c r="A846" s="322" t="s">
        <v>0</v>
      </c>
      <c r="B846" s="323" t="s">
        <v>1</v>
      </c>
      <c r="C846" s="322" t="s">
        <v>2</v>
      </c>
      <c r="D846" s="322" t="s">
        <v>3</v>
      </c>
      <c r="E846" s="322" t="s">
        <v>4</v>
      </c>
      <c r="F846" s="322" t="s">
        <v>5</v>
      </c>
      <c r="G846" s="322" t="s">
        <v>6</v>
      </c>
      <c r="H846" s="324" t="s">
        <v>7</v>
      </c>
      <c r="I846" s="322" t="s">
        <v>8</v>
      </c>
      <c r="J846" s="322" t="s">
        <v>9</v>
      </c>
      <c r="K846" s="325" t="s">
        <v>10</v>
      </c>
      <c r="L846" s="326" t="s">
        <v>11</v>
      </c>
      <c r="M846" s="322" t="s">
        <v>12</v>
      </c>
      <c r="N846" s="327" t="s">
        <v>13</v>
      </c>
      <c r="O846" s="427" t="s">
        <v>63</v>
      </c>
      <c r="P846" s="322" t="s">
        <v>123</v>
      </c>
    </row>
    <row r="847" spans="1:16" s="17" customFormat="1" ht="33" customHeight="1">
      <c r="A847" s="850" t="s">
        <v>7325</v>
      </c>
      <c r="B847" s="369">
        <v>46363</v>
      </c>
      <c r="C847" s="4"/>
      <c r="D847" s="4"/>
      <c r="E847" s="853"/>
      <c r="F847" s="853"/>
      <c r="G847" s="16"/>
      <c r="H847" s="858"/>
      <c r="I847" s="853"/>
      <c r="J847" s="853"/>
      <c r="K847" s="125"/>
      <c r="L847" s="16"/>
      <c r="M847" s="8"/>
      <c r="N847" s="853"/>
      <c r="O847" s="431"/>
      <c r="P847" s="853"/>
    </row>
    <row r="848" spans="1:16" s="17" customFormat="1" ht="33" customHeight="1">
      <c r="A848" s="851"/>
      <c r="B848" s="369">
        <v>46364</v>
      </c>
      <c r="C848" s="4"/>
      <c r="D848" s="4"/>
      <c r="E848" s="853"/>
      <c r="F848" s="853"/>
      <c r="G848" s="16"/>
      <c r="H848" s="858"/>
      <c r="I848" s="853"/>
      <c r="J848" s="853"/>
      <c r="K848" s="125"/>
      <c r="L848" s="16"/>
      <c r="M848" s="8"/>
      <c r="N848" s="853"/>
      <c r="O848" s="431"/>
      <c r="P848" s="853"/>
    </row>
    <row r="849" spans="1:16" s="17" customFormat="1" ht="33" customHeight="1">
      <c r="A849" s="851"/>
      <c r="B849" s="369">
        <v>46365</v>
      </c>
      <c r="C849" s="4"/>
      <c r="D849" s="4"/>
      <c r="E849" s="853"/>
      <c r="F849" s="853"/>
      <c r="G849" s="16"/>
      <c r="H849" s="858"/>
      <c r="I849" s="853"/>
      <c r="J849" s="853"/>
      <c r="K849" s="125"/>
      <c r="L849" s="16"/>
      <c r="M849" s="8"/>
      <c r="N849" s="857"/>
      <c r="O849" s="430"/>
      <c r="P849" s="853"/>
    </row>
    <row r="850" spans="1:16" s="17" customFormat="1" ht="33" customHeight="1">
      <c r="A850" s="851"/>
      <c r="B850" s="369">
        <v>46366</v>
      </c>
      <c r="C850" s="4"/>
      <c r="D850" s="4"/>
      <c r="E850" s="853"/>
      <c r="F850" s="853"/>
      <c r="G850" s="16"/>
      <c r="H850" s="858"/>
      <c r="I850" s="853"/>
      <c r="J850" s="853"/>
      <c r="K850" s="125"/>
      <c r="L850" s="16"/>
      <c r="M850" s="8"/>
      <c r="N850" s="857"/>
      <c r="O850" s="430"/>
      <c r="P850" s="853"/>
    </row>
    <row r="851" spans="1:16" s="17" customFormat="1" ht="33" customHeight="1">
      <c r="A851" s="851"/>
      <c r="B851" s="369">
        <v>46367</v>
      </c>
      <c r="C851" s="4"/>
      <c r="D851" s="4"/>
      <c r="E851" s="853"/>
      <c r="F851" s="853"/>
      <c r="G851" s="16"/>
      <c r="H851" s="858"/>
      <c r="I851" s="853"/>
      <c r="J851" s="858"/>
      <c r="K851" s="125"/>
      <c r="L851" s="16"/>
      <c r="M851" s="8"/>
      <c r="N851" s="857"/>
      <c r="O851" s="430"/>
      <c r="P851" s="853"/>
    </row>
    <row r="852" spans="1:16" s="17" customFormat="1" ht="33" customHeight="1">
      <c r="A852" s="852"/>
      <c r="B852" s="369">
        <v>46368</v>
      </c>
      <c r="C852" s="4"/>
      <c r="D852" s="4"/>
      <c r="E852" s="291"/>
      <c r="F852" s="853"/>
      <c r="G852" s="16"/>
      <c r="H852" s="858"/>
      <c r="I852" s="853"/>
      <c r="J852" s="853"/>
      <c r="K852" s="125"/>
      <c r="L852" s="16"/>
      <c r="M852" s="8"/>
      <c r="N852" s="853"/>
      <c r="O852" s="432"/>
      <c r="P852" s="853"/>
    </row>
    <row r="853" spans="1:16" s="17" customFormat="1" ht="33" customHeight="1">
      <c r="A853" s="322" t="s">
        <v>0</v>
      </c>
      <c r="B853" s="323" t="s">
        <v>1</v>
      </c>
      <c r="C853" s="322" t="s">
        <v>2</v>
      </c>
      <c r="D853" s="322" t="s">
        <v>3</v>
      </c>
      <c r="E853" s="322" t="s">
        <v>4</v>
      </c>
      <c r="F853" s="322" t="s">
        <v>5</v>
      </c>
      <c r="G853" s="322" t="s">
        <v>6</v>
      </c>
      <c r="H853" s="324" t="s">
        <v>7</v>
      </c>
      <c r="I853" s="322" t="s">
        <v>8</v>
      </c>
      <c r="J853" s="322" t="s">
        <v>9</v>
      </c>
      <c r="K853" s="325" t="s">
        <v>10</v>
      </c>
      <c r="L853" s="326" t="s">
        <v>11</v>
      </c>
      <c r="M853" s="322" t="s">
        <v>12</v>
      </c>
      <c r="N853" s="327" t="s">
        <v>13</v>
      </c>
      <c r="O853" s="427" t="s">
        <v>63</v>
      </c>
      <c r="P853" s="322" t="s">
        <v>123</v>
      </c>
    </row>
    <row r="854" spans="1:16" s="17" customFormat="1" ht="33" customHeight="1">
      <c r="A854" s="850" t="s">
        <v>7326</v>
      </c>
      <c r="B854" s="369">
        <v>46370</v>
      </c>
      <c r="C854" s="4"/>
      <c r="D854" s="4"/>
      <c r="E854" s="853"/>
      <c r="F854" s="853"/>
      <c r="G854" s="16"/>
      <c r="H854" s="858"/>
      <c r="I854" s="853"/>
      <c r="J854" s="853"/>
      <c r="K854" s="125"/>
      <c r="L854" s="16"/>
      <c r="M854" s="8"/>
      <c r="N854" s="853"/>
      <c r="O854" s="431"/>
      <c r="P854" s="853"/>
    </row>
    <row r="855" spans="1:16" s="17" customFormat="1" ht="33" customHeight="1">
      <c r="A855" s="851"/>
      <c r="B855" s="369">
        <v>46371</v>
      </c>
      <c r="C855" s="4"/>
      <c r="D855" s="4"/>
      <c r="E855" s="853"/>
      <c r="F855" s="853"/>
      <c r="G855" s="16"/>
      <c r="H855" s="858"/>
      <c r="I855" s="853"/>
      <c r="J855" s="853"/>
      <c r="K855" s="125"/>
      <c r="L855" s="16"/>
      <c r="M855" s="8"/>
      <c r="N855" s="853"/>
      <c r="O855" s="431"/>
      <c r="P855" s="853"/>
    </row>
    <row r="856" spans="1:16" s="17" customFormat="1" ht="33" customHeight="1">
      <c r="A856" s="851"/>
      <c r="B856" s="369">
        <v>46372</v>
      </c>
      <c r="C856" s="4"/>
      <c r="D856" s="4"/>
      <c r="E856" s="853"/>
      <c r="F856" s="853"/>
      <c r="G856" s="16"/>
      <c r="H856" s="858"/>
      <c r="I856" s="853"/>
      <c r="J856" s="853"/>
      <c r="K856" s="125"/>
      <c r="L856" s="16"/>
      <c r="M856" s="8"/>
      <c r="N856" s="857"/>
      <c r="O856" s="430"/>
      <c r="P856" s="853"/>
    </row>
    <row r="857" spans="1:16" s="17" customFormat="1" ht="33" customHeight="1">
      <c r="A857" s="851"/>
      <c r="B857" s="369">
        <v>46373</v>
      </c>
      <c r="C857" s="4"/>
      <c r="D857" s="4"/>
      <c r="E857" s="853"/>
      <c r="F857" s="853"/>
      <c r="G857" s="16"/>
      <c r="H857" s="858"/>
      <c r="I857" s="853"/>
      <c r="J857" s="853"/>
      <c r="K857" s="125"/>
      <c r="L857" s="16"/>
      <c r="M857" s="8"/>
      <c r="N857" s="857"/>
      <c r="O857" s="430"/>
      <c r="P857" s="853"/>
    </row>
    <row r="858" spans="1:16" s="17" customFormat="1" ht="33" customHeight="1">
      <c r="A858" s="851"/>
      <c r="B858" s="369">
        <v>46374</v>
      </c>
      <c r="C858" s="4"/>
      <c r="D858" s="4"/>
      <c r="E858" s="853"/>
      <c r="F858" s="853"/>
      <c r="G858" s="16"/>
      <c r="H858" s="858"/>
      <c r="I858" s="853"/>
      <c r="J858" s="858"/>
      <c r="K858" s="125"/>
      <c r="L858" s="16"/>
      <c r="M858" s="8"/>
      <c r="N858" s="857"/>
      <c r="O858" s="430"/>
      <c r="P858" s="853"/>
    </row>
    <row r="859" spans="1:16" s="17" customFormat="1" ht="33" customHeight="1">
      <c r="A859" s="852"/>
      <c r="B859" s="369">
        <v>46375</v>
      </c>
      <c r="C859" s="4"/>
      <c r="D859" s="4"/>
      <c r="E859" s="291"/>
      <c r="F859" s="853"/>
      <c r="G859" s="16"/>
      <c r="H859" s="858"/>
      <c r="I859" s="853"/>
      <c r="J859" s="853"/>
      <c r="K859" s="125"/>
      <c r="L859" s="16"/>
      <c r="M859" s="8"/>
      <c r="N859" s="853"/>
      <c r="O859" s="432"/>
      <c r="P859" s="853"/>
    </row>
    <row r="860" spans="1:16" s="17" customFormat="1" ht="33" customHeight="1">
      <c r="A860" s="322" t="s">
        <v>0</v>
      </c>
      <c r="B860" s="323" t="s">
        <v>1</v>
      </c>
      <c r="C860" s="322" t="s">
        <v>2</v>
      </c>
      <c r="D860" s="322" t="s">
        <v>3</v>
      </c>
      <c r="E860" s="322" t="s">
        <v>4</v>
      </c>
      <c r="F860" s="322" t="s">
        <v>5</v>
      </c>
      <c r="G860" s="322" t="s">
        <v>6</v>
      </c>
      <c r="H860" s="324" t="s">
        <v>7</v>
      </c>
      <c r="I860" s="322" t="s">
        <v>8</v>
      </c>
      <c r="J860" s="322" t="s">
        <v>9</v>
      </c>
      <c r="K860" s="325" t="s">
        <v>10</v>
      </c>
      <c r="L860" s="326" t="s">
        <v>11</v>
      </c>
      <c r="M860" s="322" t="s">
        <v>12</v>
      </c>
      <c r="N860" s="327" t="s">
        <v>13</v>
      </c>
      <c r="O860" s="427" t="s">
        <v>63</v>
      </c>
      <c r="P860" s="322" t="s">
        <v>123</v>
      </c>
    </row>
    <row r="861" spans="1:16" s="17" customFormat="1" ht="33" customHeight="1">
      <c r="A861" s="850" t="s">
        <v>7327</v>
      </c>
      <c r="B861" s="369">
        <v>46377</v>
      </c>
      <c r="C861" s="4"/>
      <c r="D861" s="4"/>
      <c r="E861" s="853"/>
      <c r="F861" s="853"/>
      <c r="G861" s="16"/>
      <c r="H861" s="858"/>
      <c r="I861" s="853"/>
      <c r="J861" s="853"/>
      <c r="K861" s="125"/>
      <c r="L861" s="16"/>
      <c r="M861" s="8"/>
      <c r="N861" s="853"/>
      <c r="O861" s="431"/>
      <c r="P861" s="853"/>
    </row>
    <row r="862" spans="1:16" s="17" customFormat="1" ht="33" customHeight="1">
      <c r="A862" s="851"/>
      <c r="B862" s="369">
        <v>46378</v>
      </c>
      <c r="C862" s="4"/>
      <c r="D862" s="4"/>
      <c r="E862" s="853"/>
      <c r="F862" s="853"/>
      <c r="G862" s="16"/>
      <c r="H862" s="858"/>
      <c r="I862" s="853"/>
      <c r="J862" s="853"/>
      <c r="K862" s="125"/>
      <c r="L862" s="16"/>
      <c r="M862" s="8"/>
      <c r="N862" s="853"/>
      <c r="O862" s="431"/>
      <c r="P862" s="853"/>
    </row>
    <row r="863" spans="1:16" s="17" customFormat="1" ht="33" customHeight="1">
      <c r="A863" s="851"/>
      <c r="B863" s="369">
        <v>46379</v>
      </c>
      <c r="C863" s="4"/>
      <c r="D863" s="4"/>
      <c r="E863" s="853"/>
      <c r="F863" s="853"/>
      <c r="G863" s="16"/>
      <c r="H863" s="858"/>
      <c r="I863" s="853"/>
      <c r="J863" s="853"/>
      <c r="K863" s="125"/>
      <c r="L863" s="16"/>
      <c r="M863" s="8"/>
      <c r="N863" s="857"/>
      <c r="O863" s="430"/>
      <c r="P863" s="853"/>
    </row>
    <row r="864" spans="1:16" s="17" customFormat="1" ht="33" customHeight="1">
      <c r="A864" s="851"/>
      <c r="B864" s="369">
        <v>46380</v>
      </c>
      <c r="C864" s="4"/>
      <c r="D864" s="4"/>
      <c r="E864" s="853"/>
      <c r="F864" s="853"/>
      <c r="G864" s="16"/>
      <c r="H864" s="858"/>
      <c r="I864" s="853"/>
      <c r="J864" s="853"/>
      <c r="K864" s="125"/>
      <c r="L864" s="16"/>
      <c r="M864" s="8"/>
      <c r="N864" s="857"/>
      <c r="O864" s="430"/>
      <c r="P864" s="853"/>
    </row>
    <row r="865" spans="1:16" s="17" customFormat="1" ht="33" customHeight="1">
      <c r="A865" s="851"/>
      <c r="B865" s="369">
        <v>46381</v>
      </c>
      <c r="C865" s="4"/>
      <c r="D865" s="4"/>
      <c r="E865" s="853"/>
      <c r="F865" s="853"/>
      <c r="G865" s="16"/>
      <c r="H865" s="858"/>
      <c r="I865" s="853"/>
      <c r="J865" s="858"/>
      <c r="K865" s="125"/>
      <c r="L865" s="16"/>
      <c r="M865" s="8"/>
      <c r="N865" s="857"/>
      <c r="O865" s="430"/>
      <c r="P865" s="853"/>
    </row>
    <row r="866" spans="1:16" s="17" customFormat="1" ht="33" customHeight="1">
      <c r="A866" s="852"/>
      <c r="B866" s="369">
        <v>46382</v>
      </c>
      <c r="C866" s="4"/>
      <c r="D866" s="4"/>
      <c r="E866" s="291"/>
      <c r="F866" s="853"/>
      <c r="G866" s="16"/>
      <c r="H866" s="858"/>
      <c r="I866" s="853"/>
      <c r="J866" s="853"/>
      <c r="K866" s="125"/>
      <c r="L866" s="16"/>
      <c r="M866" s="8"/>
      <c r="N866" s="853"/>
      <c r="O866" s="432"/>
      <c r="P866" s="853"/>
    </row>
    <row r="867" spans="1:16" s="17" customFormat="1" ht="33" customHeight="1">
      <c r="A867" s="322" t="s">
        <v>0</v>
      </c>
      <c r="B867" s="323" t="s">
        <v>1</v>
      </c>
      <c r="C867" s="322" t="s">
        <v>2</v>
      </c>
      <c r="D867" s="322" t="s">
        <v>3</v>
      </c>
      <c r="E867" s="322" t="s">
        <v>4</v>
      </c>
      <c r="F867" s="322" t="s">
        <v>5</v>
      </c>
      <c r="G867" s="322" t="s">
        <v>6</v>
      </c>
      <c r="H867" s="324" t="s">
        <v>7</v>
      </c>
      <c r="I867" s="322" t="s">
        <v>8</v>
      </c>
      <c r="J867" s="322" t="s">
        <v>9</v>
      </c>
      <c r="K867" s="325" t="s">
        <v>10</v>
      </c>
      <c r="L867" s="326" t="s">
        <v>11</v>
      </c>
      <c r="M867" s="322" t="s">
        <v>12</v>
      </c>
      <c r="N867" s="327" t="s">
        <v>13</v>
      </c>
      <c r="O867" s="427" t="s">
        <v>63</v>
      </c>
      <c r="P867" s="322" t="s">
        <v>123</v>
      </c>
    </row>
    <row r="868" spans="1:16" s="17" customFormat="1" ht="33" customHeight="1">
      <c r="A868" s="850" t="s">
        <v>7328</v>
      </c>
      <c r="B868" s="369">
        <v>46384</v>
      </c>
      <c r="C868" s="4"/>
      <c r="D868" s="4"/>
      <c r="E868" s="853"/>
      <c r="F868" s="853"/>
      <c r="G868" s="16"/>
      <c r="H868" s="858"/>
      <c r="I868" s="853"/>
      <c r="J868" s="853"/>
      <c r="K868" s="125"/>
      <c r="L868" s="16"/>
      <c r="M868" s="8"/>
      <c r="N868" s="853"/>
      <c r="O868" s="431"/>
      <c r="P868" s="853"/>
    </row>
    <row r="869" spans="1:16" s="17" customFormat="1" ht="33" customHeight="1">
      <c r="A869" s="851"/>
      <c r="B869" s="369">
        <v>46385</v>
      </c>
      <c r="C869" s="4"/>
      <c r="D869" s="4"/>
      <c r="E869" s="853"/>
      <c r="F869" s="853"/>
      <c r="G869" s="16"/>
      <c r="H869" s="858"/>
      <c r="I869" s="853"/>
      <c r="J869" s="853"/>
      <c r="K869" s="125"/>
      <c r="L869" s="16"/>
      <c r="M869" s="8"/>
      <c r="N869" s="853"/>
      <c r="O869" s="431"/>
      <c r="P869" s="853"/>
    </row>
    <row r="870" spans="1:16" s="17" customFormat="1" ht="33" customHeight="1">
      <c r="A870" s="851"/>
      <c r="B870" s="369">
        <v>46386</v>
      </c>
      <c r="C870" s="4"/>
      <c r="D870" s="4"/>
      <c r="E870" s="853"/>
      <c r="F870" s="853"/>
      <c r="G870" s="16"/>
      <c r="H870" s="858"/>
      <c r="I870" s="853"/>
      <c r="J870" s="853"/>
      <c r="K870" s="125"/>
      <c r="L870" s="16"/>
      <c r="M870" s="8"/>
      <c r="N870" s="857"/>
      <c r="O870" s="430"/>
      <c r="P870" s="853"/>
    </row>
    <row r="871" spans="1:16" s="17" customFormat="1" ht="33" customHeight="1">
      <c r="A871" s="851"/>
      <c r="B871" s="369">
        <v>46387</v>
      </c>
      <c r="C871" s="4"/>
      <c r="D871" s="4"/>
      <c r="E871" s="853"/>
      <c r="F871" s="853"/>
      <c r="G871" s="16"/>
      <c r="H871" s="858"/>
      <c r="I871" s="853"/>
      <c r="J871" s="853"/>
      <c r="K871" s="125"/>
      <c r="L871" s="16"/>
      <c r="M871" s="8"/>
      <c r="N871" s="857"/>
      <c r="O871" s="430"/>
      <c r="P871" s="853"/>
    </row>
    <row r="872" spans="1:16" s="17" customFormat="1" ht="33" customHeight="1">
      <c r="A872" s="851"/>
      <c r="B872" s="369">
        <v>46388</v>
      </c>
      <c r="C872" s="4"/>
      <c r="D872" s="4"/>
      <c r="E872" s="853"/>
      <c r="F872" s="853"/>
      <c r="G872" s="16"/>
      <c r="H872" s="858"/>
      <c r="I872" s="853"/>
      <c r="J872" s="858"/>
      <c r="K872" s="125"/>
      <c r="L872" s="16"/>
      <c r="M872" s="8"/>
      <c r="N872" s="857"/>
      <c r="O872" s="430"/>
      <c r="P872" s="853"/>
    </row>
    <row r="873" spans="1:16" s="17" customFormat="1" ht="33" customHeight="1">
      <c r="A873" s="852"/>
      <c r="B873" s="369">
        <v>46389</v>
      </c>
      <c r="C873" s="4"/>
      <c r="D873" s="4"/>
      <c r="E873" s="291"/>
      <c r="F873" s="853"/>
      <c r="G873" s="16"/>
      <c r="H873" s="858"/>
      <c r="I873" s="853"/>
      <c r="J873" s="853"/>
      <c r="K873" s="125"/>
      <c r="L873" s="16"/>
      <c r="M873" s="8"/>
      <c r="N873" s="853"/>
      <c r="O873" s="432"/>
      <c r="P873" s="85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14"/>
  <sheetViews>
    <sheetView tabSelected="1" zoomScaleNormal="100" zoomScaleSheetLayoutView="115" workbookViewId="0">
      <pane ySplit="2" topLeftCell="A1699" activePane="bottomLeft" state="frozen"/>
      <selection pane="bottomLeft" activeCell="H1712" sqref="H171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79" t="s">
        <v>161</v>
      </c>
      <c r="B1" s="1079" t="s">
        <v>162</v>
      </c>
      <c r="C1" s="1077" t="s">
        <v>1</v>
      </c>
      <c r="D1" s="1077" t="s">
        <v>2</v>
      </c>
      <c r="E1" s="1077" t="s">
        <v>3</v>
      </c>
      <c r="F1" s="27" t="s">
        <v>54</v>
      </c>
      <c r="G1" s="1077" t="s">
        <v>5</v>
      </c>
      <c r="H1" s="1077" t="s">
        <v>6</v>
      </c>
      <c r="I1" s="1077" t="s">
        <v>7</v>
      </c>
      <c r="J1" s="1077" t="s">
        <v>55</v>
      </c>
      <c r="K1" s="1081" t="s">
        <v>483</v>
      </c>
      <c r="L1" s="1083" t="s">
        <v>56</v>
      </c>
      <c r="M1" s="1075" t="s">
        <v>57</v>
      </c>
      <c r="N1" s="1077" t="s">
        <v>58</v>
      </c>
    </row>
    <row r="2" spans="1:14">
      <c r="A2" s="1080"/>
      <c r="B2" s="1080"/>
      <c r="C2" s="1078"/>
      <c r="D2" s="1078"/>
      <c r="E2" s="1078"/>
      <c r="F2" s="28" t="s">
        <v>59</v>
      </c>
      <c r="G2" s="1078"/>
      <c r="H2" s="1078"/>
      <c r="I2" s="1078"/>
      <c r="J2" s="1078"/>
      <c r="K2" s="1082"/>
      <c r="L2" s="1084"/>
      <c r="M2" s="1076"/>
      <c r="N2" s="1078"/>
    </row>
    <row r="3" spans="1:14" ht="27">
      <c r="A3" s="55">
        <v>1</v>
      </c>
      <c r="B3" s="10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5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6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7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7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59"/>
      <c r="C9" s="108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59"/>
      <c r="C10" s="108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5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59"/>
      <c r="C12" s="108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59"/>
      <c r="C13" s="108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59"/>
      <c r="C14" s="108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59"/>
      <c r="C15" s="108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59"/>
      <c r="C16" s="108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6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7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7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6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7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72"/>
    </row>
    <row r="24" spans="1:17" ht="27">
      <c r="A24" s="55">
        <v>4</v>
      </c>
      <c r="B24" s="1058" t="s">
        <v>21</v>
      </c>
      <c r="C24" s="106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46" t="s">
        <v>85</v>
      </c>
      <c r="K24" s="1061" t="s">
        <v>41</v>
      </c>
      <c r="L24" s="6" t="s">
        <v>15</v>
      </c>
      <c r="M24" s="1088">
        <v>180000</v>
      </c>
      <c r="N24" s="45" t="s">
        <v>194</v>
      </c>
    </row>
    <row r="25" spans="1:17" ht="27">
      <c r="A25" s="55">
        <v>4</v>
      </c>
      <c r="B25" s="1059"/>
      <c r="C25" s="106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7"/>
      <c r="K25" s="1062"/>
      <c r="L25" s="6" t="s">
        <v>15</v>
      </c>
      <c r="M25" s="1089"/>
      <c r="N25" s="45" t="s">
        <v>194</v>
      </c>
    </row>
    <row r="26" spans="1:17">
      <c r="A26" s="55">
        <v>4</v>
      </c>
      <c r="B26" s="1059"/>
      <c r="C26" s="106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4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60"/>
      <c r="C27" s="106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5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59"/>
      <c r="C32" s="106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59"/>
      <c r="C33" s="106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6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58" t="s">
        <v>20</v>
      </c>
      <c r="C35" s="106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60"/>
      <c r="C36" s="106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58" t="s">
        <v>20</v>
      </c>
      <c r="C37" s="106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60"/>
      <c r="C38" s="106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9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95"/>
      <c r="C40" s="106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95"/>
      <c r="C41" s="106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9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5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53"/>
      <c r="C45" s="105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53"/>
      <c r="C46" s="109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5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9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9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9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9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9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9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5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6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5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5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5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58" t="s">
        <v>64</v>
      </c>
      <c r="C67" s="106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61" t="s">
        <v>435</v>
      </c>
      <c r="L67" s="6" t="s">
        <v>436</v>
      </c>
      <c r="M67" s="1088">
        <v>750000</v>
      </c>
      <c r="N67" s="45" t="s">
        <v>446</v>
      </c>
    </row>
    <row r="68" spans="1:15" ht="27">
      <c r="A68" s="55">
        <v>19</v>
      </c>
      <c r="B68" s="1059"/>
      <c r="C68" s="106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62"/>
      <c r="L68" s="6" t="s">
        <v>411</v>
      </c>
      <c r="M68" s="1089"/>
      <c r="N68" s="45" t="s">
        <v>445</v>
      </c>
    </row>
    <row r="69" spans="1:15">
      <c r="A69" s="55">
        <v>19</v>
      </c>
      <c r="B69" s="1059"/>
      <c r="C69" s="106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5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6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5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5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5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6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5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6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6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59"/>
      <c r="C83" s="106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59"/>
      <c r="C84" s="106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59"/>
      <c r="C85" s="106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59"/>
      <c r="C86" s="106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5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5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6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6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59"/>
      <c r="C93" s="106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59"/>
      <c r="C94" s="106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59"/>
      <c r="C95" s="106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5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6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58" t="s">
        <v>21</v>
      </c>
      <c r="C99" s="106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59"/>
      <c r="C100" s="106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5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5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6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5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5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6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6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26" t="s">
        <v>658</v>
      </c>
      <c r="C110" s="102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51"/>
      <c r="C111" s="107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51"/>
      <c r="C112" s="107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73"/>
      <c r="C113" s="107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7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51"/>
      <c r="C115" s="102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27"/>
      <c r="C116" s="107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58" t="s">
        <v>20</v>
      </c>
      <c r="C117" s="106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46" t="s">
        <v>168</v>
      </c>
      <c r="K117" s="1061" t="s">
        <v>645</v>
      </c>
      <c r="L117" s="57" t="s">
        <v>209</v>
      </c>
      <c r="M117" s="1048">
        <f>250000*5</f>
        <v>1250000</v>
      </c>
      <c r="N117" s="1058" t="s">
        <v>121</v>
      </c>
    </row>
    <row r="118" spans="1:14">
      <c r="A118" s="101">
        <v>28</v>
      </c>
      <c r="B118" s="1059"/>
      <c r="C118" s="106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0"/>
      <c r="K118" s="1069"/>
      <c r="L118" s="57" t="s">
        <v>209</v>
      </c>
      <c r="M118" s="1049"/>
      <c r="N118" s="1059"/>
    </row>
    <row r="119" spans="1:14">
      <c r="A119" s="101">
        <v>28</v>
      </c>
      <c r="B119" s="1059"/>
      <c r="C119" s="106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7"/>
      <c r="K119" s="1062"/>
      <c r="L119" s="57" t="s">
        <v>209</v>
      </c>
      <c r="M119" s="1050"/>
      <c r="N119" s="1060"/>
    </row>
    <row r="120" spans="1:14">
      <c r="A120" s="101">
        <v>28</v>
      </c>
      <c r="B120" s="1060"/>
      <c r="C120" s="106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26" t="s">
        <v>307</v>
      </c>
      <c r="C122" s="102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51"/>
      <c r="C123" s="105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6" t="s">
        <v>664</v>
      </c>
      <c r="K123" s="1052" t="s">
        <v>707</v>
      </c>
      <c r="L123" s="110" t="s">
        <v>324</v>
      </c>
      <c r="M123" s="1055" t="s">
        <v>708</v>
      </c>
      <c r="N123" s="110"/>
    </row>
    <row r="124" spans="1:14">
      <c r="A124" s="55">
        <v>29</v>
      </c>
      <c r="B124" s="1051"/>
      <c r="C124" s="105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51"/>
      <c r="K124" s="1053"/>
      <c r="L124" s="110" t="s">
        <v>324</v>
      </c>
      <c r="M124" s="1056"/>
      <c r="N124" s="110"/>
    </row>
    <row r="125" spans="1:14">
      <c r="A125" s="55">
        <v>29</v>
      </c>
      <c r="B125" s="1051"/>
      <c r="C125" s="105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7"/>
      <c r="K125" s="1054"/>
      <c r="L125" s="110" t="s">
        <v>324</v>
      </c>
      <c r="M125" s="1057"/>
      <c r="N125" s="110"/>
    </row>
    <row r="126" spans="1:14">
      <c r="A126" s="55">
        <v>29</v>
      </c>
      <c r="B126" s="1027"/>
      <c r="C126" s="102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2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5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5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51"/>
      <c r="C130" s="102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51"/>
      <c r="C131" s="102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51"/>
      <c r="C132" s="102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51"/>
      <c r="C133" s="102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2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58" t="s">
        <v>618</v>
      </c>
      <c r="C135" s="106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59"/>
      <c r="C136" s="106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59"/>
      <c r="C137" s="106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60"/>
      <c r="C138" s="106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59"/>
      <c r="C140" s="106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59"/>
      <c r="C141" s="106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58" t="s">
        <v>735</v>
      </c>
    </row>
    <row r="142" spans="1:14">
      <c r="A142" s="55">
        <v>30</v>
      </c>
      <c r="B142" s="106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6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6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58" t="s">
        <v>20</v>
      </c>
      <c r="C146" s="1065" t="s">
        <v>869</v>
      </c>
      <c r="D146" s="1061" t="s">
        <v>19</v>
      </c>
      <c r="E146" s="106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60"/>
      <c r="C147" s="1067"/>
      <c r="D147" s="1062"/>
      <c r="E147" s="106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58" t="s">
        <v>123</v>
      </c>
      <c r="C148" s="1065" t="s">
        <v>782</v>
      </c>
      <c r="D148" s="1061" t="s">
        <v>19</v>
      </c>
      <c r="E148" s="106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60"/>
      <c r="C149" s="1067"/>
      <c r="D149" s="1062"/>
      <c r="E149" s="106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5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6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58" t="s">
        <v>247</v>
      </c>
    </row>
    <row r="154" spans="1:14" ht="27">
      <c r="A154" s="55">
        <v>34</v>
      </c>
      <c r="B154" s="1059"/>
      <c r="C154" s="106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59"/>
    </row>
    <row r="155" spans="1:14" ht="27">
      <c r="A155" s="55">
        <v>34</v>
      </c>
      <c r="B155" s="1059"/>
      <c r="C155" s="106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60"/>
    </row>
    <row r="156" spans="1:14" ht="27">
      <c r="A156" s="55">
        <v>34</v>
      </c>
      <c r="B156" s="1059"/>
      <c r="C156" s="106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58" t="s">
        <v>825</v>
      </c>
    </row>
    <row r="157" spans="1:14" ht="27">
      <c r="A157" s="55">
        <v>34</v>
      </c>
      <c r="B157" s="1059"/>
      <c r="C157" s="106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59"/>
    </row>
    <row r="158" spans="1:14" ht="27">
      <c r="A158" s="55">
        <v>34</v>
      </c>
      <c r="B158" s="1059"/>
      <c r="C158" s="106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59"/>
    </row>
    <row r="159" spans="1:14" ht="27">
      <c r="A159" s="55">
        <v>34</v>
      </c>
      <c r="B159" s="1059"/>
      <c r="C159" s="106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59"/>
    </row>
    <row r="160" spans="1:14" ht="27">
      <c r="A160" s="55">
        <v>34</v>
      </c>
      <c r="B160" s="105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59"/>
    </row>
    <row r="161" spans="1:15" ht="27">
      <c r="A161" s="55">
        <v>34</v>
      </c>
      <c r="B161" s="105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60"/>
    </row>
    <row r="162" spans="1:15" ht="27">
      <c r="A162" s="55">
        <v>34</v>
      </c>
      <c r="B162" s="106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5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5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6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79" t="s">
        <v>849</v>
      </c>
      <c r="C167" s="99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80"/>
      <c r="C168" s="99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80"/>
      <c r="C169" s="99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81"/>
      <c r="C170" s="99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7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8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8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8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8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7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8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80"/>
      <c r="C178" s="99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81"/>
      <c r="C179" s="99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7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80"/>
      <c r="C181" s="106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46" t="s">
        <v>838</v>
      </c>
      <c r="K181" s="1061" t="s">
        <v>985</v>
      </c>
      <c r="L181" s="6" t="s">
        <v>910</v>
      </c>
      <c r="M181" s="1048">
        <f>180000+200000+200000</f>
        <v>580000</v>
      </c>
      <c r="N181" s="45" t="s">
        <v>806</v>
      </c>
    </row>
    <row r="182" spans="1:14">
      <c r="A182" s="55">
        <v>36</v>
      </c>
      <c r="B182" s="980"/>
      <c r="C182" s="106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7"/>
      <c r="K182" s="1062"/>
      <c r="L182" s="6" t="s">
        <v>911</v>
      </c>
      <c r="M182" s="1050"/>
      <c r="N182" s="45" t="s">
        <v>806</v>
      </c>
    </row>
    <row r="183" spans="1:14">
      <c r="A183" s="55">
        <v>36</v>
      </c>
      <c r="B183" s="980"/>
      <c r="C183" s="106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8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7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8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80"/>
      <c r="C187" s="99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81"/>
      <c r="C188" s="99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7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8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8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79" t="s">
        <v>939</v>
      </c>
      <c r="C192" s="99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80"/>
      <c r="C193" s="99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8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7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80"/>
      <c r="C196" s="106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80"/>
      <c r="C197" s="106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80"/>
      <c r="C198" s="106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81"/>
      <c r="C199" s="106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79" t="s">
        <v>20</v>
      </c>
      <c r="C200" s="99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80"/>
      <c r="C201" s="99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80"/>
      <c r="C202" s="99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81"/>
      <c r="C203" s="99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7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8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8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79" t="s">
        <v>20</v>
      </c>
      <c r="C207" s="99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80"/>
      <c r="C208" s="99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8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7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8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7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8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8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7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8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8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79" t="s">
        <v>20</v>
      </c>
      <c r="C218" s="99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80"/>
      <c r="C219" s="99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8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7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8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8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7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8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58" t="s">
        <v>247</v>
      </c>
    </row>
    <row r="226" spans="1:14">
      <c r="A226" s="55">
        <v>44</v>
      </c>
      <c r="B226" s="98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59"/>
    </row>
    <row r="227" spans="1:14">
      <c r="A227" s="55">
        <v>44</v>
      </c>
      <c r="B227" s="98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60"/>
    </row>
    <row r="228" spans="1:14">
      <c r="A228" s="55">
        <v>44</v>
      </c>
      <c r="B228" s="97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8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7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8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8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8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7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8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7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8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8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7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8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8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7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8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7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8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7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80"/>
      <c r="C249" s="99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58" t="s">
        <v>247</v>
      </c>
    </row>
    <row r="250" spans="1:14">
      <c r="A250" s="55">
        <v>48</v>
      </c>
      <c r="B250" s="981"/>
      <c r="C250" s="99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60"/>
    </row>
    <row r="251" spans="1:14">
      <c r="A251" s="55">
        <v>48</v>
      </c>
      <c r="B251" s="97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8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8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8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7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80"/>
      <c r="C256" s="99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58" t="s">
        <v>247</v>
      </c>
    </row>
    <row r="257" spans="1:14">
      <c r="A257" s="55">
        <v>49</v>
      </c>
      <c r="B257" s="981"/>
      <c r="C257" s="99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60"/>
    </row>
    <row r="258" spans="1:14" ht="40.5">
      <c r="A258" s="55">
        <v>49</v>
      </c>
      <c r="B258" s="97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8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9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9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75" t="s">
        <v>1103</v>
      </c>
    </row>
    <row r="262" spans="1:14" ht="25.5">
      <c r="A262" s="132">
        <v>49</v>
      </c>
      <c r="B262" s="109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76"/>
    </row>
    <row r="263" spans="1:14" ht="16.5" customHeight="1">
      <c r="A263" s="55">
        <v>50</v>
      </c>
      <c r="B263" s="979" t="s">
        <v>20</v>
      </c>
      <c r="C263" s="99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80"/>
      <c r="C264" s="99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80"/>
      <c r="C265" s="99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80"/>
      <c r="C266" s="99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81"/>
      <c r="C267" s="99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97" t="s">
        <v>658</v>
      </c>
      <c r="C268" s="97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98"/>
      <c r="C269" s="99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99"/>
      <c r="C270" s="97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79" t="s">
        <v>20</v>
      </c>
      <c r="C271" s="99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80"/>
      <c r="C272" s="99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80"/>
      <c r="C273" s="99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8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80"/>
      <c r="C275" s="99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80"/>
      <c r="C276" s="99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8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104" t="s">
        <v>1196</v>
      </c>
      <c r="B278" s="1105"/>
      <c r="C278" s="1105"/>
      <c r="D278" s="1105"/>
      <c r="E278" s="1105"/>
      <c r="F278" s="1105"/>
      <c r="G278" s="1105"/>
      <c r="H278" s="1105"/>
      <c r="I278" s="1105"/>
      <c r="J278" s="1105"/>
      <c r="K278" s="1105"/>
      <c r="L278" s="1105"/>
      <c r="M278" s="1105"/>
      <c r="N278" s="1106"/>
    </row>
    <row r="279" spans="1:15" ht="16.5" customHeight="1">
      <c r="A279" s="55">
        <v>1</v>
      </c>
      <c r="B279" s="979" t="s">
        <v>20</v>
      </c>
      <c r="C279" s="99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81"/>
      <c r="C280" s="99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79" t="s">
        <v>64</v>
      </c>
      <c r="C281" s="99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80"/>
      <c r="C282" s="99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80"/>
      <c r="C283" s="99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46" t="s">
        <v>1174</v>
      </c>
      <c r="K283" s="110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80"/>
      <c r="C284" s="99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7"/>
      <c r="K284" s="110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8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8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107" t="s">
        <v>123</v>
      </c>
      <c r="C287" s="97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108"/>
      <c r="C288" s="97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97" t="s">
        <v>64</v>
      </c>
      <c r="C289" s="97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98"/>
      <c r="C290" s="110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98"/>
      <c r="C291" s="110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75" t="s">
        <v>638</v>
      </c>
      <c r="K291" s="1036" t="s">
        <v>671</v>
      </c>
      <c r="L291" s="148" t="s">
        <v>309</v>
      </c>
      <c r="M291" s="985" t="s">
        <v>672</v>
      </c>
      <c r="N291" s="148" t="s">
        <v>723</v>
      </c>
    </row>
    <row r="292" spans="1:15">
      <c r="A292" s="55">
        <v>2</v>
      </c>
      <c r="B292" s="1098"/>
      <c r="C292" s="110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76"/>
      <c r="K292" s="1037"/>
      <c r="L292" s="148" t="s">
        <v>309</v>
      </c>
      <c r="M292" s="986"/>
      <c r="N292" s="148" t="s">
        <v>723</v>
      </c>
    </row>
    <row r="293" spans="1:15">
      <c r="A293" s="55">
        <v>2</v>
      </c>
      <c r="B293" s="1098"/>
      <c r="C293" s="110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98"/>
      <c r="C294" s="97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9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79" t="s">
        <v>20</v>
      </c>
      <c r="C296" s="99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80"/>
      <c r="C297" s="99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81"/>
      <c r="C298" s="99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7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8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8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79" t="s">
        <v>20</v>
      </c>
      <c r="C302" s="99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80"/>
      <c r="C303" s="99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80"/>
      <c r="C304" s="99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80"/>
      <c r="C305" s="99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81"/>
      <c r="C306" s="99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79" t="s">
        <v>20</v>
      </c>
      <c r="C308" s="99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81"/>
      <c r="C309" s="99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7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8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8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97" t="s">
        <v>307</v>
      </c>
      <c r="C313" s="97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99"/>
      <c r="C314" s="97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79" t="s">
        <v>20</v>
      </c>
      <c r="C316" s="99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80"/>
      <c r="C317" s="99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81"/>
      <c r="C318" s="99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7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8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8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79" t="s">
        <v>20</v>
      </c>
      <c r="C322" s="99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81"/>
      <c r="C323" s="99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7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8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8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8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8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79" t="s">
        <v>20</v>
      </c>
      <c r="C329" s="99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80"/>
      <c r="C330" s="99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81"/>
      <c r="C331" s="99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7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8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79" t="s">
        <v>20</v>
      </c>
      <c r="C334" s="99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80"/>
      <c r="C335" s="99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80"/>
      <c r="C336" s="99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81"/>
      <c r="C337" s="99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7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8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8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8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79" t="s">
        <v>20</v>
      </c>
      <c r="C342" s="99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80"/>
      <c r="C343" s="99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8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7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8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8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8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80"/>
      <c r="C349" s="106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81"/>
      <c r="C350" s="106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9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9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9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9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9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9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9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9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9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7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8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8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7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8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8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8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8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8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7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8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8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8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7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8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97" t="s">
        <v>307</v>
      </c>
      <c r="C375" s="128" t="s">
        <v>1531</v>
      </c>
      <c r="D375" s="975" t="s">
        <v>306</v>
      </c>
      <c r="E375" s="975" t="s">
        <v>322</v>
      </c>
      <c r="F375" s="975" t="s">
        <v>307</v>
      </c>
      <c r="G375" s="977">
        <v>4266</v>
      </c>
      <c r="H375" s="975" t="s">
        <v>640</v>
      </c>
      <c r="I375" s="977" t="s">
        <v>1533</v>
      </c>
      <c r="J375" s="975" t="s">
        <v>1534</v>
      </c>
      <c r="K375" s="1109" t="s">
        <v>692</v>
      </c>
      <c r="L375" s="975" t="s">
        <v>324</v>
      </c>
      <c r="M375" s="985" t="s">
        <v>1535</v>
      </c>
      <c r="N375" s="975" t="s">
        <v>425</v>
      </c>
    </row>
    <row r="376" spans="1:19">
      <c r="A376" s="199" t="s">
        <v>1539</v>
      </c>
      <c r="B376" s="1098"/>
      <c r="C376" s="129" t="s">
        <v>1532</v>
      </c>
      <c r="D376" s="976"/>
      <c r="E376" s="976"/>
      <c r="F376" s="976"/>
      <c r="G376" s="978"/>
      <c r="H376" s="976"/>
      <c r="I376" s="978"/>
      <c r="J376" s="976"/>
      <c r="K376" s="1110"/>
      <c r="L376" s="976"/>
      <c r="M376" s="986"/>
      <c r="N376" s="976"/>
    </row>
    <row r="377" spans="1:19">
      <c r="A377" s="199" t="s">
        <v>1539</v>
      </c>
      <c r="B377" s="1098"/>
      <c r="C377" s="128" t="s">
        <v>1536</v>
      </c>
      <c r="D377" s="975" t="s">
        <v>306</v>
      </c>
      <c r="E377" s="975" t="s">
        <v>322</v>
      </c>
      <c r="F377" s="975" t="s">
        <v>307</v>
      </c>
      <c r="G377" s="977">
        <v>3306</v>
      </c>
      <c r="H377" s="975" t="s">
        <v>1153</v>
      </c>
      <c r="I377" s="977" t="s">
        <v>1538</v>
      </c>
      <c r="J377" s="975" t="s">
        <v>1534</v>
      </c>
      <c r="K377" s="1109" t="s">
        <v>692</v>
      </c>
      <c r="L377" s="975" t="s">
        <v>324</v>
      </c>
      <c r="M377" s="985" t="s">
        <v>1535</v>
      </c>
      <c r="N377" s="975" t="s">
        <v>425</v>
      </c>
    </row>
    <row r="378" spans="1:19">
      <c r="A378" s="199" t="s">
        <v>1539</v>
      </c>
      <c r="B378" s="1099"/>
      <c r="C378" s="129" t="s">
        <v>1537</v>
      </c>
      <c r="D378" s="976"/>
      <c r="E378" s="976"/>
      <c r="F378" s="976"/>
      <c r="G378" s="978"/>
      <c r="H378" s="976"/>
      <c r="I378" s="978"/>
      <c r="J378" s="976"/>
      <c r="K378" s="1110"/>
      <c r="L378" s="976"/>
      <c r="M378" s="986"/>
      <c r="N378" s="976"/>
    </row>
    <row r="379" spans="1:19" ht="27" customHeight="1">
      <c r="A379" s="123">
        <v>15</v>
      </c>
      <c r="B379" s="97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8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8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8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7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8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7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8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8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8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7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8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8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8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7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8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8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7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8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8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8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8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8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8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69" t="s">
        <v>1782</v>
      </c>
      <c r="C403" s="226" t="s">
        <v>1748</v>
      </c>
      <c r="D403" s="1034" t="s">
        <v>306</v>
      </c>
      <c r="E403" s="1034" t="s">
        <v>322</v>
      </c>
      <c r="F403" s="1034" t="s">
        <v>307</v>
      </c>
      <c r="G403" s="1040">
        <v>3306</v>
      </c>
      <c r="H403" s="1034" t="s">
        <v>1153</v>
      </c>
      <c r="I403" s="1040" t="s">
        <v>1749</v>
      </c>
      <c r="J403" s="1034" t="s">
        <v>664</v>
      </c>
      <c r="K403" s="1111" t="s">
        <v>1288</v>
      </c>
      <c r="L403" s="1034" t="s">
        <v>324</v>
      </c>
      <c r="M403" s="1038" t="s">
        <v>1750</v>
      </c>
      <c r="N403" s="1034" t="s">
        <v>665</v>
      </c>
    </row>
    <row r="404" spans="1:14">
      <c r="A404" s="123">
        <v>18</v>
      </c>
      <c r="B404" s="970"/>
      <c r="C404" s="226" t="s">
        <v>1751</v>
      </c>
      <c r="D404" s="1035"/>
      <c r="E404" s="1035"/>
      <c r="F404" s="1035"/>
      <c r="G404" s="1041"/>
      <c r="H404" s="1035"/>
      <c r="I404" s="1041"/>
      <c r="J404" s="1035"/>
      <c r="K404" s="1112"/>
      <c r="L404" s="1035"/>
      <c r="M404" s="1039"/>
      <c r="N404" s="1035"/>
    </row>
    <row r="405" spans="1:14" ht="22.5">
      <c r="A405" s="123">
        <v>18</v>
      </c>
      <c r="B405" s="97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70"/>
      <c r="C406" s="226" t="s">
        <v>1755</v>
      </c>
      <c r="D406" s="1034" t="s">
        <v>306</v>
      </c>
      <c r="E406" s="1034" t="s">
        <v>322</v>
      </c>
      <c r="F406" s="1034" t="s">
        <v>307</v>
      </c>
      <c r="G406" s="1040" t="s">
        <v>1756</v>
      </c>
      <c r="H406" s="1034" t="s">
        <v>347</v>
      </c>
      <c r="I406" s="1040" t="s">
        <v>1154</v>
      </c>
      <c r="J406" s="1034" t="s">
        <v>664</v>
      </c>
      <c r="K406" s="1034" t="s">
        <v>1757</v>
      </c>
      <c r="L406" s="1034" t="s">
        <v>324</v>
      </c>
      <c r="M406" s="1038" t="s">
        <v>1758</v>
      </c>
      <c r="N406" s="1034" t="s">
        <v>665</v>
      </c>
    </row>
    <row r="407" spans="1:14">
      <c r="A407" s="123">
        <v>18</v>
      </c>
      <c r="B407" s="970"/>
      <c r="C407" s="226" t="s">
        <v>1759</v>
      </c>
      <c r="D407" s="1035"/>
      <c r="E407" s="1035"/>
      <c r="F407" s="1035"/>
      <c r="G407" s="1041"/>
      <c r="H407" s="1035"/>
      <c r="I407" s="1041"/>
      <c r="J407" s="1035"/>
      <c r="K407" s="1035"/>
      <c r="L407" s="1035"/>
      <c r="M407" s="1039"/>
      <c r="N407" s="1035"/>
    </row>
    <row r="408" spans="1:14" ht="16.5" customHeight="1">
      <c r="A408" s="123">
        <v>18</v>
      </c>
      <c r="B408" s="970"/>
      <c r="C408" s="228" t="s">
        <v>1760</v>
      </c>
      <c r="D408" s="1034" t="s">
        <v>306</v>
      </c>
      <c r="E408" s="1034" t="s">
        <v>322</v>
      </c>
      <c r="F408" s="1034" t="s">
        <v>307</v>
      </c>
      <c r="G408" s="1040" t="s">
        <v>1761</v>
      </c>
      <c r="H408" s="1034" t="s">
        <v>329</v>
      </c>
      <c r="I408" s="1040" t="s">
        <v>1762</v>
      </c>
      <c r="J408" s="1034" t="s">
        <v>664</v>
      </c>
      <c r="K408" s="1034" t="s">
        <v>1763</v>
      </c>
      <c r="L408" s="1034" t="s">
        <v>324</v>
      </c>
      <c r="M408" s="1038" t="s">
        <v>1764</v>
      </c>
      <c r="N408" s="1034" t="s">
        <v>1765</v>
      </c>
    </row>
    <row r="409" spans="1:14">
      <c r="A409" s="123">
        <v>18</v>
      </c>
      <c r="B409" s="971"/>
      <c r="C409" s="226" t="s">
        <v>1766</v>
      </c>
      <c r="D409" s="1035"/>
      <c r="E409" s="1035"/>
      <c r="F409" s="1035"/>
      <c r="G409" s="1041"/>
      <c r="H409" s="1035"/>
      <c r="I409" s="1041"/>
      <c r="J409" s="1035"/>
      <c r="K409" s="1035"/>
      <c r="L409" s="1035"/>
      <c r="M409" s="1039"/>
      <c r="N409" s="1035"/>
    </row>
    <row r="410" spans="1:14" ht="16.5" customHeight="1">
      <c r="A410" s="123">
        <v>18</v>
      </c>
      <c r="B410" s="969" t="s">
        <v>253</v>
      </c>
      <c r="C410" s="1042" t="s">
        <v>1767</v>
      </c>
      <c r="D410" s="1034" t="s">
        <v>311</v>
      </c>
      <c r="E410" s="1034" t="s">
        <v>320</v>
      </c>
      <c r="F410" s="1034" t="s">
        <v>709</v>
      </c>
      <c r="G410" s="1034" t="s">
        <v>1768</v>
      </c>
      <c r="H410" s="1042" t="s">
        <v>1769</v>
      </c>
      <c r="I410" s="227" t="s">
        <v>1770</v>
      </c>
      <c r="J410" s="1034"/>
      <c r="K410" s="1044" t="s">
        <v>1771</v>
      </c>
      <c r="L410" s="1034" t="s">
        <v>309</v>
      </c>
      <c r="M410" s="1038" t="s">
        <v>1764</v>
      </c>
      <c r="N410" s="1034" t="s">
        <v>1772</v>
      </c>
    </row>
    <row r="411" spans="1:14">
      <c r="A411" s="123">
        <v>18</v>
      </c>
      <c r="B411" s="970"/>
      <c r="C411" s="1043"/>
      <c r="D411" s="1035"/>
      <c r="E411" s="1035"/>
      <c r="F411" s="1035"/>
      <c r="G411" s="1035"/>
      <c r="H411" s="1043"/>
      <c r="I411" s="227" t="s">
        <v>1773</v>
      </c>
      <c r="J411" s="1035"/>
      <c r="K411" s="1045"/>
      <c r="L411" s="1035"/>
      <c r="M411" s="1039"/>
      <c r="N411" s="1035"/>
    </row>
    <row r="412" spans="1:14" ht="22.5">
      <c r="A412" s="123">
        <v>18</v>
      </c>
      <c r="B412" s="97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70"/>
      <c r="C413" s="1042" t="s">
        <v>1776</v>
      </c>
      <c r="D413" s="1042" t="s">
        <v>700</v>
      </c>
      <c r="E413" s="1034" t="s">
        <v>675</v>
      </c>
      <c r="F413" s="1042" t="s">
        <v>1777</v>
      </c>
      <c r="G413" s="1042" t="s">
        <v>1778</v>
      </c>
      <c r="H413" s="1042" t="s">
        <v>662</v>
      </c>
      <c r="I413" s="227" t="s">
        <v>1779</v>
      </c>
      <c r="J413" s="1034" t="s">
        <v>638</v>
      </c>
      <c r="K413" s="1034" t="s">
        <v>731</v>
      </c>
      <c r="L413" s="1034" t="s">
        <v>309</v>
      </c>
      <c r="M413" s="1038" t="s">
        <v>1780</v>
      </c>
      <c r="N413" s="1034" t="s">
        <v>1781</v>
      </c>
    </row>
    <row r="414" spans="1:14">
      <c r="A414" s="123">
        <v>18</v>
      </c>
      <c r="B414" s="971"/>
      <c r="C414" s="1043"/>
      <c r="D414" s="1043"/>
      <c r="E414" s="1035"/>
      <c r="F414" s="1043"/>
      <c r="G414" s="1043"/>
      <c r="H414" s="1043"/>
      <c r="I414" s="26"/>
      <c r="J414" s="1035"/>
      <c r="K414" s="1035"/>
      <c r="L414" s="1035"/>
      <c r="M414" s="1039"/>
      <c r="N414" s="1035"/>
    </row>
    <row r="415" spans="1:14" ht="16.5" customHeight="1">
      <c r="A415" s="123">
        <v>19</v>
      </c>
      <c r="B415" s="969" t="s">
        <v>20</v>
      </c>
      <c r="C415" s="148" t="s">
        <v>1794</v>
      </c>
      <c r="D415" s="975" t="s">
        <v>306</v>
      </c>
      <c r="E415" s="975" t="s">
        <v>322</v>
      </c>
      <c r="F415" s="975" t="s">
        <v>307</v>
      </c>
      <c r="G415" s="977" t="s">
        <v>1796</v>
      </c>
      <c r="H415" s="975" t="s">
        <v>1797</v>
      </c>
      <c r="I415" s="977" t="s">
        <v>1792</v>
      </c>
      <c r="J415" s="975" t="s">
        <v>664</v>
      </c>
      <c r="K415" s="148" t="s">
        <v>1520</v>
      </c>
      <c r="L415" s="975" t="s">
        <v>324</v>
      </c>
      <c r="M415" s="985" t="s">
        <v>1799</v>
      </c>
      <c r="N415" s="975" t="s">
        <v>665</v>
      </c>
    </row>
    <row r="416" spans="1:14">
      <c r="A416" s="123">
        <v>19</v>
      </c>
      <c r="B416" s="970"/>
      <c r="C416" s="148" t="s">
        <v>1795</v>
      </c>
      <c r="D416" s="976"/>
      <c r="E416" s="976"/>
      <c r="F416" s="976"/>
      <c r="G416" s="978"/>
      <c r="H416" s="976"/>
      <c r="I416" s="978"/>
      <c r="J416" s="976"/>
      <c r="K416" s="148" t="s">
        <v>1798</v>
      </c>
      <c r="L416" s="976"/>
      <c r="M416" s="986"/>
      <c r="N416" s="976"/>
    </row>
    <row r="417" spans="1:14">
      <c r="A417" s="123">
        <v>19</v>
      </c>
      <c r="B417" s="970"/>
      <c r="C417" s="148" t="s">
        <v>1800</v>
      </c>
      <c r="D417" s="975" t="s">
        <v>306</v>
      </c>
      <c r="E417" s="975" t="s">
        <v>322</v>
      </c>
      <c r="F417" s="975" t="s">
        <v>307</v>
      </c>
      <c r="G417" s="977" t="s">
        <v>1801</v>
      </c>
      <c r="H417" s="975" t="s">
        <v>1802</v>
      </c>
      <c r="I417" s="977" t="s">
        <v>1803</v>
      </c>
      <c r="J417" s="975" t="s">
        <v>664</v>
      </c>
      <c r="K417" s="1036" t="s">
        <v>1155</v>
      </c>
      <c r="L417" s="975" t="s">
        <v>324</v>
      </c>
      <c r="M417" s="985" t="s">
        <v>1804</v>
      </c>
      <c r="N417" s="975" t="s">
        <v>665</v>
      </c>
    </row>
    <row r="418" spans="1:14">
      <c r="A418" s="123">
        <v>19</v>
      </c>
      <c r="B418" s="971"/>
      <c r="C418" s="148" t="s">
        <v>1795</v>
      </c>
      <c r="D418" s="976"/>
      <c r="E418" s="976"/>
      <c r="F418" s="976"/>
      <c r="G418" s="978"/>
      <c r="H418" s="976"/>
      <c r="I418" s="978"/>
      <c r="J418" s="976"/>
      <c r="K418" s="1037"/>
      <c r="L418" s="976"/>
      <c r="M418" s="986"/>
      <c r="N418" s="976"/>
    </row>
    <row r="419" spans="1:14" ht="16.5" customHeight="1">
      <c r="A419" s="123">
        <v>19</v>
      </c>
      <c r="B419" s="969" t="s">
        <v>21</v>
      </c>
      <c r="C419" s="1026" t="s">
        <v>1805</v>
      </c>
      <c r="D419" s="1026" t="s">
        <v>700</v>
      </c>
      <c r="E419" s="975" t="s">
        <v>675</v>
      </c>
      <c r="F419" s="1026" t="s">
        <v>1806</v>
      </c>
      <c r="G419" s="1026" t="s">
        <v>1807</v>
      </c>
      <c r="H419" s="1026" t="s">
        <v>662</v>
      </c>
      <c r="I419" s="977" t="s">
        <v>1808</v>
      </c>
      <c r="J419" s="975"/>
      <c r="K419" s="1028" t="s">
        <v>1809</v>
      </c>
      <c r="L419" s="975" t="s">
        <v>309</v>
      </c>
      <c r="M419" s="985" t="s">
        <v>1810</v>
      </c>
      <c r="N419" s="149" t="s">
        <v>1811</v>
      </c>
    </row>
    <row r="420" spans="1:14">
      <c r="A420" s="123">
        <v>19</v>
      </c>
      <c r="B420" s="970"/>
      <c r="C420" s="1027"/>
      <c r="D420" s="1027"/>
      <c r="E420" s="976"/>
      <c r="F420" s="1027"/>
      <c r="G420" s="1027"/>
      <c r="H420" s="1027"/>
      <c r="I420" s="978"/>
      <c r="J420" s="976"/>
      <c r="K420" s="1029"/>
      <c r="L420" s="976"/>
      <c r="M420" s="986"/>
      <c r="N420" s="149" t="s">
        <v>1812</v>
      </c>
    </row>
    <row r="421" spans="1:14">
      <c r="A421" s="123">
        <v>19</v>
      </c>
      <c r="B421" s="970"/>
      <c r="C421" s="1030" t="s">
        <v>1813</v>
      </c>
      <c r="D421" s="1026" t="s">
        <v>700</v>
      </c>
      <c r="E421" s="975" t="s">
        <v>320</v>
      </c>
      <c r="F421" s="975" t="s">
        <v>337</v>
      </c>
      <c r="G421" s="1026" t="s">
        <v>353</v>
      </c>
      <c r="H421" s="1026" t="s">
        <v>1814</v>
      </c>
      <c r="I421" s="977" t="s">
        <v>1815</v>
      </c>
      <c r="J421" s="975" t="s">
        <v>638</v>
      </c>
      <c r="K421" s="1032" t="s">
        <v>692</v>
      </c>
      <c r="L421" s="975" t="s">
        <v>309</v>
      </c>
      <c r="M421" s="985" t="s">
        <v>1816</v>
      </c>
      <c r="N421" s="148" t="s">
        <v>1817</v>
      </c>
    </row>
    <row r="422" spans="1:14">
      <c r="A422" s="123">
        <v>19</v>
      </c>
      <c r="B422" s="970"/>
      <c r="C422" s="1031"/>
      <c r="D422" s="1027"/>
      <c r="E422" s="976"/>
      <c r="F422" s="976"/>
      <c r="G422" s="1027"/>
      <c r="H422" s="1027"/>
      <c r="I422" s="978"/>
      <c r="J422" s="976"/>
      <c r="K422" s="1033"/>
      <c r="L422" s="976"/>
      <c r="M422" s="986"/>
      <c r="N422" s="148" t="s">
        <v>1818</v>
      </c>
    </row>
    <row r="423" spans="1:14">
      <c r="A423" s="123">
        <v>19</v>
      </c>
      <c r="B423" s="97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70"/>
      <c r="C424" s="1026" t="s">
        <v>1820</v>
      </c>
      <c r="D424" s="1026" t="s">
        <v>700</v>
      </c>
      <c r="E424" s="975" t="s">
        <v>320</v>
      </c>
      <c r="F424" s="975" t="s">
        <v>709</v>
      </c>
      <c r="G424" s="975" t="s">
        <v>1768</v>
      </c>
      <c r="H424" s="1026" t="s">
        <v>1821</v>
      </c>
      <c r="I424" s="149" t="s">
        <v>1822</v>
      </c>
      <c r="J424" s="975" t="s">
        <v>638</v>
      </c>
      <c r="K424" s="975" t="s">
        <v>692</v>
      </c>
      <c r="L424" s="975" t="s">
        <v>309</v>
      </c>
      <c r="M424" s="985" t="s">
        <v>1535</v>
      </c>
      <c r="N424" s="977" t="s">
        <v>1824</v>
      </c>
    </row>
    <row r="425" spans="1:14">
      <c r="A425" s="123">
        <v>19</v>
      </c>
      <c r="B425" s="970"/>
      <c r="C425" s="1027"/>
      <c r="D425" s="1027"/>
      <c r="E425" s="976"/>
      <c r="F425" s="976"/>
      <c r="G425" s="976"/>
      <c r="H425" s="1027"/>
      <c r="I425" s="149" t="s">
        <v>1823</v>
      </c>
      <c r="J425" s="976"/>
      <c r="K425" s="976"/>
      <c r="L425" s="976"/>
      <c r="M425" s="986"/>
      <c r="N425" s="978"/>
    </row>
    <row r="426" spans="1:14">
      <c r="A426" s="123">
        <v>19</v>
      </c>
      <c r="B426" s="97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6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7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7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7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7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6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7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6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7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7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7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7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6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7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7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7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7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6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7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7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7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7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6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7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7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69" t="s">
        <v>2078</v>
      </c>
      <c r="C452" s="243" t="s">
        <v>1906</v>
      </c>
      <c r="D452" s="1006" t="s">
        <v>306</v>
      </c>
      <c r="E452" s="1006" t="s">
        <v>322</v>
      </c>
      <c r="F452" s="1006" t="s">
        <v>307</v>
      </c>
      <c r="G452" s="1006">
        <v>3306</v>
      </c>
      <c r="H452" s="1006" t="s">
        <v>1153</v>
      </c>
      <c r="I452" s="1006" t="s">
        <v>1907</v>
      </c>
      <c r="J452" s="1006" t="s">
        <v>1111</v>
      </c>
      <c r="K452" s="1006" t="s">
        <v>692</v>
      </c>
      <c r="L452" s="1006" t="s">
        <v>324</v>
      </c>
      <c r="M452" s="1004" t="s">
        <v>1908</v>
      </c>
      <c r="N452" s="1006" t="s">
        <v>665</v>
      </c>
    </row>
    <row r="453" spans="1:14">
      <c r="A453" s="123">
        <v>23</v>
      </c>
      <c r="B453" s="970"/>
      <c r="C453" s="243" t="s">
        <v>1909</v>
      </c>
      <c r="D453" s="1007"/>
      <c r="E453" s="1007"/>
      <c r="F453" s="1007"/>
      <c r="G453" s="1007"/>
      <c r="H453" s="1007"/>
      <c r="I453" s="1007"/>
      <c r="J453" s="1007"/>
      <c r="K453" s="1007"/>
      <c r="L453" s="1007"/>
      <c r="M453" s="1005"/>
      <c r="N453" s="1007"/>
    </row>
    <row r="454" spans="1:14">
      <c r="A454" s="123">
        <v>23</v>
      </c>
      <c r="B454" s="970"/>
      <c r="C454" s="243" t="s">
        <v>1910</v>
      </c>
      <c r="D454" s="1006" t="s">
        <v>306</v>
      </c>
      <c r="E454" s="1006" t="s">
        <v>322</v>
      </c>
      <c r="F454" s="1006" t="s">
        <v>307</v>
      </c>
      <c r="G454" s="1008" t="s">
        <v>1418</v>
      </c>
      <c r="H454" s="1006" t="s">
        <v>1911</v>
      </c>
      <c r="I454" s="1008" t="s">
        <v>1154</v>
      </c>
      <c r="J454" s="1006" t="s">
        <v>664</v>
      </c>
      <c r="K454" s="1022" t="s">
        <v>1763</v>
      </c>
      <c r="L454" s="1006" t="s">
        <v>324</v>
      </c>
      <c r="M454" s="1004" t="s">
        <v>1535</v>
      </c>
      <c r="N454" s="1006" t="s">
        <v>665</v>
      </c>
    </row>
    <row r="455" spans="1:14">
      <c r="A455" s="123">
        <v>23</v>
      </c>
      <c r="B455" s="970"/>
      <c r="C455" s="243" t="s">
        <v>1909</v>
      </c>
      <c r="D455" s="1007"/>
      <c r="E455" s="1007"/>
      <c r="F455" s="1007"/>
      <c r="G455" s="1009"/>
      <c r="H455" s="1007"/>
      <c r="I455" s="1009"/>
      <c r="J455" s="1007"/>
      <c r="K455" s="1023"/>
      <c r="L455" s="1007"/>
      <c r="M455" s="1005"/>
      <c r="N455" s="1007"/>
    </row>
    <row r="456" spans="1:14">
      <c r="A456" s="123">
        <v>23</v>
      </c>
      <c r="B456" s="97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70"/>
      <c r="C457" s="243" t="s">
        <v>1917</v>
      </c>
      <c r="D457" s="1006" t="s">
        <v>306</v>
      </c>
      <c r="E457" s="1006" t="s">
        <v>322</v>
      </c>
      <c r="F457" s="1006" t="s">
        <v>307</v>
      </c>
      <c r="G457" s="1008">
        <v>4267</v>
      </c>
      <c r="H457" s="1006" t="s">
        <v>640</v>
      </c>
      <c r="I457" s="1008" t="s">
        <v>1154</v>
      </c>
      <c r="J457" s="1006" t="s">
        <v>664</v>
      </c>
      <c r="K457" s="1022" t="s">
        <v>1763</v>
      </c>
      <c r="L457" s="1006" t="s">
        <v>324</v>
      </c>
      <c r="M457" s="1004" t="s">
        <v>1535</v>
      </c>
      <c r="N457" s="1006" t="s">
        <v>665</v>
      </c>
    </row>
    <row r="458" spans="1:14">
      <c r="A458" s="123">
        <v>23</v>
      </c>
      <c r="B458" s="970"/>
      <c r="C458" s="243" t="s">
        <v>1918</v>
      </c>
      <c r="D458" s="1007"/>
      <c r="E458" s="1007"/>
      <c r="F458" s="1007"/>
      <c r="G458" s="1009"/>
      <c r="H458" s="1007"/>
      <c r="I458" s="1009"/>
      <c r="J458" s="1007"/>
      <c r="K458" s="1023"/>
      <c r="L458" s="1007"/>
      <c r="M458" s="1005"/>
      <c r="N458" s="1007"/>
    </row>
    <row r="459" spans="1:14">
      <c r="A459" s="123">
        <v>23</v>
      </c>
      <c r="B459" s="970"/>
      <c r="C459" s="243" t="s">
        <v>1917</v>
      </c>
      <c r="D459" s="1006" t="s">
        <v>306</v>
      </c>
      <c r="E459" s="1006" t="s">
        <v>322</v>
      </c>
      <c r="F459" s="1006" t="s">
        <v>307</v>
      </c>
      <c r="G459" s="1008" t="s">
        <v>1919</v>
      </c>
      <c r="H459" s="1006" t="s">
        <v>662</v>
      </c>
      <c r="I459" s="1008" t="s">
        <v>1920</v>
      </c>
      <c r="J459" s="1006" t="s">
        <v>349</v>
      </c>
      <c r="K459" s="1024" t="s">
        <v>1916</v>
      </c>
      <c r="L459" s="1006" t="s">
        <v>324</v>
      </c>
      <c r="M459" s="1004" t="s">
        <v>1535</v>
      </c>
      <c r="N459" s="1006" t="s">
        <v>425</v>
      </c>
    </row>
    <row r="460" spans="1:14">
      <c r="A460" s="123">
        <v>23</v>
      </c>
      <c r="B460" s="971"/>
      <c r="C460" s="244" t="s">
        <v>1918</v>
      </c>
      <c r="D460" s="1007"/>
      <c r="E460" s="1007"/>
      <c r="F460" s="1007"/>
      <c r="G460" s="1009"/>
      <c r="H460" s="1007"/>
      <c r="I460" s="1009"/>
      <c r="J460" s="1007"/>
      <c r="K460" s="1025"/>
      <c r="L460" s="1007"/>
      <c r="M460" s="1005"/>
      <c r="N460" s="1007"/>
    </row>
    <row r="461" spans="1:14">
      <c r="A461" s="123">
        <v>23</v>
      </c>
      <c r="B461" s="96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70"/>
      <c r="C462" s="1006" t="s">
        <v>1921</v>
      </c>
      <c r="D462" s="1006" t="s">
        <v>311</v>
      </c>
      <c r="E462" s="1006" t="s">
        <v>675</v>
      </c>
      <c r="F462" s="1006" t="s">
        <v>1926</v>
      </c>
      <c r="G462" s="1006" t="s">
        <v>1927</v>
      </c>
      <c r="H462" s="1113" t="s">
        <v>347</v>
      </c>
      <c r="I462" s="242" t="s">
        <v>1928</v>
      </c>
      <c r="J462" s="1006"/>
      <c r="K462" s="1008" t="s">
        <v>1924</v>
      </c>
      <c r="L462" s="1006" t="s">
        <v>309</v>
      </c>
      <c r="M462" s="1004" t="s">
        <v>1828</v>
      </c>
      <c r="N462" s="1008" t="s">
        <v>1925</v>
      </c>
    </row>
    <row r="463" spans="1:14">
      <c r="A463" s="123">
        <v>23</v>
      </c>
      <c r="B463" s="970"/>
      <c r="C463" s="1007"/>
      <c r="D463" s="1007"/>
      <c r="E463" s="1007"/>
      <c r="F463" s="1007"/>
      <c r="G463" s="1007"/>
      <c r="H463" s="1114"/>
      <c r="I463" s="242" t="s">
        <v>1929</v>
      </c>
      <c r="J463" s="1007"/>
      <c r="K463" s="1009"/>
      <c r="L463" s="1007"/>
      <c r="M463" s="1005"/>
      <c r="N463" s="1009"/>
    </row>
    <row r="464" spans="1:14" ht="24">
      <c r="A464" s="123">
        <v>23</v>
      </c>
      <c r="B464" s="97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7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6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7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7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7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6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7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7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7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7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6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7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7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7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6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7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7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6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7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7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7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7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6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7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7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7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7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6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7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7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7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7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7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6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7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7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6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7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7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7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6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7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6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7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7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7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7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7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7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7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7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6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7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7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6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7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7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7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7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6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7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6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7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7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7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7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6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7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7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6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7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7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6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7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7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7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7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6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7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7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7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6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7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7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7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6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7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7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6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7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7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7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6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7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7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6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7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7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7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6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7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7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7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7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7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9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9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9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9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9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9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6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7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9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9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9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9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6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7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7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7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6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7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7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7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7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7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6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7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7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6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7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7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6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7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7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7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6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7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9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9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9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6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7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7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7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6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7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6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7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7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7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1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2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2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2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2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6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7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7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6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7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7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6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7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7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6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7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6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7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7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6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7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7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7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7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7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7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7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7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7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7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7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7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7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7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7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7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7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7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7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7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7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6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7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7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7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1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7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7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6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7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6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7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7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7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7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6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7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6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7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70"/>
      <c r="C687" s="148" t="s">
        <v>2726</v>
      </c>
      <c r="D687" s="975" t="s">
        <v>306</v>
      </c>
      <c r="E687" s="975" t="s">
        <v>322</v>
      </c>
      <c r="F687" s="975" t="s">
        <v>307</v>
      </c>
      <c r="G687" s="977" t="s">
        <v>2719</v>
      </c>
      <c r="H687" s="975" t="s">
        <v>1047</v>
      </c>
      <c r="I687" s="977" t="s">
        <v>704</v>
      </c>
      <c r="J687" s="975" t="s">
        <v>664</v>
      </c>
      <c r="K687" s="1014" t="s">
        <v>1763</v>
      </c>
      <c r="L687" s="975"/>
      <c r="M687" s="985" t="s">
        <v>458</v>
      </c>
      <c r="N687" s="975" t="s">
        <v>665</v>
      </c>
    </row>
    <row r="688" spans="1:14">
      <c r="A688" s="123">
        <v>8</v>
      </c>
      <c r="B688" s="970"/>
      <c r="C688" s="148" t="s">
        <v>2727</v>
      </c>
      <c r="D688" s="976"/>
      <c r="E688" s="976"/>
      <c r="F688" s="976"/>
      <c r="G688" s="978"/>
      <c r="H688" s="976"/>
      <c r="I688" s="978"/>
      <c r="J688" s="976"/>
      <c r="K688" s="1015"/>
      <c r="L688" s="976"/>
      <c r="M688" s="986"/>
      <c r="N688" s="976"/>
    </row>
    <row r="689" spans="1:14">
      <c r="A689" s="123">
        <v>8</v>
      </c>
      <c r="B689" s="97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70"/>
      <c r="C690" s="148" t="s">
        <v>2730</v>
      </c>
      <c r="D690" s="975" t="s">
        <v>306</v>
      </c>
      <c r="E690" s="975" t="s">
        <v>322</v>
      </c>
      <c r="F690" s="975" t="s">
        <v>307</v>
      </c>
      <c r="G690" s="977" t="s">
        <v>2731</v>
      </c>
      <c r="H690" s="975" t="s">
        <v>640</v>
      </c>
      <c r="I690" s="977" t="s">
        <v>668</v>
      </c>
      <c r="J690" s="975" t="s">
        <v>349</v>
      </c>
      <c r="K690" s="1016" t="s">
        <v>2732</v>
      </c>
      <c r="L690" s="975"/>
      <c r="M690" s="985" t="s">
        <v>2769</v>
      </c>
      <c r="N690" s="975" t="s">
        <v>425</v>
      </c>
    </row>
    <row r="691" spans="1:14">
      <c r="A691" s="123">
        <v>8</v>
      </c>
      <c r="B691" s="971"/>
      <c r="C691" s="148" t="s">
        <v>2723</v>
      </c>
      <c r="D691" s="976"/>
      <c r="E691" s="976"/>
      <c r="F691" s="976"/>
      <c r="G691" s="978"/>
      <c r="H691" s="976"/>
      <c r="I691" s="978"/>
      <c r="J691" s="976"/>
      <c r="K691" s="1017"/>
      <c r="L691" s="976"/>
      <c r="M691" s="986"/>
      <c r="N691" s="976"/>
    </row>
    <row r="692" spans="1:14">
      <c r="A692" s="123">
        <v>8</v>
      </c>
      <c r="B692" s="96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70"/>
      <c r="C693" s="975" t="s">
        <v>2768</v>
      </c>
      <c r="D693" s="975" t="s">
        <v>311</v>
      </c>
      <c r="E693" s="975" t="s">
        <v>675</v>
      </c>
      <c r="F693" s="149" t="s">
        <v>1806</v>
      </c>
      <c r="G693" s="977" t="s">
        <v>689</v>
      </c>
      <c r="H693" s="977" t="s">
        <v>662</v>
      </c>
      <c r="I693" s="977" t="s">
        <v>2739</v>
      </c>
      <c r="J693" s="977"/>
      <c r="K693" s="977" t="s">
        <v>698</v>
      </c>
      <c r="L693" s="975" t="s">
        <v>309</v>
      </c>
      <c r="M693" s="985" t="s">
        <v>672</v>
      </c>
      <c r="N693" s="975" t="s">
        <v>2740</v>
      </c>
    </row>
    <row r="694" spans="1:14">
      <c r="A694" s="123">
        <v>8</v>
      </c>
      <c r="B694" s="971"/>
      <c r="C694" s="976"/>
      <c r="D694" s="976"/>
      <c r="E694" s="976"/>
      <c r="F694" s="149" t="s">
        <v>2738</v>
      </c>
      <c r="G694" s="978"/>
      <c r="H694" s="978"/>
      <c r="I694" s="978"/>
      <c r="J694" s="978"/>
      <c r="K694" s="978"/>
      <c r="L694" s="976"/>
      <c r="M694" s="986"/>
      <c r="N694" s="992"/>
    </row>
    <row r="695" spans="1:14">
      <c r="A695" s="123">
        <v>9</v>
      </c>
      <c r="B695" s="96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7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70"/>
      <c r="C697" s="243" t="s">
        <v>2745</v>
      </c>
      <c r="D697" s="1006" t="s">
        <v>306</v>
      </c>
      <c r="E697" s="1006" t="s">
        <v>322</v>
      </c>
      <c r="F697" s="1006" t="s">
        <v>307</v>
      </c>
      <c r="G697" s="1008" t="s">
        <v>2746</v>
      </c>
      <c r="H697" s="1006" t="s">
        <v>405</v>
      </c>
      <c r="I697" s="1008" t="s">
        <v>2747</v>
      </c>
      <c r="J697" s="1006" t="s">
        <v>664</v>
      </c>
      <c r="K697" s="1012" t="s">
        <v>1757</v>
      </c>
      <c r="L697" s="1006"/>
      <c r="M697" s="1004">
        <v>750000</v>
      </c>
      <c r="N697" s="1006" t="s">
        <v>665</v>
      </c>
    </row>
    <row r="698" spans="1:14">
      <c r="A698" s="123">
        <v>9</v>
      </c>
      <c r="B698" s="970"/>
      <c r="C698" s="243" t="s">
        <v>2748</v>
      </c>
      <c r="D698" s="1007"/>
      <c r="E698" s="1007"/>
      <c r="F698" s="1007"/>
      <c r="G698" s="1009"/>
      <c r="H698" s="1007"/>
      <c r="I698" s="1009"/>
      <c r="J698" s="1007"/>
      <c r="K698" s="1013"/>
      <c r="L698" s="1007"/>
      <c r="M698" s="1005"/>
      <c r="N698" s="1007"/>
    </row>
    <row r="699" spans="1:14">
      <c r="A699" s="123">
        <v>9</v>
      </c>
      <c r="B699" s="970"/>
      <c r="C699" s="243" t="s">
        <v>2745</v>
      </c>
      <c r="D699" s="1006" t="s">
        <v>306</v>
      </c>
      <c r="E699" s="1006" t="s">
        <v>322</v>
      </c>
      <c r="F699" s="1006" t="s">
        <v>307</v>
      </c>
      <c r="G699" s="1008" t="s">
        <v>2749</v>
      </c>
      <c r="H699" s="1006" t="s">
        <v>662</v>
      </c>
      <c r="I699" s="1008" t="s">
        <v>668</v>
      </c>
      <c r="J699" s="1006" t="s">
        <v>349</v>
      </c>
      <c r="K699" s="1010" t="s">
        <v>2732</v>
      </c>
      <c r="L699" s="1006"/>
      <c r="M699" s="1004">
        <v>1000000</v>
      </c>
      <c r="N699" s="1006" t="s">
        <v>425</v>
      </c>
    </row>
    <row r="700" spans="1:14">
      <c r="A700" s="123">
        <v>9</v>
      </c>
      <c r="B700" s="970"/>
      <c r="C700" s="243" t="s">
        <v>2750</v>
      </c>
      <c r="D700" s="1007"/>
      <c r="E700" s="1007"/>
      <c r="F700" s="1007"/>
      <c r="G700" s="1009"/>
      <c r="H700" s="1007"/>
      <c r="I700" s="1009"/>
      <c r="J700" s="1007"/>
      <c r="K700" s="1011"/>
      <c r="L700" s="1007"/>
      <c r="M700" s="1005"/>
      <c r="N700" s="1007"/>
    </row>
    <row r="701" spans="1:14">
      <c r="A701" s="123">
        <v>9</v>
      </c>
      <c r="B701" s="97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6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7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7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6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7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7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6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7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7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7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6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7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6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7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6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7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7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7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7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6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7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7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7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6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7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7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7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7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7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7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02" t="s">
        <v>2821</v>
      </c>
    </row>
    <row r="734" spans="1:14" ht="27">
      <c r="A734" s="123">
        <v>15</v>
      </c>
      <c r="B734" s="97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03"/>
    </row>
    <row r="735" spans="1:14">
      <c r="A735" s="123">
        <v>15</v>
      </c>
      <c r="B735" s="97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7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7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7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7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7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7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7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7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7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7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6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7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7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7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7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6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7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7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7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7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6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7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7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7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6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7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7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7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7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7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7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7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7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7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6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7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7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6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7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7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6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7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7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7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6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7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7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7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6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7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6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7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7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7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6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7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9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9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9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6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7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7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7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7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6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7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7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7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6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7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7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6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7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7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7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6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7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7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7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7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7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6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7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7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7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7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7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7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7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7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6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7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7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7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7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7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69" t="s">
        <v>3097</v>
      </c>
      <c r="C835" s="148" t="s">
        <v>3079</v>
      </c>
      <c r="D835" s="975" t="s">
        <v>306</v>
      </c>
      <c r="E835" s="975" t="s">
        <v>322</v>
      </c>
      <c r="F835" s="975" t="s">
        <v>307</v>
      </c>
      <c r="G835" s="977" t="s">
        <v>3051</v>
      </c>
      <c r="H835" s="975" t="s">
        <v>1993</v>
      </c>
      <c r="I835" s="977" t="s">
        <v>3052</v>
      </c>
      <c r="J835" s="975" t="s">
        <v>664</v>
      </c>
      <c r="K835" s="148" t="s">
        <v>3081</v>
      </c>
      <c r="L835" s="975"/>
      <c r="M835" s="994" t="s">
        <v>3082</v>
      </c>
      <c r="N835" s="148" t="s">
        <v>3083</v>
      </c>
    </row>
    <row r="836" spans="1:14">
      <c r="A836" s="123">
        <v>29</v>
      </c>
      <c r="B836" s="970"/>
      <c r="C836" s="148" t="s">
        <v>3080</v>
      </c>
      <c r="D836" s="992"/>
      <c r="E836" s="992"/>
      <c r="F836" s="992"/>
      <c r="G836" s="993"/>
      <c r="H836" s="992"/>
      <c r="I836" s="993"/>
      <c r="J836" s="992"/>
      <c r="K836" s="148" t="s">
        <v>707</v>
      </c>
      <c r="L836" s="992"/>
      <c r="M836" s="995"/>
      <c r="N836" s="148"/>
    </row>
    <row r="837" spans="1:14">
      <c r="A837" s="123">
        <v>29</v>
      </c>
      <c r="B837" s="970"/>
      <c r="C837" s="148"/>
      <c r="D837" s="976"/>
      <c r="E837" s="976"/>
      <c r="F837" s="976"/>
      <c r="G837" s="978"/>
      <c r="H837" s="976"/>
      <c r="I837" s="978"/>
      <c r="J837" s="976"/>
      <c r="K837" s="148"/>
      <c r="L837" s="976"/>
      <c r="M837" s="996"/>
      <c r="N837" s="148" t="s">
        <v>3084</v>
      </c>
    </row>
    <row r="838" spans="1:14">
      <c r="A838" s="123">
        <v>29</v>
      </c>
      <c r="B838" s="97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7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69" t="s">
        <v>21</v>
      </c>
      <c r="C840" s="111" t="s">
        <v>3087</v>
      </c>
      <c r="D840" s="975" t="s">
        <v>311</v>
      </c>
      <c r="E840" s="975" t="s">
        <v>320</v>
      </c>
      <c r="F840" s="977" t="s">
        <v>2601</v>
      </c>
      <c r="G840" s="977" t="s">
        <v>3059</v>
      </c>
      <c r="H840" s="977" t="s">
        <v>3060</v>
      </c>
      <c r="I840" s="977" t="s">
        <v>3061</v>
      </c>
      <c r="J840" s="977" t="s">
        <v>702</v>
      </c>
      <c r="K840" s="977" t="s">
        <v>3062</v>
      </c>
      <c r="L840" s="975" t="s">
        <v>309</v>
      </c>
      <c r="M840" s="994" t="s">
        <v>1816</v>
      </c>
      <c r="N840" s="975" t="s">
        <v>3088</v>
      </c>
    </row>
    <row r="841" spans="1:14">
      <c r="A841" s="123">
        <v>29</v>
      </c>
      <c r="B841" s="970"/>
      <c r="C841" s="111" t="s">
        <v>3065</v>
      </c>
      <c r="D841" s="976"/>
      <c r="E841" s="976"/>
      <c r="F841" s="978"/>
      <c r="G841" s="978"/>
      <c r="H841" s="978"/>
      <c r="I841" s="978"/>
      <c r="J841" s="978"/>
      <c r="K841" s="978"/>
      <c r="L841" s="976"/>
      <c r="M841" s="996"/>
      <c r="N841" s="976"/>
    </row>
    <row r="842" spans="1:14">
      <c r="A842" s="123">
        <v>29</v>
      </c>
      <c r="B842" s="97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7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70"/>
      <c r="C844" s="111" t="s">
        <v>3079</v>
      </c>
      <c r="D844" s="975" t="s">
        <v>311</v>
      </c>
      <c r="E844" s="975" t="s">
        <v>320</v>
      </c>
      <c r="F844" s="977" t="s">
        <v>3068</v>
      </c>
      <c r="G844" s="977" t="s">
        <v>1919</v>
      </c>
      <c r="H844" s="977" t="s">
        <v>3069</v>
      </c>
      <c r="I844" s="149" t="s">
        <v>3090</v>
      </c>
      <c r="J844" s="977"/>
      <c r="K844" s="977" t="s">
        <v>3070</v>
      </c>
      <c r="L844" s="975" t="s">
        <v>309</v>
      </c>
      <c r="M844" s="1000" t="s">
        <v>3092</v>
      </c>
      <c r="N844" s="975" t="s">
        <v>1206</v>
      </c>
    </row>
    <row r="845" spans="1:14">
      <c r="A845" s="123">
        <v>29</v>
      </c>
      <c r="B845" s="970"/>
      <c r="C845" s="111" t="s">
        <v>3089</v>
      </c>
      <c r="D845" s="976"/>
      <c r="E845" s="976"/>
      <c r="F845" s="978"/>
      <c r="G845" s="978"/>
      <c r="H845" s="978"/>
      <c r="I845" s="149" t="s">
        <v>3091</v>
      </c>
      <c r="J845" s="978"/>
      <c r="K845" s="978"/>
      <c r="L845" s="976"/>
      <c r="M845" s="1001"/>
      <c r="N845" s="976"/>
    </row>
    <row r="846" spans="1:14">
      <c r="A846" s="123">
        <v>29</v>
      </c>
      <c r="B846" s="970"/>
      <c r="C846" s="111" t="s">
        <v>3079</v>
      </c>
      <c r="D846" s="975" t="s">
        <v>311</v>
      </c>
      <c r="E846" s="975" t="s">
        <v>320</v>
      </c>
      <c r="F846" s="977" t="s">
        <v>2601</v>
      </c>
      <c r="G846" s="977" t="s">
        <v>3059</v>
      </c>
      <c r="H846" s="977" t="s">
        <v>3060</v>
      </c>
      <c r="I846" s="977" t="s">
        <v>3071</v>
      </c>
      <c r="J846" s="977" t="s">
        <v>702</v>
      </c>
      <c r="K846" s="977" t="s">
        <v>1054</v>
      </c>
      <c r="L846" s="975" t="s">
        <v>309</v>
      </c>
      <c r="M846" s="994" t="s">
        <v>3094</v>
      </c>
      <c r="N846" s="975" t="s">
        <v>3095</v>
      </c>
    </row>
    <row r="847" spans="1:14">
      <c r="A847" s="123">
        <v>29</v>
      </c>
      <c r="B847" s="970"/>
      <c r="C847" s="111"/>
      <c r="D847" s="992"/>
      <c r="E847" s="992"/>
      <c r="F847" s="993"/>
      <c r="G847" s="993"/>
      <c r="H847" s="993"/>
      <c r="I847" s="993"/>
      <c r="J847" s="993"/>
      <c r="K847" s="993"/>
      <c r="L847" s="992"/>
      <c r="M847" s="995"/>
      <c r="N847" s="992"/>
    </row>
    <row r="848" spans="1:14">
      <c r="A848" s="123">
        <v>29</v>
      </c>
      <c r="B848" s="970"/>
      <c r="C848" s="111" t="s">
        <v>3093</v>
      </c>
      <c r="D848" s="976"/>
      <c r="E848" s="976"/>
      <c r="F848" s="978"/>
      <c r="G848" s="978"/>
      <c r="H848" s="978"/>
      <c r="I848" s="978"/>
      <c r="J848" s="978"/>
      <c r="K848" s="978"/>
      <c r="L848" s="976"/>
      <c r="M848" s="996"/>
      <c r="N848" s="976"/>
    </row>
    <row r="849" spans="1:14">
      <c r="A849" s="123">
        <v>29</v>
      </c>
      <c r="B849" s="970"/>
      <c r="C849" s="111" t="s">
        <v>3096</v>
      </c>
      <c r="D849" s="975" t="s">
        <v>311</v>
      </c>
      <c r="E849" s="975" t="s">
        <v>320</v>
      </c>
      <c r="F849" s="977" t="s">
        <v>337</v>
      </c>
      <c r="G849" s="977" t="s">
        <v>3072</v>
      </c>
      <c r="H849" s="977" t="s">
        <v>354</v>
      </c>
      <c r="I849" s="977" t="s">
        <v>310</v>
      </c>
      <c r="J849" s="977" t="s">
        <v>638</v>
      </c>
      <c r="K849" s="977" t="s">
        <v>3073</v>
      </c>
      <c r="L849" s="975" t="s">
        <v>309</v>
      </c>
      <c r="M849" s="994" t="s">
        <v>1816</v>
      </c>
      <c r="N849" s="975" t="s">
        <v>3095</v>
      </c>
    </row>
    <row r="850" spans="1:14">
      <c r="A850" s="123">
        <v>29</v>
      </c>
      <c r="B850" s="971"/>
      <c r="C850" s="111" t="s">
        <v>3089</v>
      </c>
      <c r="D850" s="976"/>
      <c r="E850" s="976"/>
      <c r="F850" s="978"/>
      <c r="G850" s="978"/>
      <c r="H850" s="978"/>
      <c r="I850" s="978"/>
      <c r="J850" s="978"/>
      <c r="K850" s="978"/>
      <c r="L850" s="976"/>
      <c r="M850" s="996"/>
      <c r="N850" s="976"/>
    </row>
    <row r="851" spans="1:14">
      <c r="A851" s="123">
        <v>30</v>
      </c>
      <c r="B851" s="98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8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88"/>
      <c r="C853" s="148" t="s">
        <v>3106</v>
      </c>
      <c r="D853" s="975" t="s">
        <v>306</v>
      </c>
      <c r="E853" s="975" t="s">
        <v>322</v>
      </c>
      <c r="F853" s="975" t="s">
        <v>307</v>
      </c>
      <c r="G853" s="977" t="s">
        <v>3051</v>
      </c>
      <c r="H853" s="975" t="s">
        <v>1993</v>
      </c>
      <c r="I853" s="977" t="s">
        <v>3108</v>
      </c>
      <c r="J853" s="975" t="s">
        <v>664</v>
      </c>
      <c r="K853" s="148" t="s">
        <v>3109</v>
      </c>
      <c r="L853" s="975"/>
      <c r="M853" s="985" t="s">
        <v>3110</v>
      </c>
      <c r="N853" s="975" t="s">
        <v>665</v>
      </c>
    </row>
    <row r="854" spans="1:14">
      <c r="A854" s="123">
        <v>30</v>
      </c>
      <c r="B854" s="988"/>
      <c r="C854" s="148" t="s">
        <v>3107</v>
      </c>
      <c r="D854" s="976"/>
      <c r="E854" s="976"/>
      <c r="F854" s="976"/>
      <c r="G854" s="978"/>
      <c r="H854" s="976"/>
      <c r="I854" s="978"/>
      <c r="J854" s="976"/>
      <c r="K854" s="148" t="s">
        <v>655</v>
      </c>
      <c r="L854" s="976"/>
      <c r="M854" s="986"/>
      <c r="N854" s="976"/>
    </row>
    <row r="855" spans="1:14">
      <c r="A855" s="123">
        <v>30</v>
      </c>
      <c r="B855" s="98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69" t="s">
        <v>3116</v>
      </c>
      <c r="C856" s="990" t="s">
        <v>3117</v>
      </c>
      <c r="D856" s="975" t="s">
        <v>311</v>
      </c>
      <c r="E856" s="975" t="s">
        <v>320</v>
      </c>
      <c r="F856" s="977" t="s">
        <v>2601</v>
      </c>
      <c r="G856" s="977" t="s">
        <v>2749</v>
      </c>
      <c r="H856" s="977" t="s">
        <v>347</v>
      </c>
      <c r="I856" s="977" t="s">
        <v>3118</v>
      </c>
      <c r="J856" s="977" t="s">
        <v>638</v>
      </c>
      <c r="K856" s="977" t="s">
        <v>698</v>
      </c>
      <c r="L856" s="975" t="s">
        <v>309</v>
      </c>
      <c r="M856" s="985" t="s">
        <v>1810</v>
      </c>
      <c r="N856" s="148" t="s">
        <v>3119</v>
      </c>
    </row>
    <row r="857" spans="1:14">
      <c r="A857" s="123">
        <v>30</v>
      </c>
      <c r="B857" s="970"/>
      <c r="C857" s="991"/>
      <c r="D857" s="976"/>
      <c r="E857" s="976"/>
      <c r="F857" s="978"/>
      <c r="G857" s="978"/>
      <c r="H857" s="978"/>
      <c r="I857" s="978"/>
      <c r="J857" s="978"/>
      <c r="K857" s="978"/>
      <c r="L857" s="976"/>
      <c r="M857" s="986"/>
      <c r="N857" s="148" t="s">
        <v>3120</v>
      </c>
    </row>
    <row r="858" spans="1:14" ht="16.5" customHeight="1">
      <c r="A858" s="123">
        <v>30</v>
      </c>
      <c r="B858" s="970"/>
      <c r="C858" s="990" t="s">
        <v>3117</v>
      </c>
      <c r="D858" s="975" t="s">
        <v>311</v>
      </c>
      <c r="E858" s="975" t="s">
        <v>320</v>
      </c>
      <c r="F858" s="977" t="s">
        <v>709</v>
      </c>
      <c r="G858" s="149" t="s">
        <v>3121</v>
      </c>
      <c r="H858" s="977" t="s">
        <v>640</v>
      </c>
      <c r="I858" s="977" t="s">
        <v>3122</v>
      </c>
      <c r="J858" s="977"/>
      <c r="K858" s="977" t="s">
        <v>692</v>
      </c>
      <c r="L858" s="975" t="s">
        <v>309</v>
      </c>
      <c r="M858" s="985" t="s">
        <v>1535</v>
      </c>
      <c r="N858" s="975" t="s">
        <v>1772</v>
      </c>
    </row>
    <row r="859" spans="1:14">
      <c r="A859" s="123">
        <v>30</v>
      </c>
      <c r="B859" s="970"/>
      <c r="C859" s="991"/>
      <c r="D859" s="976"/>
      <c r="E859" s="976"/>
      <c r="F859" s="978"/>
      <c r="G859" s="149">
        <v>2651</v>
      </c>
      <c r="H859" s="978"/>
      <c r="I859" s="978"/>
      <c r="J859" s="978"/>
      <c r="K859" s="978"/>
      <c r="L859" s="976"/>
      <c r="M859" s="986"/>
      <c r="N859" s="976"/>
    </row>
    <row r="860" spans="1:14">
      <c r="A860" s="123">
        <v>30</v>
      </c>
      <c r="B860" s="970"/>
      <c r="C860" s="990" t="s">
        <v>3123</v>
      </c>
      <c r="D860" s="975" t="s">
        <v>311</v>
      </c>
      <c r="E860" s="975" t="s">
        <v>320</v>
      </c>
      <c r="F860" s="977" t="s">
        <v>720</v>
      </c>
      <c r="G860" s="977" t="s">
        <v>1756</v>
      </c>
      <c r="H860" s="977" t="s">
        <v>347</v>
      </c>
      <c r="I860" s="149" t="s">
        <v>3124</v>
      </c>
      <c r="J860" s="977"/>
      <c r="K860" s="977" t="s">
        <v>3126</v>
      </c>
      <c r="L860" s="975" t="s">
        <v>309</v>
      </c>
      <c r="M860" s="985" t="s">
        <v>1933</v>
      </c>
      <c r="N860" s="975" t="s">
        <v>1206</v>
      </c>
    </row>
    <row r="861" spans="1:14">
      <c r="A861" s="123">
        <v>30</v>
      </c>
      <c r="B861" s="970"/>
      <c r="C861" s="991"/>
      <c r="D861" s="976"/>
      <c r="E861" s="976"/>
      <c r="F861" s="978"/>
      <c r="G861" s="978"/>
      <c r="H861" s="978"/>
      <c r="I861" s="149" t="s">
        <v>3125</v>
      </c>
      <c r="J861" s="978"/>
      <c r="K861" s="978"/>
      <c r="L861" s="976"/>
      <c r="M861" s="986"/>
      <c r="N861" s="976"/>
    </row>
    <row r="862" spans="1:14">
      <c r="A862" s="123">
        <v>30</v>
      </c>
      <c r="B862" s="970"/>
      <c r="C862" s="111" t="s">
        <v>3127</v>
      </c>
      <c r="D862" s="975" t="s">
        <v>311</v>
      </c>
      <c r="E862" s="975" t="s">
        <v>320</v>
      </c>
      <c r="F862" s="977" t="s">
        <v>690</v>
      </c>
      <c r="G862" s="977" t="s">
        <v>3066</v>
      </c>
      <c r="H862" s="977" t="s">
        <v>354</v>
      </c>
      <c r="I862" s="977" t="s">
        <v>3129</v>
      </c>
      <c r="J862" s="977" t="s">
        <v>638</v>
      </c>
      <c r="K862" s="977" t="s">
        <v>655</v>
      </c>
      <c r="L862" s="975" t="s">
        <v>309</v>
      </c>
      <c r="M862" s="985" t="s">
        <v>1535</v>
      </c>
      <c r="N862" s="975" t="s">
        <v>1206</v>
      </c>
    </row>
    <row r="863" spans="1:14">
      <c r="A863" s="123">
        <v>30</v>
      </c>
      <c r="B863" s="970"/>
      <c r="C863" s="111" t="s">
        <v>3128</v>
      </c>
      <c r="D863" s="976"/>
      <c r="E863" s="976"/>
      <c r="F863" s="978"/>
      <c r="G863" s="978"/>
      <c r="H863" s="978"/>
      <c r="I863" s="978"/>
      <c r="J863" s="978"/>
      <c r="K863" s="978"/>
      <c r="L863" s="976"/>
      <c r="M863" s="986"/>
      <c r="N863" s="976"/>
    </row>
    <row r="864" spans="1:14">
      <c r="A864" s="123">
        <v>30</v>
      </c>
      <c r="B864" s="970"/>
      <c r="C864" s="111" t="s">
        <v>3130</v>
      </c>
      <c r="D864" s="975" t="s">
        <v>311</v>
      </c>
      <c r="E864" s="975" t="s">
        <v>320</v>
      </c>
      <c r="F864" s="977" t="s">
        <v>337</v>
      </c>
      <c r="G864" s="977" t="s">
        <v>3072</v>
      </c>
      <c r="H864" s="977" t="s">
        <v>354</v>
      </c>
      <c r="I864" s="977" t="s">
        <v>3131</v>
      </c>
      <c r="J864" s="977" t="s">
        <v>638</v>
      </c>
      <c r="K864" s="977" t="s">
        <v>713</v>
      </c>
      <c r="L864" s="975" t="s">
        <v>309</v>
      </c>
      <c r="M864" s="985" t="s">
        <v>1810</v>
      </c>
      <c r="N864" s="975" t="s">
        <v>1206</v>
      </c>
    </row>
    <row r="865" spans="1:14">
      <c r="A865" s="123">
        <v>30</v>
      </c>
      <c r="B865" s="970"/>
      <c r="C865" s="111" t="s">
        <v>3107</v>
      </c>
      <c r="D865" s="976"/>
      <c r="E865" s="976"/>
      <c r="F865" s="978"/>
      <c r="G865" s="978"/>
      <c r="H865" s="978"/>
      <c r="I865" s="978"/>
      <c r="J865" s="978"/>
      <c r="K865" s="978"/>
      <c r="L865" s="976"/>
      <c r="M865" s="986"/>
      <c r="N865" s="976"/>
    </row>
    <row r="866" spans="1:14" ht="25.5">
      <c r="A866" s="123">
        <v>30</v>
      </c>
      <c r="B866" s="97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70"/>
      <c r="C867" s="990" t="s">
        <v>3111</v>
      </c>
      <c r="D867" s="975" t="s">
        <v>311</v>
      </c>
      <c r="E867" s="975" t="s">
        <v>675</v>
      </c>
      <c r="F867" s="977" t="s">
        <v>660</v>
      </c>
      <c r="G867" s="977" t="s">
        <v>661</v>
      </c>
      <c r="H867" s="977" t="s">
        <v>662</v>
      </c>
      <c r="I867" s="149" t="s">
        <v>3134</v>
      </c>
      <c r="J867" s="977" t="s">
        <v>638</v>
      </c>
      <c r="K867" s="977" t="s">
        <v>731</v>
      </c>
      <c r="L867" s="975" t="s">
        <v>309</v>
      </c>
      <c r="M867" s="985" t="s">
        <v>1828</v>
      </c>
      <c r="N867" s="975" t="s">
        <v>3136</v>
      </c>
    </row>
    <row r="868" spans="1:14">
      <c r="A868" s="123">
        <v>30</v>
      </c>
      <c r="B868" s="971"/>
      <c r="C868" s="991"/>
      <c r="D868" s="976"/>
      <c r="E868" s="976"/>
      <c r="F868" s="978"/>
      <c r="G868" s="978"/>
      <c r="H868" s="978"/>
      <c r="I868" s="149" t="s">
        <v>3135</v>
      </c>
      <c r="J868" s="978"/>
      <c r="K868" s="978"/>
      <c r="L868" s="976"/>
      <c r="M868" s="986"/>
      <c r="N868" s="976"/>
    </row>
    <row r="869" spans="1:14">
      <c r="A869" s="123">
        <v>31</v>
      </c>
      <c r="B869" s="96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70"/>
      <c r="C870" s="148" t="s">
        <v>3140</v>
      </c>
      <c r="D870" s="975" t="s">
        <v>306</v>
      </c>
      <c r="E870" s="975" t="s">
        <v>322</v>
      </c>
      <c r="F870" s="975" t="s">
        <v>307</v>
      </c>
      <c r="G870" s="977">
        <v>1566</v>
      </c>
      <c r="H870" s="975" t="s">
        <v>1911</v>
      </c>
      <c r="I870" s="977" t="s">
        <v>3142</v>
      </c>
      <c r="J870" s="975" t="s">
        <v>664</v>
      </c>
      <c r="K870" s="975" t="s">
        <v>3143</v>
      </c>
      <c r="L870" s="975"/>
      <c r="M870" s="985" t="s">
        <v>3144</v>
      </c>
      <c r="N870" s="975" t="s">
        <v>665</v>
      </c>
    </row>
    <row r="871" spans="1:14">
      <c r="A871" s="123">
        <v>31</v>
      </c>
      <c r="B871" s="970"/>
      <c r="C871" s="148" t="s">
        <v>3141</v>
      </c>
      <c r="D871" s="976"/>
      <c r="E871" s="976"/>
      <c r="F871" s="976"/>
      <c r="G871" s="978"/>
      <c r="H871" s="976"/>
      <c r="I871" s="978"/>
      <c r="J871" s="976"/>
      <c r="K871" s="976"/>
      <c r="L871" s="976"/>
      <c r="M871" s="986"/>
      <c r="N871" s="976"/>
    </row>
    <row r="872" spans="1:14">
      <c r="A872" s="123">
        <v>31</v>
      </c>
      <c r="B872" s="97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70"/>
      <c r="C873" s="388" t="s">
        <v>3140</v>
      </c>
      <c r="D873" s="975" t="s">
        <v>306</v>
      </c>
      <c r="E873" s="975" t="s">
        <v>322</v>
      </c>
      <c r="F873" s="975" t="s">
        <v>307</v>
      </c>
      <c r="G873" s="977" t="s">
        <v>3147</v>
      </c>
      <c r="H873" s="975" t="s">
        <v>3148</v>
      </c>
      <c r="I873" s="977" t="s">
        <v>332</v>
      </c>
      <c r="J873" s="975" t="s">
        <v>1534</v>
      </c>
      <c r="K873" s="975" t="s">
        <v>1157</v>
      </c>
      <c r="L873" s="975"/>
      <c r="M873" s="985" t="s">
        <v>3149</v>
      </c>
      <c r="N873" s="975" t="s">
        <v>425</v>
      </c>
    </row>
    <row r="874" spans="1:14">
      <c r="A874" s="123">
        <v>31</v>
      </c>
      <c r="B874" s="971"/>
      <c r="C874" s="388" t="s">
        <v>3146</v>
      </c>
      <c r="D874" s="976"/>
      <c r="E874" s="976"/>
      <c r="F874" s="976"/>
      <c r="G874" s="978"/>
      <c r="H874" s="976"/>
      <c r="I874" s="978"/>
      <c r="J874" s="976"/>
      <c r="K874" s="976"/>
      <c r="L874" s="976"/>
      <c r="M874" s="986"/>
      <c r="N874" s="976"/>
    </row>
    <row r="875" spans="1:14">
      <c r="A875" s="123">
        <v>31</v>
      </c>
      <c r="B875" s="96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70"/>
      <c r="C876" s="975" t="s">
        <v>3128</v>
      </c>
      <c r="D876" s="975" t="s">
        <v>311</v>
      </c>
      <c r="E876" s="975" t="s">
        <v>675</v>
      </c>
      <c r="F876" s="977" t="s">
        <v>660</v>
      </c>
      <c r="G876" s="977" t="s">
        <v>661</v>
      </c>
      <c r="H876" s="977" t="s">
        <v>662</v>
      </c>
      <c r="I876" s="149" t="s">
        <v>3134</v>
      </c>
      <c r="J876" s="977"/>
      <c r="K876" s="977" t="s">
        <v>698</v>
      </c>
      <c r="L876" s="975" t="s">
        <v>309</v>
      </c>
      <c r="M876" s="985" t="s">
        <v>3139</v>
      </c>
      <c r="N876" s="975" t="s">
        <v>3152</v>
      </c>
    </row>
    <row r="877" spans="1:14">
      <c r="A877" s="123">
        <v>31</v>
      </c>
      <c r="B877" s="970"/>
      <c r="C877" s="976"/>
      <c r="D877" s="976"/>
      <c r="E877" s="976"/>
      <c r="F877" s="978"/>
      <c r="G877" s="978"/>
      <c r="H877" s="978"/>
      <c r="I877" s="149" t="s">
        <v>3135</v>
      </c>
      <c r="J877" s="978"/>
      <c r="K877" s="978"/>
      <c r="L877" s="976"/>
      <c r="M877" s="986"/>
      <c r="N877" s="976"/>
    </row>
    <row r="878" spans="1:14" ht="16.5" customHeight="1">
      <c r="A878" s="123">
        <v>31</v>
      </c>
      <c r="B878" s="970"/>
      <c r="C878" s="148" t="s">
        <v>3153</v>
      </c>
      <c r="D878" s="975" t="s">
        <v>311</v>
      </c>
      <c r="E878" s="975" t="s">
        <v>320</v>
      </c>
      <c r="F878" s="977" t="s">
        <v>3068</v>
      </c>
      <c r="G878" s="977" t="s">
        <v>1919</v>
      </c>
      <c r="H878" s="977" t="s">
        <v>3069</v>
      </c>
      <c r="I878" s="977" t="s">
        <v>3154</v>
      </c>
      <c r="J878" s="977"/>
      <c r="K878" s="977" t="s">
        <v>3155</v>
      </c>
      <c r="L878" s="975" t="s">
        <v>309</v>
      </c>
      <c r="M878" s="985" t="s">
        <v>3156</v>
      </c>
      <c r="N878" s="975" t="s">
        <v>3151</v>
      </c>
    </row>
    <row r="879" spans="1:14">
      <c r="A879" s="123">
        <v>31</v>
      </c>
      <c r="B879" s="970"/>
      <c r="C879" s="148" t="s">
        <v>3111</v>
      </c>
      <c r="D879" s="976"/>
      <c r="E879" s="976"/>
      <c r="F879" s="978"/>
      <c r="G879" s="978"/>
      <c r="H879" s="978"/>
      <c r="I879" s="978"/>
      <c r="J879" s="978"/>
      <c r="K879" s="978"/>
      <c r="L879" s="976"/>
      <c r="M879" s="986"/>
      <c r="N879" s="976"/>
    </row>
    <row r="880" spans="1:14">
      <c r="A880" s="123">
        <v>31</v>
      </c>
      <c r="B880" s="97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7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7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70"/>
      <c r="C883" s="111" t="s">
        <v>3166</v>
      </c>
      <c r="D883" s="975" t="s">
        <v>311</v>
      </c>
      <c r="E883" s="975" t="s">
        <v>320</v>
      </c>
      <c r="F883" s="977" t="s">
        <v>337</v>
      </c>
      <c r="G883" s="977" t="s">
        <v>3168</v>
      </c>
      <c r="H883" s="977" t="s">
        <v>3169</v>
      </c>
      <c r="I883" s="977" t="s">
        <v>3170</v>
      </c>
      <c r="J883" s="977" t="s">
        <v>3171</v>
      </c>
      <c r="K883" s="977" t="s">
        <v>3172</v>
      </c>
      <c r="L883" s="975" t="s">
        <v>309</v>
      </c>
      <c r="M883" s="985" t="s">
        <v>3173</v>
      </c>
      <c r="N883" s="975" t="s">
        <v>3136</v>
      </c>
    </row>
    <row r="884" spans="1:14">
      <c r="A884" s="123">
        <v>31</v>
      </c>
      <c r="B884" s="971"/>
      <c r="C884" s="111" t="s">
        <v>3167</v>
      </c>
      <c r="D884" s="976"/>
      <c r="E884" s="976"/>
      <c r="F884" s="978"/>
      <c r="G884" s="978"/>
      <c r="H884" s="978"/>
      <c r="I884" s="978"/>
      <c r="J884" s="978"/>
      <c r="K884" s="978"/>
      <c r="L884" s="976"/>
      <c r="M884" s="986"/>
      <c r="N884" s="976"/>
    </row>
    <row r="885" spans="1:14" ht="27">
      <c r="A885" s="123">
        <v>32</v>
      </c>
      <c r="B885" s="98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8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8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8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8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8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8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8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8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8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8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8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8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8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7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8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8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8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7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8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8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8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8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8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8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8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7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8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8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8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8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8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7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8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8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8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8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8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8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8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8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8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5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5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5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5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5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5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5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5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5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5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5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5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5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5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5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5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5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5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5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5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5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5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5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5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5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5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5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5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5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5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5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5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5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5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5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5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5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5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5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5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5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5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5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5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5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5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5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5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5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5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5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5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5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5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5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5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5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5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5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5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5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5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5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5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5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5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5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5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5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5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5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5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5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5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5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5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5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5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5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5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5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5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5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5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5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5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5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5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5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5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5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5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5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5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5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5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5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5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5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5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5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5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5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5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5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5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5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5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5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5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5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5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5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5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5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5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5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5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5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5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5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5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5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5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5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5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5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5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5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5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5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5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5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5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5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5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5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5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5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5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5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5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5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5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5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5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5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5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5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5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5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5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5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5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5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5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5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5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5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5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5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5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5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5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5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5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5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5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5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5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5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5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5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5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5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5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5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5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5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5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5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5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5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5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5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5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5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5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5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5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5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5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5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5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5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5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5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5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5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5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5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5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5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5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5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5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5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5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5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5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5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5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5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5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5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5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5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5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5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5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5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5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5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5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5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5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5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5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5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5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5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5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5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5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5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5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5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5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5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5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5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5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5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5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5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5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5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5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5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5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5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5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5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5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5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5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5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5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5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5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5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5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5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5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5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5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5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5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5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5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5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5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5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5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5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5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56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5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5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5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5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56"/>
      <c r="C1208" s="957" t="s">
        <v>5007</v>
      </c>
      <c r="D1208" s="958" t="s">
        <v>311</v>
      </c>
      <c r="E1208" s="958" t="s">
        <v>675</v>
      </c>
      <c r="F1208" s="957" t="s">
        <v>337</v>
      </c>
      <c r="G1208" s="957" t="s">
        <v>353</v>
      </c>
      <c r="H1208" s="957" t="s">
        <v>5008</v>
      </c>
      <c r="I1208" s="476" t="s">
        <v>5009</v>
      </c>
      <c r="J1208" s="957" t="s">
        <v>638</v>
      </c>
      <c r="K1208" s="957" t="s">
        <v>713</v>
      </c>
      <c r="L1208" s="958" t="s">
        <v>309</v>
      </c>
      <c r="M1208" s="974">
        <v>250000</v>
      </c>
      <c r="N1208" s="958" t="s">
        <v>4990</v>
      </c>
    </row>
    <row r="1209" spans="1:14">
      <c r="A1209" s="123">
        <v>2</v>
      </c>
      <c r="B1209" s="956"/>
      <c r="C1209" s="957"/>
      <c r="D1209" s="958"/>
      <c r="E1209" s="958"/>
      <c r="F1209" s="957"/>
      <c r="G1209" s="957"/>
      <c r="H1209" s="957"/>
      <c r="I1209" s="476" t="s">
        <v>5010</v>
      </c>
      <c r="J1209" s="957"/>
      <c r="K1209" s="957"/>
      <c r="L1209" s="958"/>
      <c r="M1209" s="974"/>
      <c r="N1209" s="958"/>
    </row>
    <row r="1210" spans="1:14">
      <c r="A1210" s="123">
        <v>2</v>
      </c>
      <c r="B1210" s="95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5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5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5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5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5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5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5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56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5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5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56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56"/>
      <c r="C1222" s="957" t="s">
        <v>5033</v>
      </c>
      <c r="D1222" s="958" t="s">
        <v>311</v>
      </c>
      <c r="E1222" s="958" t="s">
        <v>675</v>
      </c>
      <c r="F1222" s="149" t="s">
        <v>5034</v>
      </c>
      <c r="G1222" s="149" t="s">
        <v>5036</v>
      </c>
      <c r="H1222" s="957" t="s">
        <v>347</v>
      </c>
      <c r="I1222" s="149" t="s">
        <v>5038</v>
      </c>
      <c r="J1222" s="957"/>
      <c r="K1222" s="957" t="s">
        <v>705</v>
      </c>
      <c r="L1222" s="958" t="s">
        <v>309</v>
      </c>
      <c r="M1222" s="974">
        <v>500000</v>
      </c>
      <c r="N1222" s="958" t="s">
        <v>5032</v>
      </c>
    </row>
    <row r="1223" spans="1:14">
      <c r="A1223" s="123">
        <v>3</v>
      </c>
      <c r="B1223" s="956"/>
      <c r="C1223" s="957"/>
      <c r="D1223" s="958"/>
      <c r="E1223" s="958"/>
      <c r="F1223" s="149" t="s">
        <v>5035</v>
      </c>
      <c r="G1223" s="149" t="s">
        <v>5037</v>
      </c>
      <c r="H1223" s="957"/>
      <c r="I1223" s="149" t="s">
        <v>5039</v>
      </c>
      <c r="J1223" s="957"/>
      <c r="K1223" s="957"/>
      <c r="L1223" s="958"/>
      <c r="M1223" s="974"/>
      <c r="N1223" s="958"/>
    </row>
    <row r="1224" spans="1:14">
      <c r="A1224" s="123">
        <v>3</v>
      </c>
      <c r="B1224" s="95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5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5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5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5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5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5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5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5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5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5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5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5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5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5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5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5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5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5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5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5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5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5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5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5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5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56"/>
      <c r="C1250" s="957" t="s">
        <v>5098</v>
      </c>
      <c r="D1250" s="958" t="s">
        <v>311</v>
      </c>
      <c r="E1250" s="958" t="s">
        <v>675</v>
      </c>
      <c r="F1250" s="958" t="s">
        <v>4986</v>
      </c>
      <c r="G1250" s="958">
        <v>1017</v>
      </c>
      <c r="H1250" s="958" t="s">
        <v>347</v>
      </c>
      <c r="I1250" s="149" t="s">
        <v>5099</v>
      </c>
      <c r="J1250" s="957"/>
      <c r="K1250" s="957" t="s">
        <v>692</v>
      </c>
      <c r="L1250" s="958" t="s">
        <v>309</v>
      </c>
      <c r="M1250" s="974">
        <v>500000</v>
      </c>
      <c r="N1250" s="958" t="s">
        <v>5032</v>
      </c>
    </row>
    <row r="1251" spans="1:14">
      <c r="A1251" s="123">
        <v>5</v>
      </c>
      <c r="B1251" s="956"/>
      <c r="C1251" s="957"/>
      <c r="D1251" s="958"/>
      <c r="E1251" s="958"/>
      <c r="F1251" s="958"/>
      <c r="G1251" s="958"/>
      <c r="H1251" s="958"/>
      <c r="I1251" s="149" t="s">
        <v>5100</v>
      </c>
      <c r="J1251" s="957"/>
      <c r="K1251" s="957"/>
      <c r="L1251" s="958"/>
      <c r="M1251" s="974"/>
      <c r="N1251" s="958"/>
    </row>
    <row r="1252" spans="1:14">
      <c r="A1252" s="123">
        <v>5</v>
      </c>
      <c r="B1252" s="95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5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56"/>
      <c r="C1254" s="957" t="s">
        <v>5103</v>
      </c>
      <c r="D1254" s="958" t="s">
        <v>311</v>
      </c>
      <c r="E1254" s="958" t="s">
        <v>675</v>
      </c>
      <c r="F1254" s="957" t="s">
        <v>5070</v>
      </c>
      <c r="G1254" s="957">
        <v>3006</v>
      </c>
      <c r="H1254" s="957" t="s">
        <v>347</v>
      </c>
      <c r="I1254" s="476" t="s">
        <v>5104</v>
      </c>
      <c r="J1254" s="957"/>
      <c r="K1254" s="957" t="s">
        <v>705</v>
      </c>
      <c r="L1254" s="958" t="s">
        <v>309</v>
      </c>
      <c r="M1254" s="974">
        <v>500000</v>
      </c>
      <c r="N1254" s="958" t="s">
        <v>5032</v>
      </c>
    </row>
    <row r="1255" spans="1:14">
      <c r="A1255" s="123">
        <v>5</v>
      </c>
      <c r="B1255" s="956"/>
      <c r="C1255" s="957"/>
      <c r="D1255" s="958"/>
      <c r="E1255" s="958"/>
      <c r="F1255" s="957"/>
      <c r="G1255" s="957"/>
      <c r="H1255" s="957"/>
      <c r="I1255" s="476" t="s">
        <v>5105</v>
      </c>
      <c r="J1255" s="957"/>
      <c r="K1255" s="957"/>
      <c r="L1255" s="958"/>
      <c r="M1255" s="974"/>
      <c r="N1255" s="958"/>
    </row>
    <row r="1256" spans="1:14">
      <c r="A1256" s="123">
        <v>5</v>
      </c>
      <c r="B1256" s="956"/>
      <c r="C1256" s="957" t="s">
        <v>5103</v>
      </c>
      <c r="D1256" s="958" t="s">
        <v>311</v>
      </c>
      <c r="E1256" s="958" t="s">
        <v>675</v>
      </c>
      <c r="F1256" s="957" t="s">
        <v>5070</v>
      </c>
      <c r="G1256" s="957">
        <v>3006</v>
      </c>
      <c r="H1256" s="957" t="s">
        <v>347</v>
      </c>
      <c r="I1256" s="476" t="s">
        <v>5104</v>
      </c>
      <c r="J1256" s="957"/>
      <c r="K1256" s="957" t="s">
        <v>4936</v>
      </c>
      <c r="L1256" s="958" t="s">
        <v>309</v>
      </c>
      <c r="M1256" s="974">
        <v>600000</v>
      </c>
      <c r="N1256" s="958" t="s">
        <v>5032</v>
      </c>
    </row>
    <row r="1257" spans="1:14">
      <c r="A1257" s="123">
        <v>5</v>
      </c>
      <c r="B1257" s="956"/>
      <c r="C1257" s="957"/>
      <c r="D1257" s="958"/>
      <c r="E1257" s="958"/>
      <c r="F1257" s="957"/>
      <c r="G1257" s="957"/>
      <c r="H1257" s="957"/>
      <c r="I1257" s="476" t="s">
        <v>5105</v>
      </c>
      <c r="J1257" s="957"/>
      <c r="K1257" s="957"/>
      <c r="L1257" s="958"/>
      <c r="M1257" s="974"/>
      <c r="N1257" s="958"/>
    </row>
    <row r="1258" spans="1:14">
      <c r="A1258" s="123">
        <v>5</v>
      </c>
      <c r="B1258" s="95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5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5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5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5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5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5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5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5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5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56"/>
      <c r="C1268" s="957" t="s">
        <v>5122</v>
      </c>
      <c r="D1268" s="958" t="s">
        <v>311</v>
      </c>
      <c r="E1268" s="958" t="s">
        <v>675</v>
      </c>
      <c r="F1268" s="149" t="s">
        <v>5123</v>
      </c>
      <c r="G1268" s="475" t="s">
        <v>5125</v>
      </c>
      <c r="H1268" s="389" t="s">
        <v>347</v>
      </c>
      <c r="I1268" s="957" t="s">
        <v>5128</v>
      </c>
      <c r="J1268" s="957" t="s">
        <v>638</v>
      </c>
      <c r="K1268" s="957" t="s">
        <v>692</v>
      </c>
      <c r="L1268" s="958" t="s">
        <v>309</v>
      </c>
      <c r="M1268" s="974">
        <v>500000</v>
      </c>
      <c r="N1268" s="958" t="s">
        <v>1772</v>
      </c>
    </row>
    <row r="1269" spans="1:14">
      <c r="A1269" s="123">
        <v>6</v>
      </c>
      <c r="B1269" s="956"/>
      <c r="C1269" s="957"/>
      <c r="D1269" s="958"/>
      <c r="E1269" s="958"/>
      <c r="F1269" s="149" t="s">
        <v>5124</v>
      </c>
      <c r="G1269" s="475" t="s">
        <v>5126</v>
      </c>
      <c r="H1269" s="389" t="s">
        <v>5127</v>
      </c>
      <c r="I1269" s="957"/>
      <c r="J1269" s="957"/>
      <c r="K1269" s="957"/>
      <c r="L1269" s="958"/>
      <c r="M1269" s="974"/>
      <c r="N1269" s="958"/>
    </row>
    <row r="1270" spans="1:14" ht="24">
      <c r="A1270" s="123">
        <v>6</v>
      </c>
      <c r="B1270" s="956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56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5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5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5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5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5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5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5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5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5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56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5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56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56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5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5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5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5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56"/>
      <c r="C1289" s="959" t="s">
        <v>5158</v>
      </c>
      <c r="D1289" s="960" t="s">
        <v>311</v>
      </c>
      <c r="E1289" s="960" t="s">
        <v>675</v>
      </c>
      <c r="F1289" s="506" t="s">
        <v>5123</v>
      </c>
      <c r="G1289" s="507" t="s">
        <v>5125</v>
      </c>
      <c r="H1289" s="507" t="s">
        <v>347</v>
      </c>
      <c r="I1289" s="959" t="s">
        <v>5128</v>
      </c>
      <c r="J1289" s="959"/>
      <c r="K1289" s="959" t="s">
        <v>692</v>
      </c>
      <c r="L1289" s="960" t="s">
        <v>309</v>
      </c>
      <c r="M1289" s="1115">
        <v>500000</v>
      </c>
      <c r="N1289" s="958" t="s">
        <v>5032</v>
      </c>
    </row>
    <row r="1290" spans="1:14" ht="19.5">
      <c r="A1290" s="123">
        <v>8</v>
      </c>
      <c r="B1290" s="956"/>
      <c r="C1290" s="957"/>
      <c r="D1290" s="958"/>
      <c r="E1290" s="958"/>
      <c r="F1290" s="149" t="s">
        <v>5124</v>
      </c>
      <c r="G1290" s="475" t="s">
        <v>5126</v>
      </c>
      <c r="H1290" s="477" t="s">
        <v>5127</v>
      </c>
      <c r="I1290" s="957"/>
      <c r="J1290" s="957"/>
      <c r="K1290" s="957"/>
      <c r="L1290" s="958"/>
      <c r="M1290" s="974"/>
      <c r="N1290" s="958"/>
    </row>
    <row r="1291" spans="1:14">
      <c r="A1291" s="123">
        <v>8</v>
      </c>
      <c r="B1291" s="956"/>
      <c r="C1291" s="959" t="s">
        <v>5159</v>
      </c>
      <c r="D1291" s="960" t="s">
        <v>311</v>
      </c>
      <c r="E1291" s="960" t="s">
        <v>320</v>
      </c>
      <c r="F1291" s="1116" t="s">
        <v>709</v>
      </c>
      <c r="G1291" s="959" t="s">
        <v>3098</v>
      </c>
      <c r="H1291" s="959" t="s">
        <v>3099</v>
      </c>
      <c r="I1291" s="506" t="s">
        <v>5312</v>
      </c>
      <c r="J1291" s="959" t="s">
        <v>638</v>
      </c>
      <c r="K1291" s="959" t="s">
        <v>713</v>
      </c>
      <c r="L1291" s="960" t="s">
        <v>309</v>
      </c>
      <c r="M1291" s="1115">
        <v>250000</v>
      </c>
      <c r="N1291" s="958" t="s">
        <v>5032</v>
      </c>
    </row>
    <row r="1292" spans="1:14">
      <c r="A1292" s="123">
        <v>8</v>
      </c>
      <c r="B1292" s="956"/>
      <c r="C1292" s="957"/>
      <c r="D1292" s="958"/>
      <c r="E1292" s="958"/>
      <c r="F1292" s="1117"/>
      <c r="G1292" s="957"/>
      <c r="H1292" s="957"/>
      <c r="I1292" s="149" t="s">
        <v>5160</v>
      </c>
      <c r="J1292" s="957"/>
      <c r="K1292" s="957"/>
      <c r="L1292" s="958"/>
      <c r="M1292" s="974"/>
      <c r="N1292" s="958"/>
    </row>
    <row r="1293" spans="1:14">
      <c r="A1293" s="123">
        <v>8</v>
      </c>
      <c r="B1293" s="956"/>
      <c r="C1293" s="959" t="s">
        <v>5161</v>
      </c>
      <c r="D1293" s="960" t="s">
        <v>311</v>
      </c>
      <c r="E1293" s="960" t="s">
        <v>320</v>
      </c>
      <c r="F1293" s="959" t="s">
        <v>337</v>
      </c>
      <c r="G1293" s="959" t="s">
        <v>3168</v>
      </c>
      <c r="H1293" s="959" t="s">
        <v>3057</v>
      </c>
      <c r="I1293" s="506" t="s">
        <v>5313</v>
      </c>
      <c r="J1293" s="959" t="s">
        <v>638</v>
      </c>
      <c r="K1293" s="959" t="s">
        <v>692</v>
      </c>
      <c r="L1293" s="960" t="s">
        <v>309</v>
      </c>
      <c r="M1293" s="1115">
        <v>500000</v>
      </c>
      <c r="N1293" s="958" t="s">
        <v>1206</v>
      </c>
    </row>
    <row r="1294" spans="1:14">
      <c r="A1294" s="123">
        <v>8</v>
      </c>
      <c r="B1294" s="956"/>
      <c r="C1294" s="957"/>
      <c r="D1294" s="958"/>
      <c r="E1294" s="958"/>
      <c r="F1294" s="957"/>
      <c r="G1294" s="957"/>
      <c r="H1294" s="957"/>
      <c r="I1294" s="149" t="s">
        <v>5162</v>
      </c>
      <c r="J1294" s="957"/>
      <c r="K1294" s="957"/>
      <c r="L1294" s="958"/>
      <c r="M1294" s="974"/>
      <c r="N1294" s="958"/>
    </row>
    <row r="1295" spans="1:14">
      <c r="A1295" s="123">
        <v>9</v>
      </c>
      <c r="B1295" s="95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5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56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56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56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56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56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56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5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56"/>
      <c r="C1304" s="959" t="s">
        <v>5175</v>
      </c>
      <c r="D1304" s="960" t="s">
        <v>311</v>
      </c>
      <c r="E1304" s="960" t="s">
        <v>320</v>
      </c>
      <c r="F1304" s="959" t="s">
        <v>337</v>
      </c>
      <c r="G1304" s="959" t="s">
        <v>3168</v>
      </c>
      <c r="H1304" s="959" t="s">
        <v>3057</v>
      </c>
      <c r="I1304" s="510" t="s">
        <v>5176</v>
      </c>
      <c r="J1304" s="959" t="s">
        <v>638</v>
      </c>
      <c r="K1304" s="959" t="s">
        <v>713</v>
      </c>
      <c r="L1304" s="960" t="s">
        <v>309</v>
      </c>
      <c r="M1304" s="1115">
        <v>250000</v>
      </c>
      <c r="N1304" s="958" t="s">
        <v>5032</v>
      </c>
    </row>
    <row r="1305" spans="1:14">
      <c r="A1305" s="123">
        <v>9</v>
      </c>
      <c r="B1305" s="956"/>
      <c r="C1305" s="957"/>
      <c r="D1305" s="958"/>
      <c r="E1305" s="958"/>
      <c r="F1305" s="957"/>
      <c r="G1305" s="957"/>
      <c r="H1305" s="957"/>
      <c r="I1305" s="476" t="s">
        <v>5177</v>
      </c>
      <c r="J1305" s="957"/>
      <c r="K1305" s="957"/>
      <c r="L1305" s="958"/>
      <c r="M1305" s="974"/>
      <c r="N1305" s="958"/>
    </row>
    <row r="1306" spans="1:14">
      <c r="A1306" s="123">
        <v>9</v>
      </c>
      <c r="B1306" s="956"/>
      <c r="C1306" s="959" t="s">
        <v>5175</v>
      </c>
      <c r="D1306" s="960" t="s">
        <v>311</v>
      </c>
      <c r="E1306" s="960" t="s">
        <v>320</v>
      </c>
      <c r="F1306" s="959" t="s">
        <v>5178</v>
      </c>
      <c r="G1306" s="506" t="s">
        <v>689</v>
      </c>
      <c r="H1306" s="959" t="s">
        <v>5180</v>
      </c>
      <c r="I1306" s="506" t="s">
        <v>5315</v>
      </c>
      <c r="J1306" s="959"/>
      <c r="K1306" s="959" t="s">
        <v>713</v>
      </c>
      <c r="L1306" s="960" t="s">
        <v>309</v>
      </c>
      <c r="M1306" s="1115">
        <v>250000</v>
      </c>
      <c r="N1306" s="958" t="s">
        <v>5032</v>
      </c>
    </row>
    <row r="1307" spans="1:14">
      <c r="A1307" s="123">
        <v>9</v>
      </c>
      <c r="B1307" s="956"/>
      <c r="C1307" s="957"/>
      <c r="D1307" s="958"/>
      <c r="E1307" s="958"/>
      <c r="F1307" s="957"/>
      <c r="G1307" s="149" t="s">
        <v>5179</v>
      </c>
      <c r="H1307" s="957"/>
      <c r="I1307" s="149" t="s">
        <v>5181</v>
      </c>
      <c r="J1307" s="957"/>
      <c r="K1307" s="957"/>
      <c r="L1307" s="958"/>
      <c r="M1307" s="974"/>
      <c r="N1307" s="958"/>
    </row>
    <row r="1308" spans="1:14">
      <c r="A1308" s="123">
        <v>9</v>
      </c>
      <c r="B1308" s="95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56"/>
      <c r="C1309" s="959" t="s">
        <v>5183</v>
      </c>
      <c r="D1309" s="960" t="s">
        <v>311</v>
      </c>
      <c r="E1309" s="960" t="s">
        <v>320</v>
      </c>
      <c r="F1309" s="959" t="s">
        <v>337</v>
      </c>
      <c r="G1309" s="506" t="s">
        <v>3401</v>
      </c>
      <c r="H1309" s="959" t="s">
        <v>5029</v>
      </c>
      <c r="I1309" s="959" t="s">
        <v>5316</v>
      </c>
      <c r="J1309" s="959"/>
      <c r="K1309" s="959" t="s">
        <v>692</v>
      </c>
      <c r="L1309" s="960" t="s">
        <v>309</v>
      </c>
      <c r="M1309" s="1115">
        <v>500000</v>
      </c>
      <c r="N1309" s="958" t="s">
        <v>5032</v>
      </c>
    </row>
    <row r="1310" spans="1:14">
      <c r="A1310" s="123">
        <v>9</v>
      </c>
      <c r="B1310" s="956"/>
      <c r="C1310" s="957"/>
      <c r="D1310" s="958"/>
      <c r="E1310" s="958"/>
      <c r="F1310" s="957"/>
      <c r="G1310" s="149" t="s">
        <v>5184</v>
      </c>
      <c r="H1310" s="957"/>
      <c r="I1310" s="957"/>
      <c r="J1310" s="957"/>
      <c r="K1310" s="957"/>
      <c r="L1310" s="958"/>
      <c r="M1310" s="974"/>
      <c r="N1310" s="958"/>
    </row>
    <row r="1311" spans="1:14" ht="24">
      <c r="A1311" s="123">
        <v>9</v>
      </c>
      <c r="B1311" s="95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56"/>
      <c r="C1312" s="959" t="s">
        <v>5187</v>
      </c>
      <c r="D1312" s="960" t="s">
        <v>311</v>
      </c>
      <c r="E1312" s="960" t="s">
        <v>675</v>
      </c>
      <c r="F1312" s="959" t="s">
        <v>5188</v>
      </c>
      <c r="G1312" s="507" t="s">
        <v>1919</v>
      </c>
      <c r="H1312" s="959" t="s">
        <v>347</v>
      </c>
      <c r="I1312" s="959" t="s">
        <v>5319</v>
      </c>
      <c r="J1312" s="959"/>
      <c r="K1312" s="959" t="s">
        <v>692</v>
      </c>
      <c r="L1312" s="960" t="s">
        <v>309</v>
      </c>
      <c r="M1312" s="1118">
        <v>500000</v>
      </c>
      <c r="N1312" s="958" t="s">
        <v>1925</v>
      </c>
    </row>
    <row r="1313" spans="1:14">
      <c r="A1313" s="123">
        <v>9</v>
      </c>
      <c r="B1313" s="956"/>
      <c r="C1313" s="957"/>
      <c r="D1313" s="958"/>
      <c r="E1313" s="958"/>
      <c r="F1313" s="957"/>
      <c r="G1313" s="475" t="s">
        <v>5189</v>
      </c>
      <c r="H1313" s="957"/>
      <c r="I1313" s="957"/>
      <c r="J1313" s="957"/>
      <c r="K1313" s="957"/>
      <c r="L1313" s="958"/>
      <c r="M1313" s="1119"/>
      <c r="N1313" s="958"/>
    </row>
    <row r="1314" spans="1:14">
      <c r="A1314" s="123">
        <v>10</v>
      </c>
      <c r="B1314" s="956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56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56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56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5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56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5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56"/>
      <c r="C1321" s="957" t="s">
        <v>5201</v>
      </c>
      <c r="D1321" s="958" t="s">
        <v>311</v>
      </c>
      <c r="E1321" s="958" t="s">
        <v>320</v>
      </c>
      <c r="F1321" s="957" t="s">
        <v>337</v>
      </c>
      <c r="G1321" s="957" t="s">
        <v>3168</v>
      </c>
      <c r="H1321" s="957" t="s">
        <v>3057</v>
      </c>
      <c r="I1321" s="476" t="s">
        <v>5176</v>
      </c>
      <c r="J1321" s="957" t="s">
        <v>638</v>
      </c>
      <c r="K1321" s="957" t="s">
        <v>705</v>
      </c>
      <c r="L1321" s="958" t="s">
        <v>309</v>
      </c>
      <c r="M1321" s="974">
        <v>500000</v>
      </c>
      <c r="N1321" s="958" t="s">
        <v>1206</v>
      </c>
    </row>
    <row r="1322" spans="1:14">
      <c r="A1322" s="123">
        <v>10</v>
      </c>
      <c r="B1322" s="956"/>
      <c r="C1322" s="957"/>
      <c r="D1322" s="958"/>
      <c r="E1322" s="958"/>
      <c r="F1322" s="957"/>
      <c r="G1322" s="957"/>
      <c r="H1322" s="957"/>
      <c r="I1322" s="476" t="s">
        <v>5177</v>
      </c>
      <c r="J1322" s="957"/>
      <c r="K1322" s="957"/>
      <c r="L1322" s="958"/>
      <c r="M1322" s="974"/>
      <c r="N1322" s="958"/>
    </row>
    <row r="1323" spans="1:14">
      <c r="A1323" s="123">
        <v>10</v>
      </c>
      <c r="B1323" s="95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56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5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56"/>
      <c r="C1326" s="957" t="s">
        <v>5202</v>
      </c>
      <c r="D1326" s="958" t="s">
        <v>311</v>
      </c>
      <c r="E1326" s="958" t="s">
        <v>320</v>
      </c>
      <c r="F1326" s="957" t="s">
        <v>337</v>
      </c>
      <c r="G1326" s="957" t="s">
        <v>3168</v>
      </c>
      <c r="H1326" s="957" t="s">
        <v>3057</v>
      </c>
      <c r="I1326" s="476" t="s">
        <v>5176</v>
      </c>
      <c r="J1326" s="957"/>
      <c r="K1326" s="957" t="s">
        <v>705</v>
      </c>
      <c r="L1326" s="958" t="s">
        <v>309</v>
      </c>
      <c r="M1326" s="974">
        <v>500000</v>
      </c>
      <c r="N1326" s="958" t="s">
        <v>1206</v>
      </c>
    </row>
    <row r="1327" spans="1:14">
      <c r="A1327" s="123">
        <v>10</v>
      </c>
      <c r="B1327" s="956"/>
      <c r="C1327" s="957"/>
      <c r="D1327" s="958"/>
      <c r="E1327" s="958"/>
      <c r="F1327" s="957"/>
      <c r="G1327" s="957"/>
      <c r="H1327" s="957"/>
      <c r="I1327" s="476" t="s">
        <v>5177</v>
      </c>
      <c r="J1327" s="957"/>
      <c r="K1327" s="957"/>
      <c r="L1327" s="958"/>
      <c r="M1327" s="974"/>
      <c r="N1327" s="958"/>
    </row>
    <row r="1328" spans="1:14" ht="25.5">
      <c r="A1328" s="123">
        <v>10</v>
      </c>
      <c r="B1328" s="95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56"/>
      <c r="C1329" s="959" t="s">
        <v>5209</v>
      </c>
      <c r="D1329" s="960" t="s">
        <v>311</v>
      </c>
      <c r="E1329" s="960" t="s">
        <v>675</v>
      </c>
      <c r="F1329" s="506" t="s">
        <v>5210</v>
      </c>
      <c r="G1329" s="959" t="s">
        <v>5212</v>
      </c>
      <c r="H1329" s="959" t="s">
        <v>662</v>
      </c>
      <c r="I1329" s="959" t="s">
        <v>5321</v>
      </c>
      <c r="J1329" s="959" t="s">
        <v>638</v>
      </c>
      <c r="K1329" s="959" t="s">
        <v>713</v>
      </c>
      <c r="L1329" s="960" t="s">
        <v>309</v>
      </c>
      <c r="M1329" s="1115">
        <v>250000</v>
      </c>
      <c r="N1329" s="958" t="s">
        <v>5032</v>
      </c>
    </row>
    <row r="1330" spans="1:14">
      <c r="A1330" s="123">
        <v>10</v>
      </c>
      <c r="B1330" s="956"/>
      <c r="C1330" s="957"/>
      <c r="D1330" s="958"/>
      <c r="E1330" s="958"/>
      <c r="F1330" s="149" t="s">
        <v>5211</v>
      </c>
      <c r="G1330" s="957"/>
      <c r="H1330" s="957"/>
      <c r="I1330" s="957"/>
      <c r="J1330" s="957"/>
      <c r="K1330" s="957"/>
      <c r="L1330" s="958"/>
      <c r="M1330" s="974"/>
      <c r="N1330" s="958"/>
    </row>
    <row r="1331" spans="1:14">
      <c r="A1331" s="123">
        <v>10</v>
      </c>
      <c r="B1331" s="956"/>
      <c r="C1331" s="959" t="s">
        <v>5213</v>
      </c>
      <c r="D1331" s="960" t="s">
        <v>311</v>
      </c>
      <c r="E1331" s="960" t="s">
        <v>675</v>
      </c>
      <c r="F1331" s="959" t="s">
        <v>5214</v>
      </c>
      <c r="G1331" s="507" t="s">
        <v>5126</v>
      </c>
      <c r="H1331" s="1121" t="s">
        <v>347</v>
      </c>
      <c r="I1331" s="506" t="s">
        <v>5322</v>
      </c>
      <c r="J1331" s="959"/>
      <c r="K1331" s="959" t="s">
        <v>692</v>
      </c>
      <c r="L1331" s="960" t="s">
        <v>309</v>
      </c>
      <c r="M1331" s="1115">
        <v>500000</v>
      </c>
      <c r="N1331" s="958" t="s">
        <v>5032</v>
      </c>
    </row>
    <row r="1332" spans="1:14">
      <c r="A1332" s="123">
        <v>10</v>
      </c>
      <c r="B1332" s="956"/>
      <c r="C1332" s="957"/>
      <c r="D1332" s="958"/>
      <c r="E1332" s="958"/>
      <c r="F1332" s="957"/>
      <c r="G1332" s="475" t="s">
        <v>5215</v>
      </c>
      <c r="H1332" s="1122"/>
      <c r="I1332" s="149" t="s">
        <v>5217</v>
      </c>
      <c r="J1332" s="957"/>
      <c r="K1332" s="957"/>
      <c r="L1332" s="958"/>
      <c r="M1332" s="974"/>
      <c r="N1332" s="958"/>
    </row>
    <row r="1333" spans="1:14">
      <c r="A1333" s="123">
        <v>11</v>
      </c>
      <c r="B1333" s="956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56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56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56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56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56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56" t="s">
        <v>5163</v>
      </c>
      <c r="C1339" s="1121" t="s">
        <v>5218</v>
      </c>
      <c r="D1339" s="1123" t="s">
        <v>311</v>
      </c>
      <c r="E1339" s="1123" t="s">
        <v>675</v>
      </c>
      <c r="F1339" s="1121" t="s">
        <v>5214</v>
      </c>
      <c r="G1339" s="510" t="s">
        <v>5126</v>
      </c>
      <c r="H1339" s="1121" t="s">
        <v>347</v>
      </c>
      <c r="I1339" s="510" t="s">
        <v>5216</v>
      </c>
      <c r="J1339" s="1121"/>
      <c r="K1339" s="1121" t="s">
        <v>692</v>
      </c>
      <c r="L1339" s="1123" t="s">
        <v>309</v>
      </c>
      <c r="M1339" s="1128">
        <v>500000</v>
      </c>
      <c r="N1339" s="1122" t="s">
        <v>5225</v>
      </c>
    </row>
    <row r="1340" spans="1:14">
      <c r="A1340" s="123">
        <v>11</v>
      </c>
      <c r="B1340" s="956"/>
      <c r="C1340" s="1122"/>
      <c r="D1340" s="1124"/>
      <c r="E1340" s="1124"/>
      <c r="F1340" s="1122"/>
      <c r="G1340" s="476" t="s">
        <v>5215</v>
      </c>
      <c r="H1340" s="1122"/>
      <c r="I1340" s="476" t="s">
        <v>5217</v>
      </c>
      <c r="J1340" s="1122"/>
      <c r="K1340" s="1122"/>
      <c r="L1340" s="1124"/>
      <c r="M1340" s="1129"/>
      <c r="N1340" s="1122"/>
    </row>
    <row r="1341" spans="1:14">
      <c r="A1341" s="123">
        <v>11</v>
      </c>
      <c r="B1341" s="956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56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56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56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56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56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56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56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56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56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56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56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56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56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56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56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56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56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56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56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56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56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56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56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56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56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56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56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13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24" t="s">
        <v>5443</v>
      </c>
    </row>
    <row r="1370" spans="1:14">
      <c r="A1370" s="123">
        <v>14</v>
      </c>
      <c r="B1370" s="113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24"/>
    </row>
    <row r="1371" spans="1:14">
      <c r="A1371" s="123">
        <v>14</v>
      </c>
      <c r="B1371" s="113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13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3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3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13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13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2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20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2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2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20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20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5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5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5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5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5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5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5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5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5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5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5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5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5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5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5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5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5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5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5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5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5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5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56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56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56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56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56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6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7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7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7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7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56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56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56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56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56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56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56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56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56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56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7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7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7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7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7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7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7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7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6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7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7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7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7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6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70"/>
      <c r="C1439" s="1125" t="s">
        <v>5860</v>
      </c>
      <c r="D1439" s="1126" t="s">
        <v>311</v>
      </c>
      <c r="E1439" s="1126" t="s">
        <v>320</v>
      </c>
      <c r="F1439" s="973" t="s">
        <v>5188</v>
      </c>
      <c r="G1439" s="658" t="s">
        <v>1919</v>
      </c>
      <c r="H1439" s="973" t="s">
        <v>347</v>
      </c>
      <c r="I1439" s="973" t="s">
        <v>5870</v>
      </c>
      <c r="J1439" s="973"/>
      <c r="K1439" s="973" t="s">
        <v>692</v>
      </c>
      <c r="L1439" s="1126" t="s">
        <v>309</v>
      </c>
      <c r="M1439" s="1127">
        <v>500000</v>
      </c>
      <c r="N1439" s="961"/>
    </row>
    <row r="1440" spans="1:14">
      <c r="A1440" s="689">
        <v>20</v>
      </c>
      <c r="B1440" s="970"/>
      <c r="C1440" s="1125"/>
      <c r="D1440" s="1126"/>
      <c r="E1440" s="1126"/>
      <c r="F1440" s="973"/>
      <c r="G1440" s="658" t="s">
        <v>5189</v>
      </c>
      <c r="H1440" s="973"/>
      <c r="I1440" s="973"/>
      <c r="J1440" s="973"/>
      <c r="K1440" s="973"/>
      <c r="L1440" s="1126"/>
      <c r="M1440" s="1127"/>
      <c r="N1440" s="961"/>
    </row>
    <row r="1441" spans="1:14" ht="24">
      <c r="A1441" s="689">
        <v>20</v>
      </c>
      <c r="B1441" s="97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4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4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4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4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4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4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4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4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4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4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4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5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62" t="s">
        <v>5942</v>
      </c>
    </row>
    <row r="1454" spans="1:14">
      <c r="A1454" s="691">
        <v>22</v>
      </c>
      <c r="B1454" s="95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63"/>
    </row>
    <row r="1455" spans="1:14">
      <c r="A1455" s="691">
        <v>22</v>
      </c>
      <c r="B1455" s="95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5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5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5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95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65" t="s">
        <v>3274</v>
      </c>
      <c r="K1459" s="965" t="s">
        <v>3454</v>
      </c>
      <c r="L1459" s="646" t="s">
        <v>3265</v>
      </c>
      <c r="M1459" s="936">
        <v>250000</v>
      </c>
      <c r="N1459" s="688" t="s">
        <v>5964</v>
      </c>
    </row>
    <row r="1460" spans="1:14">
      <c r="A1460" s="691">
        <v>22</v>
      </c>
      <c r="B1460" s="95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66"/>
      <c r="K1460" s="966"/>
      <c r="L1460" s="646" t="s">
        <v>3265</v>
      </c>
      <c r="M1460" s="937"/>
      <c r="N1460" s="688" t="s">
        <v>5965</v>
      </c>
    </row>
    <row r="1461" spans="1:14">
      <c r="A1461" s="691">
        <v>22</v>
      </c>
      <c r="B1461" s="95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95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95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95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7" t="s">
        <v>5920</v>
      </c>
      <c r="L1464" s="646" t="s">
        <v>15</v>
      </c>
      <c r="M1464" s="936">
        <v>500000</v>
      </c>
      <c r="N1464" s="688" t="s">
        <v>5969</v>
      </c>
    </row>
    <row r="1465" spans="1:14">
      <c r="A1465" s="691">
        <v>22</v>
      </c>
      <c r="B1465" s="96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68"/>
      <c r="L1465" s="646" t="s">
        <v>15</v>
      </c>
      <c r="M1465" s="937"/>
      <c r="N1465" s="688" t="s">
        <v>5970</v>
      </c>
    </row>
    <row r="1466" spans="1:14">
      <c r="A1466" s="689">
        <v>23</v>
      </c>
      <c r="B1466" s="94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4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4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4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4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4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4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4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4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7" t="s">
        <v>90</v>
      </c>
      <c r="K1474" s="947" t="s">
        <v>6007</v>
      </c>
      <c r="L1474" s="136" t="s">
        <v>15</v>
      </c>
      <c r="M1474" s="948">
        <v>250000</v>
      </c>
      <c r="N1474" s="646"/>
    </row>
    <row r="1475" spans="1:14" ht="27">
      <c r="A1475" s="689">
        <v>23</v>
      </c>
      <c r="B1475" s="94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7"/>
      <c r="K1475" s="947"/>
      <c r="L1475" s="136" t="s">
        <v>15</v>
      </c>
      <c r="M1475" s="948"/>
      <c r="N1475" s="646"/>
    </row>
    <row r="1476" spans="1:14">
      <c r="A1476" s="689">
        <v>23</v>
      </c>
      <c r="B1476" s="94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4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4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4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4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4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4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4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4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4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4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4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4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4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4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4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4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4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4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4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4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4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4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4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4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4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4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4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4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4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4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4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4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941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942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942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942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4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4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94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94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94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94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942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942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942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942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942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942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942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942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41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42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42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942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942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42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4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4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4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4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4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4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4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4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40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40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40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40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40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40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4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4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4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4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4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4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4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51" t="s">
        <v>6410</v>
      </c>
      <c r="L1553" s="632" t="s">
        <v>6349</v>
      </c>
      <c r="M1553" s="936">
        <v>250000</v>
      </c>
      <c r="N1553" s="688" t="s">
        <v>6437</v>
      </c>
    </row>
    <row r="1554" spans="1:14">
      <c r="A1554" s="691">
        <v>27</v>
      </c>
      <c r="B1554" s="94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52"/>
      <c r="L1554" s="632" t="s">
        <v>15</v>
      </c>
      <c r="M1554" s="937"/>
      <c r="N1554" s="688" t="s">
        <v>6438</v>
      </c>
    </row>
    <row r="1555" spans="1:14">
      <c r="A1555" s="691">
        <v>27</v>
      </c>
      <c r="B1555" s="94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4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41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42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42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942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94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94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94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38" t="s">
        <v>686</v>
      </c>
      <c r="L1563" s="125" t="s">
        <v>15</v>
      </c>
      <c r="M1563" s="936">
        <v>250000</v>
      </c>
      <c r="N1563" s="688" t="s">
        <v>393</v>
      </c>
    </row>
    <row r="1564" spans="1:14">
      <c r="A1564" s="689">
        <v>28</v>
      </c>
      <c r="B1564" s="94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49"/>
      <c r="L1564" s="125" t="s">
        <v>15</v>
      </c>
      <c r="M1564" s="950"/>
      <c r="N1564" s="688" t="s">
        <v>128</v>
      </c>
    </row>
    <row r="1565" spans="1:14" ht="27">
      <c r="A1565" s="689">
        <v>28</v>
      </c>
      <c r="B1565" s="94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39"/>
      <c r="L1565" s="125" t="s">
        <v>15</v>
      </c>
      <c r="M1565" s="937"/>
      <c r="N1565" s="688" t="s">
        <v>393</v>
      </c>
    </row>
    <row r="1566" spans="1:14">
      <c r="A1566" s="689">
        <v>28</v>
      </c>
      <c r="B1566" s="94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94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94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94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95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38" t="s">
        <v>1113</v>
      </c>
      <c r="L1571" s="125" t="s">
        <v>15</v>
      </c>
      <c r="M1571" s="936">
        <v>750000</v>
      </c>
      <c r="N1571" s="932" t="s">
        <v>6608</v>
      </c>
    </row>
    <row r="1572" spans="1:14">
      <c r="A1572" s="689">
        <v>29</v>
      </c>
      <c r="B1572" s="95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39"/>
      <c r="L1572" s="125" t="s">
        <v>15</v>
      </c>
      <c r="M1572" s="937"/>
      <c r="N1572" s="933"/>
    </row>
    <row r="1573" spans="1:14" ht="27">
      <c r="A1573" s="689">
        <v>29</v>
      </c>
      <c r="B1573" s="95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95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95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95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34" t="s">
        <v>41</v>
      </c>
      <c r="L1576" s="136" t="s">
        <v>15</v>
      </c>
      <c r="M1576" s="936">
        <v>250000</v>
      </c>
      <c r="N1576" s="646" t="s">
        <v>6615</v>
      </c>
    </row>
    <row r="1577" spans="1:14">
      <c r="A1577" s="689">
        <v>29</v>
      </c>
      <c r="B1577" s="95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35"/>
      <c r="L1577" s="136" t="s">
        <v>15</v>
      </c>
      <c r="M1577" s="937"/>
      <c r="N1577" s="646" t="s">
        <v>6616</v>
      </c>
    </row>
    <row r="1578" spans="1:14">
      <c r="A1578" s="689">
        <v>29</v>
      </c>
      <c r="B1578" s="95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95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95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95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38" t="s">
        <v>686</v>
      </c>
      <c r="L1581" s="125" t="s">
        <v>15</v>
      </c>
      <c r="M1581" s="936">
        <v>250000</v>
      </c>
      <c r="N1581" s="646" t="s">
        <v>6737</v>
      </c>
    </row>
    <row r="1582" spans="1:14">
      <c r="A1582" s="689">
        <v>29</v>
      </c>
      <c r="B1582" s="95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39"/>
      <c r="L1582" s="125" t="s">
        <v>15</v>
      </c>
      <c r="M1582" s="937"/>
      <c r="N1582" s="646" t="s">
        <v>6620</v>
      </c>
    </row>
    <row r="1583" spans="1:14">
      <c r="A1583" s="689">
        <v>29</v>
      </c>
      <c r="B1583" s="95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38" t="s">
        <v>686</v>
      </c>
      <c r="L1583" s="125" t="s">
        <v>15</v>
      </c>
      <c r="M1583" s="936">
        <v>250000</v>
      </c>
      <c r="N1583" s="646" t="s">
        <v>6737</v>
      </c>
    </row>
    <row r="1584" spans="1:14">
      <c r="A1584" s="689">
        <v>29</v>
      </c>
      <c r="B1584" s="95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39"/>
      <c r="L1584" s="125" t="s">
        <v>15</v>
      </c>
      <c r="M1584" s="937"/>
      <c r="N1584" s="646" t="s">
        <v>6621</v>
      </c>
    </row>
    <row r="1585" spans="1:14">
      <c r="A1585" s="689">
        <v>30</v>
      </c>
      <c r="B1585" s="940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40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4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4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4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4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4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4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4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32" t="s">
        <v>6721</v>
      </c>
    </row>
    <row r="1595" spans="1:14">
      <c r="A1595" s="689">
        <v>31</v>
      </c>
      <c r="B1595" s="94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43"/>
    </row>
    <row r="1596" spans="1:14">
      <c r="A1596" s="689">
        <v>31</v>
      </c>
      <c r="B1596" s="94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43"/>
    </row>
    <row r="1597" spans="1:14">
      <c r="A1597" s="689">
        <v>31</v>
      </c>
      <c r="B1597" s="94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43"/>
    </row>
    <row r="1598" spans="1:14">
      <c r="A1598" s="689">
        <v>31</v>
      </c>
      <c r="B1598" s="94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33"/>
    </row>
    <row r="1599" spans="1:14">
      <c r="A1599" s="689">
        <v>31</v>
      </c>
      <c r="B1599" s="94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40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40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40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40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4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4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4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4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4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4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40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40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40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40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40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40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40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40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40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40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40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40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3">
        <v>34</v>
      </c>
      <c r="B1622" s="940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3">
        <v>34</v>
      </c>
      <c r="B1623" s="940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3">
        <v>34</v>
      </c>
      <c r="B1624" s="940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3">
        <v>34</v>
      </c>
      <c r="B1625" s="940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3">
        <v>34</v>
      </c>
      <c r="B1626" s="940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3">
        <v>34</v>
      </c>
      <c r="B1627" s="940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3">
        <v>34</v>
      </c>
      <c r="B1628" s="94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3">
        <v>34</v>
      </c>
      <c r="B1629" s="94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3">
        <v>34</v>
      </c>
      <c r="B1630" s="940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3">
        <v>34</v>
      </c>
      <c r="B1631" s="940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3">
        <v>35</v>
      </c>
      <c r="B1632" s="940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>
      <c r="A1633" s="803">
        <v>35</v>
      </c>
      <c r="B1633" s="940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>
      <c r="A1634" s="803">
        <v>35</v>
      </c>
      <c r="B1634" s="940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>
      <c r="A1635" s="803">
        <v>35</v>
      </c>
      <c r="B1635" s="940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>
      <c r="A1636" s="803">
        <v>35</v>
      </c>
      <c r="B1636" s="940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32" t="s">
        <v>7020</v>
      </c>
    </row>
    <row r="1637" spans="1:14">
      <c r="A1637" s="803">
        <v>35</v>
      </c>
      <c r="B1637" s="940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33"/>
    </row>
    <row r="1638" spans="1:14">
      <c r="A1638" s="803">
        <v>35</v>
      </c>
      <c r="B1638" s="940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3">
        <v>35</v>
      </c>
      <c r="B1639" s="940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3">
        <v>35</v>
      </c>
      <c r="B1640" s="940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3">
        <v>35</v>
      </c>
      <c r="B1641" s="940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3">
        <v>35</v>
      </c>
      <c r="B1642" s="940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9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3">
        <v>35</v>
      </c>
      <c r="B1643" s="940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3">
        <v>35</v>
      </c>
      <c r="B1644" s="940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3">
        <v>35</v>
      </c>
      <c r="B1645" s="940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3">
        <v>36</v>
      </c>
      <c r="B1646" s="940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>
      <c r="A1647" s="803">
        <v>36</v>
      </c>
      <c r="B1647" s="940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>
      <c r="A1648" s="803">
        <v>36</v>
      </c>
      <c r="B1648" s="940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>
      <c r="A1649" s="803">
        <v>36</v>
      </c>
      <c r="B1649" s="940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>
      <c r="A1650" s="803">
        <v>36</v>
      </c>
      <c r="B1650" s="940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>
      <c r="A1651" s="803">
        <v>36</v>
      </c>
      <c r="B1651" s="940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>
      <c r="A1652" s="803">
        <v>36</v>
      </c>
      <c r="B1652" s="940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>
      <c r="A1653" s="803">
        <v>36</v>
      </c>
      <c r="B1653" s="940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>
      <c r="A1654" s="803">
        <v>36</v>
      </c>
      <c r="B1654" s="940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946" t="s">
        <v>3708</v>
      </c>
      <c r="L1654" s="125" t="s">
        <v>15</v>
      </c>
      <c r="M1654" s="936">
        <v>250000</v>
      </c>
      <c r="N1654" s="646" t="s">
        <v>5969</v>
      </c>
    </row>
    <row r="1655" spans="1:14">
      <c r="A1655" s="803">
        <v>36</v>
      </c>
      <c r="B1655" s="940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939"/>
      <c r="L1655" s="125" t="s">
        <v>15</v>
      </c>
      <c r="M1655" s="937"/>
      <c r="N1655" s="646" t="s">
        <v>3779</v>
      </c>
    </row>
    <row r="1656" spans="1:14">
      <c r="A1656" s="803">
        <v>36</v>
      </c>
      <c r="B1656" s="940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3">
        <v>36</v>
      </c>
      <c r="B1657" s="940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946" t="s">
        <v>3708</v>
      </c>
      <c r="L1657" s="125" t="s">
        <v>15</v>
      </c>
      <c r="M1657" s="936">
        <v>250000</v>
      </c>
      <c r="N1657" s="646" t="s">
        <v>3779</v>
      </c>
    </row>
    <row r="1658" spans="1:14">
      <c r="A1658" s="803">
        <v>36</v>
      </c>
      <c r="B1658" s="940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939"/>
      <c r="L1658" s="125" t="s">
        <v>15</v>
      </c>
      <c r="M1658" s="937"/>
      <c r="N1658" s="646" t="s">
        <v>3779</v>
      </c>
    </row>
    <row r="1659" spans="1:14">
      <c r="A1659" s="836">
        <v>36</v>
      </c>
      <c r="B1659" s="940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7">
        <v>37</v>
      </c>
      <c r="B1660" s="94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7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>
      <c r="A1661" s="837">
        <v>37</v>
      </c>
      <c r="B1661" s="94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7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>
      <c r="A1662" s="837">
        <v>37</v>
      </c>
      <c r="B1662" s="94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7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>
      <c r="A1663" s="837">
        <v>37</v>
      </c>
      <c r="B1663" s="94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7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>
      <c r="A1664" s="837">
        <v>37</v>
      </c>
      <c r="B1664" s="94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7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>
      <c r="A1665" s="837">
        <v>37</v>
      </c>
      <c r="B1665" s="945"/>
      <c r="C1665" s="848" t="s">
        <v>7172</v>
      </c>
      <c r="D1665" s="846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7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>
      <c r="A1666" s="837">
        <v>37</v>
      </c>
      <c r="B1666" s="944"/>
      <c r="C1666" s="847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7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>
      <c r="A1667" s="837">
        <v>37</v>
      </c>
      <c r="B1667" s="944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9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7">
        <v>37</v>
      </c>
      <c r="B1668" s="944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9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>
      <c r="A1669" s="837">
        <v>37</v>
      </c>
      <c r="B1669" s="944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9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7">
        <v>37</v>
      </c>
      <c r="B1670" s="944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9" t="s">
        <v>7160</v>
      </c>
      <c r="J1670" s="824"/>
      <c r="K1670" s="829" t="s">
        <v>487</v>
      </c>
      <c r="L1670" s="125" t="s">
        <v>66</v>
      </c>
      <c r="M1670" s="825">
        <v>500000</v>
      </c>
      <c r="N1670" s="646" t="s">
        <v>393</v>
      </c>
    </row>
    <row r="1671" spans="1:14">
      <c r="A1671" s="837">
        <v>37</v>
      </c>
      <c r="B1671" s="944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>
      <c r="A1672" s="837">
        <v>37</v>
      </c>
      <c r="B1672" s="944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9" t="s">
        <v>5397</v>
      </c>
      <c r="J1672" s="824"/>
      <c r="K1672" s="829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7">
        <v>38</v>
      </c>
      <c r="B1673" s="944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1">
        <v>7065</v>
      </c>
      <c r="H1673" s="831" t="s">
        <v>7221</v>
      </c>
      <c r="I1673" s="833" t="s">
        <v>7222</v>
      </c>
      <c r="J1673" s="633"/>
      <c r="K1673" s="772" t="s">
        <v>7220</v>
      </c>
      <c r="L1673" s="698" t="s">
        <v>475</v>
      </c>
      <c r="M1673" s="832">
        <v>500000</v>
      </c>
      <c r="N1673" s="646" t="s">
        <v>7219</v>
      </c>
    </row>
    <row r="1674" spans="1:14">
      <c r="A1674" s="837">
        <v>38</v>
      </c>
      <c r="B1674" s="944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1" t="s">
        <v>7223</v>
      </c>
      <c r="H1674" s="831" t="s">
        <v>854</v>
      </c>
      <c r="I1674" s="833" t="s">
        <v>7224</v>
      </c>
      <c r="J1674" s="633"/>
      <c r="K1674" s="833" t="s">
        <v>945</v>
      </c>
      <c r="L1674" s="698" t="s">
        <v>475</v>
      </c>
      <c r="M1674" s="832">
        <v>250000</v>
      </c>
      <c r="N1674" s="646" t="s">
        <v>7219</v>
      </c>
    </row>
    <row r="1675" spans="1:14" ht="27">
      <c r="A1675" s="837">
        <v>38</v>
      </c>
      <c r="B1675" s="944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1" t="s">
        <v>6816</v>
      </c>
      <c r="H1675" s="831" t="s">
        <v>115</v>
      </c>
      <c r="I1675" s="833" t="s">
        <v>3925</v>
      </c>
      <c r="J1675" s="633"/>
      <c r="K1675" s="735" t="s">
        <v>7228</v>
      </c>
      <c r="L1675" s="698" t="s">
        <v>7229</v>
      </c>
      <c r="M1675" s="832">
        <v>750000</v>
      </c>
      <c r="N1675" s="646"/>
    </row>
    <row r="1676" spans="1:14" ht="27">
      <c r="A1676" s="837">
        <v>38</v>
      </c>
      <c r="B1676" s="944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1">
        <v>7065</v>
      </c>
      <c r="H1676" s="831" t="s">
        <v>1895</v>
      </c>
      <c r="I1676" s="833" t="s">
        <v>7231</v>
      </c>
      <c r="J1676" s="633"/>
      <c r="K1676" s="772" t="s">
        <v>7232</v>
      </c>
      <c r="L1676" s="698" t="s">
        <v>7229</v>
      </c>
      <c r="M1676" s="832">
        <v>750000</v>
      </c>
      <c r="N1676" s="646"/>
    </row>
    <row r="1677" spans="1:14" ht="27">
      <c r="A1677" s="837">
        <v>38</v>
      </c>
      <c r="B1677" s="944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1" t="s">
        <v>7223</v>
      </c>
      <c r="H1677" s="831" t="s">
        <v>854</v>
      </c>
      <c r="I1677" s="833" t="s">
        <v>3738</v>
      </c>
      <c r="J1677" s="633"/>
      <c r="K1677" s="772" t="s">
        <v>7232</v>
      </c>
      <c r="L1677" s="698" t="s">
        <v>7229</v>
      </c>
      <c r="M1677" s="832">
        <v>750000</v>
      </c>
      <c r="N1677" s="646"/>
    </row>
    <row r="1678" spans="1:14" ht="27">
      <c r="A1678" s="837">
        <v>38</v>
      </c>
      <c r="B1678" s="944" t="s">
        <v>21</v>
      </c>
      <c r="C1678" s="399">
        <v>46280</v>
      </c>
      <c r="D1678" s="4" t="s">
        <v>64</v>
      </c>
      <c r="E1678" s="4" t="s">
        <v>14</v>
      </c>
      <c r="F1678" s="830" t="s">
        <v>107</v>
      </c>
      <c r="G1678" s="830" t="s">
        <v>3386</v>
      </c>
      <c r="H1678" s="16" t="s">
        <v>263</v>
      </c>
      <c r="I1678" s="834" t="s">
        <v>7183</v>
      </c>
      <c r="J1678" s="830" t="s">
        <v>90</v>
      </c>
      <c r="K1678" s="830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87">
        <v>38</v>
      </c>
      <c r="B1679" s="945"/>
      <c r="C1679" s="848">
        <v>46287</v>
      </c>
      <c r="D1679" s="849" t="s">
        <v>21</v>
      </c>
      <c r="E1679" s="4" t="s">
        <v>14</v>
      </c>
      <c r="F1679" s="830" t="s">
        <v>1893</v>
      </c>
      <c r="G1679" s="830" t="s">
        <v>3589</v>
      </c>
      <c r="H1679" s="16" t="s">
        <v>7177</v>
      </c>
      <c r="I1679" s="834" t="s">
        <v>7181</v>
      </c>
      <c r="J1679" s="830" t="s">
        <v>202</v>
      </c>
      <c r="K1679" s="834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3">
        <v>39</v>
      </c>
      <c r="B1680" s="940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5" t="s">
        <v>6315</v>
      </c>
      <c r="H1680" s="855" t="s">
        <v>18</v>
      </c>
      <c r="I1680" s="856" t="s">
        <v>1105</v>
      </c>
      <c r="J1680" s="633" t="s">
        <v>1259</v>
      </c>
      <c r="K1680" s="856" t="s">
        <v>3251</v>
      </c>
      <c r="L1680" s="698" t="s">
        <v>209</v>
      </c>
      <c r="M1680" s="854">
        <f>250000*5</f>
        <v>1250000</v>
      </c>
      <c r="N1680" s="646"/>
    </row>
    <row r="1681" spans="1:14" ht="27">
      <c r="A1681" s="803">
        <v>39</v>
      </c>
      <c r="B1681" s="940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5">
        <v>7065</v>
      </c>
      <c r="H1681" s="855" t="s">
        <v>23</v>
      </c>
      <c r="I1681" s="856" t="s">
        <v>378</v>
      </c>
      <c r="J1681" s="633" t="s">
        <v>168</v>
      </c>
      <c r="K1681" s="735" t="s">
        <v>7269</v>
      </c>
      <c r="L1681" s="698" t="s">
        <v>209</v>
      </c>
      <c r="M1681" s="854">
        <f>250000*5</f>
        <v>1250000</v>
      </c>
      <c r="N1681" s="646"/>
    </row>
    <row r="1682" spans="1:14" ht="27">
      <c r="A1682" s="803">
        <v>39</v>
      </c>
      <c r="B1682" s="940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5" t="s">
        <v>6816</v>
      </c>
      <c r="H1682" s="855" t="s">
        <v>115</v>
      </c>
      <c r="I1682" s="856" t="s">
        <v>378</v>
      </c>
      <c r="J1682" s="633" t="s">
        <v>126</v>
      </c>
      <c r="K1682" s="856" t="s">
        <v>3004</v>
      </c>
      <c r="L1682" s="698" t="s">
        <v>209</v>
      </c>
      <c r="M1682" s="854">
        <v>750000</v>
      </c>
      <c r="N1682" s="646"/>
    </row>
    <row r="1683" spans="1:14" ht="27">
      <c r="A1683" s="803">
        <v>39</v>
      </c>
      <c r="B1683" s="940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5">
        <v>7065</v>
      </c>
      <c r="H1683" s="855" t="s">
        <v>7018</v>
      </c>
      <c r="I1683" s="856" t="s">
        <v>7272</v>
      </c>
      <c r="J1683" s="633" t="s">
        <v>168</v>
      </c>
      <c r="K1683" s="632" t="s">
        <v>2838</v>
      </c>
      <c r="L1683" s="698"/>
      <c r="M1683" s="854">
        <v>500000</v>
      </c>
      <c r="N1683" s="646"/>
    </row>
    <row r="1684" spans="1:14">
      <c r="A1684" s="803">
        <v>39</v>
      </c>
      <c r="B1684" s="940" t="s">
        <v>21</v>
      </c>
      <c r="C1684" s="399">
        <v>46296</v>
      </c>
      <c r="D1684" s="4" t="s">
        <v>64</v>
      </c>
      <c r="E1684" s="4" t="s">
        <v>30</v>
      </c>
      <c r="F1684" s="853" t="s">
        <v>1895</v>
      </c>
      <c r="G1684" s="853">
        <v>7062</v>
      </c>
      <c r="H1684" s="16" t="s">
        <v>143</v>
      </c>
      <c r="I1684" s="858" t="s">
        <v>7267</v>
      </c>
      <c r="J1684" s="853" t="s">
        <v>2700</v>
      </c>
      <c r="K1684" s="858" t="s">
        <v>845</v>
      </c>
      <c r="L1684" s="125"/>
      <c r="M1684" s="752">
        <v>750000</v>
      </c>
      <c r="N1684" s="646" t="s">
        <v>128</v>
      </c>
    </row>
    <row r="1685" spans="1:14">
      <c r="A1685" s="803">
        <v>39</v>
      </c>
      <c r="B1685" s="940"/>
      <c r="C1685" s="399">
        <v>46297</v>
      </c>
      <c r="D1685" s="4" t="s">
        <v>64</v>
      </c>
      <c r="E1685" s="4" t="s">
        <v>30</v>
      </c>
      <c r="F1685" s="853" t="s">
        <v>1895</v>
      </c>
      <c r="G1685" s="853">
        <v>7062</v>
      </c>
      <c r="H1685" s="16" t="s">
        <v>143</v>
      </c>
      <c r="I1685" s="858" t="s">
        <v>271</v>
      </c>
      <c r="J1685" s="853"/>
      <c r="K1685" s="858" t="s">
        <v>845</v>
      </c>
      <c r="L1685" s="125"/>
      <c r="M1685" s="752">
        <v>750000</v>
      </c>
      <c r="N1685" s="646" t="s">
        <v>128</v>
      </c>
    </row>
    <row r="1686" spans="1:14">
      <c r="A1686" s="803">
        <v>40</v>
      </c>
      <c r="B1686" s="940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7" t="s">
        <v>5847</v>
      </c>
      <c r="H1686" s="867" t="s">
        <v>7339</v>
      </c>
      <c r="I1686" s="872" t="s">
        <v>7338</v>
      </c>
      <c r="J1686" s="633" t="s">
        <v>4616</v>
      </c>
      <c r="K1686" s="872" t="s">
        <v>686</v>
      </c>
      <c r="L1686" s="698" t="s">
        <v>209</v>
      </c>
      <c r="M1686" s="869">
        <v>250000</v>
      </c>
      <c r="N1686" s="646" t="s">
        <v>7332</v>
      </c>
    </row>
    <row r="1687" spans="1:14">
      <c r="A1687" s="803">
        <v>40</v>
      </c>
      <c r="B1687" s="940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7">
        <v>7065</v>
      </c>
      <c r="H1687" s="867" t="s">
        <v>7018</v>
      </c>
      <c r="I1687" s="872" t="s">
        <v>7330</v>
      </c>
      <c r="J1687" s="633" t="s">
        <v>4616</v>
      </c>
      <c r="K1687" s="632" t="s">
        <v>2838</v>
      </c>
      <c r="L1687" s="698" t="s">
        <v>209</v>
      </c>
      <c r="M1687" s="869">
        <v>1000000</v>
      </c>
      <c r="N1687" s="646" t="s">
        <v>7332</v>
      </c>
    </row>
    <row r="1688" spans="1:14">
      <c r="A1688" s="803">
        <v>40</v>
      </c>
      <c r="B1688" s="940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7">
        <v>7065</v>
      </c>
      <c r="H1688" s="867" t="s">
        <v>7018</v>
      </c>
      <c r="I1688" s="872" t="s">
        <v>7331</v>
      </c>
      <c r="J1688" s="633" t="s">
        <v>4616</v>
      </c>
      <c r="K1688" s="872" t="s">
        <v>3454</v>
      </c>
      <c r="L1688" s="698" t="s">
        <v>209</v>
      </c>
      <c r="M1688" s="869">
        <v>500000</v>
      </c>
      <c r="N1688" s="646" t="s">
        <v>7332</v>
      </c>
    </row>
    <row r="1689" spans="1:14" ht="27">
      <c r="A1689" s="803">
        <v>40</v>
      </c>
      <c r="B1689" s="940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7">
        <v>7065</v>
      </c>
      <c r="H1689" s="867" t="s">
        <v>7018</v>
      </c>
      <c r="I1689" s="872" t="s">
        <v>1105</v>
      </c>
      <c r="J1689" s="633" t="s">
        <v>4616</v>
      </c>
      <c r="K1689" s="872" t="s">
        <v>845</v>
      </c>
      <c r="L1689" s="698" t="s">
        <v>209</v>
      </c>
      <c r="M1689" s="869">
        <v>750000</v>
      </c>
      <c r="N1689" s="646"/>
    </row>
    <row r="1690" spans="1:14" ht="27">
      <c r="A1690" s="803">
        <v>40</v>
      </c>
      <c r="B1690" s="940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7" t="s">
        <v>6816</v>
      </c>
      <c r="H1690" s="867" t="s">
        <v>115</v>
      </c>
      <c r="I1690" s="872" t="s">
        <v>378</v>
      </c>
      <c r="J1690" s="633"/>
      <c r="K1690" s="872" t="s">
        <v>7337</v>
      </c>
      <c r="L1690" s="698" t="s">
        <v>209</v>
      </c>
      <c r="M1690" s="869">
        <v>750000</v>
      </c>
      <c r="N1690" s="646"/>
    </row>
    <row r="1691" spans="1:14" ht="27">
      <c r="A1691" s="803">
        <v>40</v>
      </c>
      <c r="B1691" s="940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7">
        <v>7065</v>
      </c>
      <c r="H1691" s="867" t="s">
        <v>3421</v>
      </c>
      <c r="I1691" s="872" t="s">
        <v>378</v>
      </c>
      <c r="J1691" s="633" t="s">
        <v>126</v>
      </c>
      <c r="K1691" s="872" t="s">
        <v>2838</v>
      </c>
      <c r="L1691" s="698" t="s">
        <v>209</v>
      </c>
      <c r="M1691" s="869">
        <v>500000</v>
      </c>
      <c r="N1691" s="646"/>
    </row>
    <row r="1692" spans="1:14">
      <c r="A1692" s="803">
        <v>40</v>
      </c>
      <c r="B1692" s="940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7">
        <v>2729</v>
      </c>
      <c r="H1692" s="867" t="s">
        <v>361</v>
      </c>
      <c r="I1692" s="872" t="s">
        <v>7334</v>
      </c>
      <c r="J1692" s="633"/>
      <c r="K1692" s="872" t="s">
        <v>3454</v>
      </c>
      <c r="L1692" s="698" t="s">
        <v>209</v>
      </c>
      <c r="M1692" s="869">
        <v>250000</v>
      </c>
      <c r="N1692" s="646"/>
    </row>
    <row r="1693" spans="1:14" ht="27">
      <c r="A1693" s="803">
        <v>40</v>
      </c>
      <c r="B1693" s="940" t="s">
        <v>21</v>
      </c>
      <c r="C1693" s="399">
        <v>46303</v>
      </c>
      <c r="D1693" s="4" t="s">
        <v>21</v>
      </c>
      <c r="E1693" s="4" t="s">
        <v>31</v>
      </c>
      <c r="F1693" s="874" t="s">
        <v>7279</v>
      </c>
      <c r="G1693" s="870" t="s">
        <v>270</v>
      </c>
      <c r="H1693" s="16" t="s">
        <v>6284</v>
      </c>
      <c r="I1693" s="874" t="s">
        <v>7336</v>
      </c>
      <c r="J1693" s="870"/>
      <c r="K1693" s="870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3">
        <v>40</v>
      </c>
      <c r="B1694" s="940"/>
      <c r="C1694" s="369">
        <v>46305</v>
      </c>
      <c r="D1694" s="4" t="s">
        <v>138</v>
      </c>
      <c r="E1694" s="4" t="s">
        <v>14</v>
      </c>
      <c r="F1694" s="870" t="s">
        <v>1787</v>
      </c>
      <c r="G1694" s="870" t="s">
        <v>2978</v>
      </c>
      <c r="H1694" s="16" t="s">
        <v>23</v>
      </c>
      <c r="I1694" s="874" t="s">
        <v>7200</v>
      </c>
      <c r="J1694" s="870"/>
      <c r="K1694" s="870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6">
        <v>41</v>
      </c>
      <c r="B1695" s="930" t="s">
        <v>307</v>
      </c>
      <c r="C1695" s="897" t="s">
        <v>7470</v>
      </c>
      <c r="D1695" s="898" t="s">
        <v>7471</v>
      </c>
      <c r="E1695" s="898" t="s">
        <v>322</v>
      </c>
      <c r="F1695" s="899" t="s">
        <v>5400</v>
      </c>
      <c r="G1695" s="900">
        <v>7065</v>
      </c>
      <c r="H1695" s="900" t="s">
        <v>7469</v>
      </c>
      <c r="I1695" s="899" t="s">
        <v>7472</v>
      </c>
      <c r="J1695" s="899" t="s">
        <v>1534</v>
      </c>
      <c r="K1695" s="899" t="s">
        <v>692</v>
      </c>
      <c r="L1695" s="901" t="s">
        <v>309</v>
      </c>
      <c r="M1695" s="752">
        <v>500000</v>
      </c>
      <c r="N1695" s="901" t="s">
        <v>7473</v>
      </c>
    </row>
    <row r="1696" spans="1:14">
      <c r="A1696" s="906">
        <v>41</v>
      </c>
      <c r="B1696" s="931"/>
      <c r="C1696" s="902" t="s">
        <v>7470</v>
      </c>
      <c r="D1696" s="898" t="s">
        <v>7471</v>
      </c>
      <c r="E1696" s="898" t="s">
        <v>322</v>
      </c>
      <c r="F1696" s="899" t="s">
        <v>5400</v>
      </c>
      <c r="G1696" s="900">
        <v>7065</v>
      </c>
      <c r="H1696" s="900" t="s">
        <v>329</v>
      </c>
      <c r="I1696" s="899" t="s">
        <v>7474</v>
      </c>
      <c r="J1696" s="899" t="s">
        <v>7475</v>
      </c>
      <c r="K1696" s="899" t="s">
        <v>3105</v>
      </c>
      <c r="L1696" s="901" t="s">
        <v>309</v>
      </c>
      <c r="M1696" s="907">
        <v>250000</v>
      </c>
      <c r="N1696" s="901" t="s">
        <v>7473</v>
      </c>
    </row>
    <row r="1697" spans="1:14">
      <c r="A1697" s="906">
        <v>41</v>
      </c>
      <c r="B1697" s="931"/>
      <c r="C1697" s="902" t="s">
        <v>7476</v>
      </c>
      <c r="D1697" s="898" t="s">
        <v>7471</v>
      </c>
      <c r="E1697" s="898" t="s">
        <v>322</v>
      </c>
      <c r="F1697" s="899" t="s">
        <v>5400</v>
      </c>
      <c r="G1697" s="900" t="s">
        <v>7468</v>
      </c>
      <c r="H1697" s="900" t="s">
        <v>662</v>
      </c>
      <c r="I1697" s="899" t="s">
        <v>1096</v>
      </c>
      <c r="J1697" s="899" t="s">
        <v>7477</v>
      </c>
      <c r="K1697" s="899" t="s">
        <v>7478</v>
      </c>
      <c r="L1697" s="901" t="s">
        <v>309</v>
      </c>
      <c r="M1697" s="907">
        <v>250000</v>
      </c>
      <c r="N1697" s="901"/>
    </row>
    <row r="1698" spans="1:14" ht="24">
      <c r="A1698" s="906">
        <v>41</v>
      </c>
      <c r="B1698" s="931"/>
      <c r="C1698" s="902" t="s">
        <v>7479</v>
      </c>
      <c r="D1698" s="898" t="s">
        <v>7471</v>
      </c>
      <c r="E1698" s="898" t="s">
        <v>322</v>
      </c>
      <c r="F1698" s="899" t="s">
        <v>5400</v>
      </c>
      <c r="G1698" s="900">
        <v>7065</v>
      </c>
      <c r="H1698" s="900" t="s">
        <v>6915</v>
      </c>
      <c r="I1698" s="899" t="s">
        <v>1096</v>
      </c>
      <c r="J1698" s="899" t="s">
        <v>7477</v>
      </c>
      <c r="K1698" s="899" t="s">
        <v>7480</v>
      </c>
      <c r="L1698" s="901" t="s">
        <v>309</v>
      </c>
      <c r="M1698" s="907">
        <v>1000000</v>
      </c>
      <c r="N1698" s="901"/>
    </row>
    <row r="1699" spans="1:14" ht="24">
      <c r="A1699" s="906">
        <v>41</v>
      </c>
      <c r="B1699" s="931"/>
      <c r="C1699" s="902" t="s">
        <v>7481</v>
      </c>
      <c r="D1699" s="898" t="s">
        <v>7471</v>
      </c>
      <c r="E1699" s="898" t="s">
        <v>322</v>
      </c>
      <c r="F1699" s="899" t="s">
        <v>5400</v>
      </c>
      <c r="G1699" s="900" t="s">
        <v>7468</v>
      </c>
      <c r="H1699" s="900" t="s">
        <v>662</v>
      </c>
      <c r="I1699" s="899" t="s">
        <v>4965</v>
      </c>
      <c r="J1699" s="899" t="s">
        <v>7482</v>
      </c>
      <c r="K1699" s="899" t="s">
        <v>3182</v>
      </c>
      <c r="L1699" s="901" t="s">
        <v>309</v>
      </c>
      <c r="M1699" s="907">
        <v>1250000</v>
      </c>
      <c r="N1699" s="901"/>
    </row>
    <row r="1700" spans="1:14" ht="24">
      <c r="A1700" s="906">
        <v>41</v>
      </c>
      <c r="B1700" s="931"/>
      <c r="C1700" s="902" t="s">
        <v>7481</v>
      </c>
      <c r="D1700" s="898" t="s">
        <v>7471</v>
      </c>
      <c r="E1700" s="898" t="s">
        <v>322</v>
      </c>
      <c r="F1700" s="899" t="s">
        <v>5400</v>
      </c>
      <c r="G1700" s="900" t="s">
        <v>7483</v>
      </c>
      <c r="H1700" s="900" t="s">
        <v>640</v>
      </c>
      <c r="I1700" s="899" t="s">
        <v>7484</v>
      </c>
      <c r="J1700" s="899" t="s">
        <v>1534</v>
      </c>
      <c r="K1700" s="903" t="s">
        <v>7485</v>
      </c>
      <c r="L1700" s="901" t="s">
        <v>309</v>
      </c>
      <c r="M1700" s="907">
        <v>2250000</v>
      </c>
      <c r="N1700" s="901"/>
    </row>
    <row r="1701" spans="1:14" ht="24">
      <c r="A1701" s="906">
        <v>41</v>
      </c>
      <c r="B1701" s="931"/>
      <c r="C1701" s="902" t="s">
        <v>7486</v>
      </c>
      <c r="D1701" s="898" t="s">
        <v>7471</v>
      </c>
      <c r="E1701" s="898" t="s">
        <v>322</v>
      </c>
      <c r="F1701" s="899" t="s">
        <v>5400</v>
      </c>
      <c r="G1701" s="900">
        <v>7065</v>
      </c>
      <c r="H1701" s="900" t="s">
        <v>7469</v>
      </c>
      <c r="I1701" s="899" t="s">
        <v>4915</v>
      </c>
      <c r="J1701" s="899" t="s">
        <v>1534</v>
      </c>
      <c r="K1701" s="899" t="s">
        <v>692</v>
      </c>
      <c r="L1701" s="901" t="s">
        <v>309</v>
      </c>
      <c r="M1701" s="907">
        <v>50000</v>
      </c>
      <c r="N1701" s="901"/>
    </row>
    <row r="1702" spans="1:14">
      <c r="A1702" s="906">
        <v>41</v>
      </c>
      <c r="B1702" s="1240" t="s">
        <v>311</v>
      </c>
      <c r="C1702" s="916" t="s">
        <v>7487</v>
      </c>
      <c r="D1702" s="901" t="s">
        <v>311</v>
      </c>
      <c r="E1702" s="901" t="s">
        <v>320</v>
      </c>
      <c r="F1702" s="900" t="s">
        <v>7488</v>
      </c>
      <c r="G1702" s="900" t="s">
        <v>5449</v>
      </c>
      <c r="H1702" s="900" t="s">
        <v>662</v>
      </c>
      <c r="I1702" s="904" t="s">
        <v>5005</v>
      </c>
      <c r="J1702" s="905"/>
      <c r="K1702" s="900" t="s">
        <v>698</v>
      </c>
      <c r="L1702" s="901" t="s">
        <v>309</v>
      </c>
      <c r="M1702" s="908">
        <v>250000</v>
      </c>
      <c r="N1702" s="901" t="s">
        <v>7473</v>
      </c>
    </row>
    <row r="1703" spans="1:14">
      <c r="A1703" s="906">
        <v>41</v>
      </c>
      <c r="B1703" s="931"/>
      <c r="C1703" s="897" t="s">
        <v>7489</v>
      </c>
      <c r="D1703" s="901" t="s">
        <v>311</v>
      </c>
      <c r="E1703" s="901" t="s">
        <v>320</v>
      </c>
      <c r="F1703" s="900" t="s">
        <v>7488</v>
      </c>
      <c r="G1703" s="900" t="s">
        <v>5449</v>
      </c>
      <c r="H1703" s="900" t="s">
        <v>662</v>
      </c>
      <c r="I1703" s="904" t="s">
        <v>5005</v>
      </c>
      <c r="J1703" s="905"/>
      <c r="K1703" s="900" t="s">
        <v>698</v>
      </c>
      <c r="L1703" s="901" t="s">
        <v>309</v>
      </c>
      <c r="M1703" s="908">
        <v>250000</v>
      </c>
      <c r="N1703" s="901" t="s">
        <v>7473</v>
      </c>
    </row>
    <row r="1704" spans="1:14">
      <c r="A1704" s="906">
        <v>41</v>
      </c>
      <c r="B1704" s="931"/>
      <c r="C1704" s="902" t="s">
        <v>7476</v>
      </c>
      <c r="D1704" s="901" t="s">
        <v>311</v>
      </c>
      <c r="E1704" s="901" t="s">
        <v>320</v>
      </c>
      <c r="F1704" s="900" t="s">
        <v>690</v>
      </c>
      <c r="G1704" s="900" t="s">
        <v>5004</v>
      </c>
      <c r="H1704" s="900" t="s">
        <v>1814</v>
      </c>
      <c r="I1704" s="900" t="s">
        <v>7490</v>
      </c>
      <c r="J1704" s="900"/>
      <c r="K1704" s="900" t="s">
        <v>713</v>
      </c>
      <c r="L1704" s="901" t="s">
        <v>309</v>
      </c>
      <c r="M1704" s="908">
        <v>250000</v>
      </c>
      <c r="N1704" s="901" t="s">
        <v>726</v>
      </c>
    </row>
    <row r="1705" spans="1:14">
      <c r="A1705" s="906">
        <v>41</v>
      </c>
      <c r="B1705" s="931"/>
      <c r="C1705" s="902" t="s">
        <v>7491</v>
      </c>
      <c r="D1705" s="901" t="s">
        <v>311</v>
      </c>
      <c r="E1705" s="901" t="s">
        <v>320</v>
      </c>
      <c r="F1705" s="900" t="s">
        <v>6915</v>
      </c>
      <c r="G1705" s="900">
        <v>7062</v>
      </c>
      <c r="H1705" s="900" t="s">
        <v>1198</v>
      </c>
      <c r="I1705" s="900" t="s">
        <v>7492</v>
      </c>
      <c r="J1705" s="900"/>
      <c r="K1705" s="900" t="s">
        <v>7493</v>
      </c>
      <c r="L1705" s="901" t="s">
        <v>309</v>
      </c>
      <c r="M1705" s="908">
        <v>250000</v>
      </c>
      <c r="N1705" s="901" t="s">
        <v>1206</v>
      </c>
    </row>
    <row r="1706" spans="1:14">
      <c r="A1706" s="906">
        <v>41</v>
      </c>
      <c r="B1706" s="931"/>
      <c r="C1706" s="902" t="s">
        <v>7494</v>
      </c>
      <c r="D1706" s="901" t="s">
        <v>311</v>
      </c>
      <c r="E1706" s="901" t="s">
        <v>320</v>
      </c>
      <c r="F1706" s="900" t="s">
        <v>6915</v>
      </c>
      <c r="G1706" s="900">
        <v>7062</v>
      </c>
      <c r="H1706" s="900" t="s">
        <v>1198</v>
      </c>
      <c r="I1706" s="900" t="s">
        <v>7495</v>
      </c>
      <c r="J1706" s="900"/>
      <c r="K1706" s="900" t="s">
        <v>7493</v>
      </c>
      <c r="L1706" s="901" t="s">
        <v>309</v>
      </c>
      <c r="M1706" s="908">
        <v>250000</v>
      </c>
      <c r="N1706" s="901" t="s">
        <v>1206</v>
      </c>
    </row>
    <row r="1707" spans="1:14">
      <c r="A1707" s="906">
        <v>42</v>
      </c>
      <c r="B1707" s="1239" t="s">
        <v>307</v>
      </c>
      <c r="C1707" s="916" t="s">
        <v>7557</v>
      </c>
      <c r="D1707" s="898" t="s">
        <v>7471</v>
      </c>
      <c r="E1707" s="898" t="s">
        <v>322</v>
      </c>
      <c r="F1707" s="899" t="s">
        <v>5400</v>
      </c>
      <c r="G1707" s="900" t="s">
        <v>7483</v>
      </c>
      <c r="H1707" s="900" t="s">
        <v>7558</v>
      </c>
      <c r="I1707" s="899" t="s">
        <v>7559</v>
      </c>
      <c r="J1707" s="899" t="s">
        <v>1534</v>
      </c>
      <c r="K1707" s="899" t="s">
        <v>3105</v>
      </c>
      <c r="L1707" s="901" t="s">
        <v>324</v>
      </c>
      <c r="M1707" s="908">
        <v>250000</v>
      </c>
      <c r="N1707" s="901" t="s">
        <v>7560</v>
      </c>
    </row>
    <row r="1708" spans="1:14" ht="24">
      <c r="A1708" s="906">
        <v>42</v>
      </c>
      <c r="B1708" s="931"/>
      <c r="C1708" s="897" t="s">
        <v>7561</v>
      </c>
      <c r="D1708" s="898" t="s">
        <v>7471</v>
      </c>
      <c r="E1708" s="898" t="s">
        <v>322</v>
      </c>
      <c r="F1708" s="899" t="s">
        <v>5400</v>
      </c>
      <c r="G1708" s="900" t="s">
        <v>7483</v>
      </c>
      <c r="H1708" s="900" t="s">
        <v>367</v>
      </c>
      <c r="I1708" s="899" t="s">
        <v>7562</v>
      </c>
      <c r="J1708" s="899" t="s">
        <v>7563</v>
      </c>
      <c r="K1708" s="899" t="s">
        <v>7564</v>
      </c>
      <c r="L1708" s="901" t="s">
        <v>324</v>
      </c>
      <c r="M1708" s="907">
        <v>1250000</v>
      </c>
      <c r="N1708" s="901"/>
    </row>
    <row r="1709" spans="1:14" ht="24">
      <c r="A1709" s="906">
        <v>42</v>
      </c>
      <c r="B1709" s="931"/>
      <c r="C1709" s="902" t="s">
        <v>7565</v>
      </c>
      <c r="D1709" s="898" t="s">
        <v>7471</v>
      </c>
      <c r="E1709" s="898" t="s">
        <v>322</v>
      </c>
      <c r="F1709" s="899" t="s">
        <v>5400</v>
      </c>
      <c r="G1709" s="900" t="s">
        <v>7468</v>
      </c>
      <c r="H1709" s="900" t="s">
        <v>662</v>
      </c>
      <c r="I1709" s="899" t="s">
        <v>310</v>
      </c>
      <c r="J1709" s="899" t="s">
        <v>1111</v>
      </c>
      <c r="K1709" s="899" t="s">
        <v>4943</v>
      </c>
      <c r="L1709" s="901" t="s">
        <v>324</v>
      </c>
      <c r="M1709" s="907">
        <v>750000</v>
      </c>
      <c r="N1709" s="901"/>
    </row>
    <row r="1710" spans="1:14" ht="24">
      <c r="A1710" s="906">
        <v>42</v>
      </c>
      <c r="B1710" s="931"/>
      <c r="C1710" s="902" t="s">
        <v>7566</v>
      </c>
      <c r="D1710" s="898" t="s">
        <v>7471</v>
      </c>
      <c r="E1710" s="898" t="s">
        <v>322</v>
      </c>
      <c r="F1710" s="899" t="s">
        <v>5400</v>
      </c>
      <c r="G1710" s="900">
        <v>7065</v>
      </c>
      <c r="H1710" s="900" t="s">
        <v>7469</v>
      </c>
      <c r="I1710" s="899" t="s">
        <v>4915</v>
      </c>
      <c r="J1710" s="899" t="s">
        <v>1534</v>
      </c>
      <c r="K1710" s="899" t="s">
        <v>3101</v>
      </c>
      <c r="L1710" s="901" t="s">
        <v>324</v>
      </c>
      <c r="M1710" s="907">
        <v>500000</v>
      </c>
      <c r="N1710" s="901"/>
    </row>
    <row r="1711" spans="1:14" ht="24">
      <c r="A1711" s="906">
        <v>42</v>
      </c>
      <c r="B1711" s="931"/>
      <c r="C1711" s="902" t="s">
        <v>7567</v>
      </c>
      <c r="D1711" s="1228" t="s">
        <v>7471</v>
      </c>
      <c r="E1711" s="1228" t="s">
        <v>322</v>
      </c>
      <c r="F1711" s="1229" t="s">
        <v>5400</v>
      </c>
      <c r="G1711" s="900" t="s">
        <v>7568</v>
      </c>
      <c r="H1711" s="900" t="s">
        <v>354</v>
      </c>
      <c r="I1711" s="899" t="s">
        <v>4915</v>
      </c>
      <c r="J1711" s="899" t="s">
        <v>1534</v>
      </c>
      <c r="K1711" s="899" t="s">
        <v>3101</v>
      </c>
      <c r="L1711" s="901" t="s">
        <v>324</v>
      </c>
      <c r="M1711" s="907">
        <v>500000</v>
      </c>
      <c r="N1711" s="901"/>
    </row>
    <row r="1712" spans="1:14">
      <c r="A1712" s="906">
        <v>42</v>
      </c>
      <c r="B1712" s="1230" t="s">
        <v>311</v>
      </c>
      <c r="C1712" s="1231" t="s">
        <v>7569</v>
      </c>
      <c r="D1712" s="1232" t="s">
        <v>311</v>
      </c>
      <c r="E1712" s="1232" t="s">
        <v>320</v>
      </c>
      <c r="F1712" s="1233" t="s">
        <v>337</v>
      </c>
      <c r="G1712" s="900" t="s">
        <v>3054</v>
      </c>
      <c r="H1712" s="900" t="s">
        <v>354</v>
      </c>
      <c r="I1712" s="900" t="s">
        <v>7570</v>
      </c>
      <c r="J1712" s="900" t="s">
        <v>638</v>
      </c>
      <c r="K1712" s="900" t="s">
        <v>713</v>
      </c>
      <c r="L1712" s="901" t="s">
        <v>309</v>
      </c>
      <c r="M1712" s="908">
        <v>250000</v>
      </c>
      <c r="N1712" s="901"/>
    </row>
    <row r="1713" spans="1:14" ht="24">
      <c r="A1713" s="906">
        <v>42</v>
      </c>
      <c r="B1713" s="1234"/>
      <c r="C1713" s="902" t="s">
        <v>7571</v>
      </c>
      <c r="D1713" s="901" t="s">
        <v>311</v>
      </c>
      <c r="E1713" s="901" t="s">
        <v>320</v>
      </c>
      <c r="F1713" s="1235" t="s">
        <v>337</v>
      </c>
      <c r="G1713" s="900" t="s">
        <v>7568</v>
      </c>
      <c r="H1713" s="900" t="s">
        <v>354</v>
      </c>
      <c r="I1713" s="900" t="s">
        <v>310</v>
      </c>
      <c r="J1713" s="900" t="s">
        <v>7572</v>
      </c>
      <c r="K1713" s="900" t="s">
        <v>7573</v>
      </c>
      <c r="L1713" s="901" t="s">
        <v>309</v>
      </c>
      <c r="M1713" s="908">
        <v>500000</v>
      </c>
      <c r="N1713" s="901"/>
    </row>
    <row r="1714" spans="1:14">
      <c r="A1714" s="906">
        <v>42</v>
      </c>
      <c r="B1714" s="1236"/>
      <c r="C1714" s="1237" t="s">
        <v>7574</v>
      </c>
      <c r="D1714" s="1238" t="s">
        <v>311</v>
      </c>
      <c r="E1714" s="1238" t="s">
        <v>320</v>
      </c>
      <c r="F1714" s="674" t="s">
        <v>337</v>
      </c>
      <c r="G1714" s="900" t="s">
        <v>7568</v>
      </c>
      <c r="H1714" s="900" t="s">
        <v>354</v>
      </c>
      <c r="I1714" s="900" t="s">
        <v>310</v>
      </c>
      <c r="J1714" s="900"/>
      <c r="K1714" s="900" t="s">
        <v>7573</v>
      </c>
      <c r="L1714" s="901" t="s">
        <v>309</v>
      </c>
      <c r="M1714" s="908">
        <v>500000</v>
      </c>
      <c r="N1714" s="901"/>
    </row>
  </sheetData>
  <mergeCells count="1104"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</v>
      </c>
    </row>
    <row r="10" spans="1:4">
      <c r="A10" s="589" t="s">
        <v>4855</v>
      </c>
      <c r="B10" s="589" t="s">
        <v>4856</v>
      </c>
      <c r="C10" s="1134" t="s">
        <v>4857</v>
      </c>
      <c r="D10" s="1134"/>
    </row>
    <row r="11" spans="1:4">
      <c r="A11" s="589" t="s">
        <v>4858</v>
      </c>
      <c r="B11" s="589">
        <v>5</v>
      </c>
      <c r="C11" s="1135">
        <f>'사전품의양식 (12)'!L9</f>
        <v>0</v>
      </c>
      <c r="D11" s="1135"/>
    </row>
    <row r="12" spans="1:4">
      <c r="A12" s="589" t="s">
        <v>4859</v>
      </c>
      <c r="B12" s="589">
        <v>3</v>
      </c>
      <c r="C12" s="1135">
        <f>'사전품의양식 (12)'!L13</f>
        <v>500000</v>
      </c>
      <c r="D12" s="1135"/>
    </row>
    <row r="13" spans="1:4">
      <c r="A13" s="591" t="s">
        <v>53</v>
      </c>
      <c r="B13" s="591">
        <f>SUM(B11:B12)</f>
        <v>8</v>
      </c>
      <c r="C13" s="1136">
        <f>SUM(C11:C12)</f>
        <v>500000</v>
      </c>
      <c r="D13" s="1136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>
      <c r="A18" s="589" t="s">
        <v>5511</v>
      </c>
      <c r="B18" s="590">
        <f>C11-B17</f>
        <v>-250000</v>
      </c>
      <c r="C18" s="590">
        <f>C12-C17</f>
        <v>500000</v>
      </c>
      <c r="D18" s="590">
        <f>SUM(B18:C18)</f>
        <v>250000</v>
      </c>
    </row>
    <row r="19" spans="1:5">
      <c r="A19" s="591" t="s">
        <v>4861</v>
      </c>
      <c r="B19" s="592">
        <f>SUM(B17:B18)</f>
        <v>0</v>
      </c>
      <c r="C19" s="592">
        <f>SUM(C17:C18)</f>
        <v>500000</v>
      </c>
      <c r="D19" s="592">
        <f>SUM(D17:D18)</f>
        <v>500000</v>
      </c>
    </row>
    <row r="22" spans="1:5" ht="20.25">
      <c r="A22" s="586" t="s">
        <v>4871</v>
      </c>
    </row>
    <row r="24" spans="1:5">
      <c r="A24" s="839" t="s">
        <v>4855</v>
      </c>
      <c r="B24" s="840" t="s">
        <v>4869</v>
      </c>
      <c r="C24" s="1137" t="s">
        <v>4872</v>
      </c>
      <c r="D24" s="1138"/>
      <c r="E24" s="838"/>
    </row>
    <row r="25" spans="1:5">
      <c r="A25" s="841" t="s">
        <v>4873</v>
      </c>
      <c r="B25" s="826" t="s">
        <v>4874</v>
      </c>
      <c r="C25" s="1132" t="s">
        <v>4875</v>
      </c>
      <c r="D25" s="1133"/>
      <c r="E25" s="83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1"/>
  <sheetViews>
    <sheetView topLeftCell="A36" zoomScale="90" zoomScaleNormal="90" zoomScaleSheetLayoutView="55" workbookViewId="0">
      <selection activeCell="H32" sqref="H32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40" t="s">
        <v>7555</v>
      </c>
      <c r="B2" s="1140" t="s">
        <v>1</v>
      </c>
      <c r="C2" s="1140" t="s">
        <v>2</v>
      </c>
      <c r="D2" s="1140" t="s">
        <v>3</v>
      </c>
      <c r="E2" s="777" t="s">
        <v>2623</v>
      </c>
      <c r="F2" s="1140" t="s">
        <v>5</v>
      </c>
      <c r="G2" s="1140" t="s">
        <v>6</v>
      </c>
      <c r="H2" s="1140" t="s">
        <v>2624</v>
      </c>
      <c r="I2" s="1140" t="s">
        <v>55</v>
      </c>
      <c r="J2" s="1140" t="s">
        <v>9</v>
      </c>
      <c r="K2" s="1141" t="s">
        <v>56</v>
      </c>
      <c r="L2" s="1140" t="s">
        <v>57</v>
      </c>
      <c r="M2" s="1140" t="s">
        <v>58</v>
      </c>
    </row>
    <row r="3" spans="1:14">
      <c r="A3" s="1140"/>
      <c r="B3" s="1140"/>
      <c r="C3" s="1140"/>
      <c r="D3" s="1140"/>
      <c r="E3" s="777" t="s">
        <v>1724</v>
      </c>
      <c r="F3" s="1140"/>
      <c r="G3" s="1140"/>
      <c r="H3" s="1140"/>
      <c r="I3" s="1140"/>
      <c r="J3" s="1140"/>
      <c r="K3" s="1141"/>
      <c r="L3" s="1140"/>
      <c r="M3" s="1140"/>
    </row>
    <row r="4" spans="1:14" s="680" customFormat="1" ht="17.100000000000001" customHeight="1">
      <c r="A4" s="940" t="s">
        <v>20</v>
      </c>
      <c r="B4" s="399"/>
      <c r="C4" s="721" t="s">
        <v>7389</v>
      </c>
      <c r="D4" s="632" t="s">
        <v>7390</v>
      </c>
      <c r="E4" s="633" t="s">
        <v>7391</v>
      </c>
      <c r="F4" s="881"/>
      <c r="G4" s="881"/>
      <c r="H4" s="883"/>
      <c r="I4" s="633"/>
      <c r="J4" s="883"/>
      <c r="K4" s="698" t="s">
        <v>7467</v>
      </c>
      <c r="L4" s="882"/>
      <c r="M4" s="646"/>
    </row>
    <row r="5" spans="1:14" s="680" customFormat="1" ht="17.100000000000001" customHeight="1">
      <c r="A5" s="940"/>
      <c r="B5" s="399"/>
      <c r="C5" s="721" t="s">
        <v>7389</v>
      </c>
      <c r="D5" s="632" t="s">
        <v>7390</v>
      </c>
      <c r="E5" s="633" t="s">
        <v>7391</v>
      </c>
      <c r="F5" s="881"/>
      <c r="G5" s="881"/>
      <c r="H5" s="883"/>
      <c r="I5" s="633"/>
      <c r="J5" s="872"/>
      <c r="K5" s="698" t="s">
        <v>7467</v>
      </c>
      <c r="L5" s="869"/>
      <c r="M5" s="646"/>
    </row>
    <row r="6" spans="1:14" s="680" customFormat="1" ht="17.100000000000001" customHeight="1">
      <c r="A6" s="940"/>
      <c r="B6" s="399"/>
      <c r="C6" s="721" t="s">
        <v>7389</v>
      </c>
      <c r="D6" s="632" t="s">
        <v>7390</v>
      </c>
      <c r="E6" s="633" t="s">
        <v>7391</v>
      </c>
      <c r="F6" s="855"/>
      <c r="G6" s="855"/>
      <c r="H6" s="856"/>
      <c r="I6" s="633"/>
      <c r="J6" s="856"/>
      <c r="K6" s="698" t="s">
        <v>7467</v>
      </c>
      <c r="L6" s="882"/>
      <c r="M6" s="646"/>
    </row>
    <row r="7" spans="1:14" s="680" customFormat="1" ht="17.100000000000001" customHeight="1">
      <c r="A7" s="940"/>
      <c r="B7" s="399"/>
      <c r="C7" s="721" t="s">
        <v>7389</v>
      </c>
      <c r="D7" s="632" t="s">
        <v>7390</v>
      </c>
      <c r="E7" s="633" t="s">
        <v>7391</v>
      </c>
      <c r="F7" s="855"/>
      <c r="G7" s="855"/>
      <c r="H7" s="872"/>
      <c r="I7" s="633"/>
      <c r="J7" s="883"/>
      <c r="K7" s="698" t="s">
        <v>7467</v>
      </c>
      <c r="L7" s="882"/>
      <c r="M7" s="646"/>
    </row>
    <row r="8" spans="1:14" s="680" customFormat="1" ht="17.100000000000001" customHeight="1">
      <c r="A8" s="940"/>
      <c r="B8" s="399"/>
      <c r="C8" s="721" t="s">
        <v>7389</v>
      </c>
      <c r="D8" s="632" t="s">
        <v>7390</v>
      </c>
      <c r="E8" s="633" t="s">
        <v>7391</v>
      </c>
      <c r="F8" s="867"/>
      <c r="G8" s="867"/>
      <c r="H8" s="883"/>
      <c r="I8" s="633"/>
      <c r="J8" s="883"/>
      <c r="K8" s="698" t="s">
        <v>7467</v>
      </c>
      <c r="L8" s="882"/>
      <c r="M8" s="646"/>
    </row>
    <row r="9" spans="1:14" ht="17.100000000000001" customHeight="1">
      <c r="A9" s="940"/>
      <c r="B9" s="940" t="s">
        <v>1136</v>
      </c>
      <c r="C9" s="940"/>
      <c r="D9" s="940"/>
      <c r="E9" s="940"/>
      <c r="F9" s="940"/>
      <c r="G9" s="940"/>
      <c r="H9" s="940"/>
      <c r="I9" s="940"/>
      <c r="J9" s="940"/>
      <c r="K9" s="940"/>
      <c r="L9" s="724">
        <f>SUM(L4:L8)</f>
        <v>0</v>
      </c>
      <c r="M9" s="646"/>
    </row>
    <row r="10" spans="1:14" ht="13.5">
      <c r="A10" s="940" t="s">
        <v>21</v>
      </c>
      <c r="B10" s="399">
        <v>46318</v>
      </c>
      <c r="C10" s="4" t="s">
        <v>21</v>
      </c>
      <c r="D10" s="4" t="s">
        <v>14</v>
      </c>
      <c r="E10" s="917" t="s">
        <v>7429</v>
      </c>
      <c r="F10" s="917" t="s">
        <v>2959</v>
      </c>
      <c r="G10" s="16" t="s">
        <v>143</v>
      </c>
      <c r="H10" s="919" t="s">
        <v>7522</v>
      </c>
      <c r="I10" s="917"/>
      <c r="J10" s="917" t="s">
        <v>7528</v>
      </c>
      <c r="K10" s="125" t="s">
        <v>15</v>
      </c>
      <c r="L10" s="752">
        <v>500000</v>
      </c>
      <c r="M10" s="646" t="s">
        <v>7556</v>
      </c>
    </row>
    <row r="11" spans="1:14" ht="13.5">
      <c r="A11" s="940"/>
      <c r="B11" s="399">
        <v>46321</v>
      </c>
      <c r="C11" s="4" t="s">
        <v>21</v>
      </c>
      <c r="D11" s="4" t="s">
        <v>14</v>
      </c>
      <c r="E11" s="917" t="s">
        <v>107</v>
      </c>
      <c r="F11" s="917" t="s">
        <v>7430</v>
      </c>
      <c r="G11" s="16" t="s">
        <v>143</v>
      </c>
      <c r="H11" s="919" t="s">
        <v>3607</v>
      </c>
      <c r="I11" s="917"/>
      <c r="J11" s="917" t="s">
        <v>3668</v>
      </c>
      <c r="K11" s="125" t="s">
        <v>15</v>
      </c>
      <c r="L11" s="752"/>
      <c r="M11" s="646"/>
    </row>
    <row r="12" spans="1:14" ht="13.5">
      <c r="A12" s="940"/>
      <c r="B12" s="399"/>
      <c r="C12" s="4"/>
      <c r="D12" s="4"/>
      <c r="E12" s="880"/>
      <c r="F12" s="880"/>
      <c r="G12" s="16"/>
      <c r="H12" s="886"/>
      <c r="I12" s="880"/>
      <c r="J12" s="880"/>
      <c r="K12" s="125"/>
      <c r="L12" s="752"/>
      <c r="M12" s="646"/>
    </row>
    <row r="13" spans="1:14" ht="17.100000000000001" customHeight="1">
      <c r="A13" s="940"/>
      <c r="B13" s="940" t="s">
        <v>4879</v>
      </c>
      <c r="C13" s="940"/>
      <c r="D13" s="940"/>
      <c r="E13" s="940"/>
      <c r="F13" s="940"/>
      <c r="G13" s="940"/>
      <c r="H13" s="940"/>
      <c r="I13" s="940"/>
      <c r="J13" s="940"/>
      <c r="K13" s="940"/>
      <c r="L13" s="724">
        <f>SUM(L10:L12)</f>
        <v>500000</v>
      </c>
      <c r="M13" s="646"/>
    </row>
    <row r="14" spans="1:14" ht="25.5" customHeight="1">
      <c r="A14" s="1139" t="s">
        <v>62</v>
      </c>
      <c r="B14" s="1139"/>
      <c r="C14" s="1139"/>
      <c r="D14" s="1139"/>
      <c r="E14" s="1139"/>
      <c r="F14" s="1139"/>
      <c r="G14" s="1139"/>
      <c r="H14" s="1139"/>
      <c r="I14" s="1139"/>
      <c r="J14" s="1139"/>
      <c r="K14" s="1139"/>
      <c r="L14" s="724">
        <f>L9+L13</f>
        <v>500000</v>
      </c>
      <c r="M14" s="649"/>
    </row>
    <row r="15" spans="1:14" ht="26.25" customHeight="1">
      <c r="N15" s="864"/>
    </row>
    <row r="16" spans="1:14" ht="26.25" hidden="1" customHeight="1"/>
    <row r="17" spans="1:16" ht="25.5" hidden="1" customHeight="1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/>
    <row r="23" spans="1:16" ht="20.100000000000001" hidden="1" customHeight="1">
      <c r="J23" s="682"/>
    </row>
    <row r="26" spans="1:16" ht="28.5" customHeight="1">
      <c r="A26" s="859" t="s">
        <v>0</v>
      </c>
      <c r="B26" s="860" t="s">
        <v>1</v>
      </c>
      <c r="C26" s="859" t="s">
        <v>2</v>
      </c>
      <c r="D26" s="859" t="s">
        <v>3</v>
      </c>
      <c r="E26" s="859" t="s">
        <v>4</v>
      </c>
      <c r="F26" s="859" t="s">
        <v>5</v>
      </c>
      <c r="G26" s="859" t="s">
        <v>6</v>
      </c>
      <c r="H26" s="861" t="s">
        <v>7</v>
      </c>
      <c r="I26" s="859" t="s">
        <v>8</v>
      </c>
      <c r="J26" s="859" t="s">
        <v>9</v>
      </c>
      <c r="K26" s="862" t="s">
        <v>10</v>
      </c>
      <c r="L26" s="859" t="s">
        <v>12</v>
      </c>
      <c r="M26" s="863" t="s">
        <v>63</v>
      </c>
      <c r="N26" s="1227"/>
    </row>
    <row r="27" spans="1:16" s="17" customFormat="1" ht="33" customHeight="1">
      <c r="A27" s="913" t="s">
        <v>7319</v>
      </c>
      <c r="B27" s="399">
        <v>46321</v>
      </c>
      <c r="C27" s="4" t="s">
        <v>21</v>
      </c>
      <c r="D27" s="4" t="s">
        <v>7425</v>
      </c>
      <c r="E27" s="919" t="s">
        <v>3280</v>
      </c>
      <c r="F27" s="917" t="s">
        <v>3635</v>
      </c>
      <c r="G27" s="16" t="s">
        <v>7426</v>
      </c>
      <c r="H27" s="919" t="s">
        <v>7427</v>
      </c>
      <c r="I27" s="917"/>
      <c r="J27" s="917" t="s">
        <v>7428</v>
      </c>
      <c r="K27" s="125" t="s">
        <v>7387</v>
      </c>
      <c r="L27" s="8">
        <v>1</v>
      </c>
      <c r="M27" s="8"/>
      <c r="N27" s="917"/>
      <c r="O27" s="1225"/>
      <c r="P27" s="917"/>
    </row>
    <row r="28" spans="1:16" s="17" customFormat="1" ht="33" customHeight="1">
      <c r="A28" s="914"/>
      <c r="B28" s="399">
        <v>46321</v>
      </c>
      <c r="C28" s="4" t="s">
        <v>21</v>
      </c>
      <c r="D28" s="4" t="s">
        <v>14</v>
      </c>
      <c r="E28" s="919" t="s">
        <v>7513</v>
      </c>
      <c r="F28" s="917" t="s">
        <v>2916</v>
      </c>
      <c r="G28" s="16" t="s">
        <v>2965</v>
      </c>
      <c r="H28" s="919" t="s">
        <v>7514</v>
      </c>
      <c r="I28" s="919" t="s">
        <v>7515</v>
      </c>
      <c r="J28" s="919" t="s">
        <v>7516</v>
      </c>
      <c r="K28" s="125" t="s">
        <v>15</v>
      </c>
      <c r="L28" s="8">
        <v>6</v>
      </c>
      <c r="M28" s="8"/>
      <c r="N28" s="917"/>
      <c r="O28" s="1225"/>
      <c r="P28" s="917"/>
    </row>
    <row r="29" spans="1:16" s="17" customFormat="1" ht="33" customHeight="1">
      <c r="A29" s="914"/>
      <c r="B29" s="399">
        <v>46321</v>
      </c>
      <c r="C29" s="4" t="s">
        <v>7443</v>
      </c>
      <c r="D29" s="4" t="s">
        <v>7444</v>
      </c>
      <c r="E29" s="919" t="s">
        <v>6551</v>
      </c>
      <c r="F29" s="917">
        <v>8262</v>
      </c>
      <c r="G29" s="16" t="s">
        <v>7445</v>
      </c>
      <c r="H29" s="919" t="s">
        <v>7541</v>
      </c>
      <c r="I29" s="917"/>
      <c r="J29" s="917" t="s">
        <v>7446</v>
      </c>
      <c r="K29" s="125" t="s">
        <v>15</v>
      </c>
      <c r="L29" s="8">
        <v>1</v>
      </c>
      <c r="M29" s="8"/>
      <c r="N29" s="917"/>
      <c r="O29" s="1225"/>
      <c r="P29" s="917"/>
    </row>
    <row r="30" spans="1:16" s="17" customFormat="1" ht="33" customHeight="1">
      <c r="A30" s="914"/>
      <c r="B30" s="399">
        <v>46321</v>
      </c>
      <c r="C30" s="4" t="s">
        <v>21</v>
      </c>
      <c r="D30" s="4" t="s">
        <v>14</v>
      </c>
      <c r="E30" s="917" t="s">
        <v>107</v>
      </c>
      <c r="F30" s="917" t="s">
        <v>7430</v>
      </c>
      <c r="G30" s="16" t="s">
        <v>143</v>
      </c>
      <c r="H30" s="919" t="s">
        <v>3607</v>
      </c>
      <c r="I30" s="917"/>
      <c r="J30" s="917" t="s">
        <v>3668</v>
      </c>
      <c r="K30" s="125" t="s">
        <v>15</v>
      </c>
      <c r="L30" s="8">
        <v>2</v>
      </c>
      <c r="M30" s="8"/>
      <c r="N30" s="917"/>
      <c r="O30" s="1225"/>
      <c r="P30" s="917"/>
    </row>
    <row r="31" spans="1:16" s="17" customFormat="1" ht="33" customHeight="1">
      <c r="A31" s="914"/>
      <c r="B31" s="399">
        <v>46321</v>
      </c>
      <c r="C31" s="4" t="s">
        <v>6707</v>
      </c>
      <c r="D31" s="4" t="s">
        <v>25</v>
      </c>
      <c r="E31" s="917" t="s">
        <v>6709</v>
      </c>
      <c r="F31" s="917">
        <v>7065</v>
      </c>
      <c r="G31" s="16" t="s">
        <v>145</v>
      </c>
      <c r="H31" s="919" t="s">
        <v>7538</v>
      </c>
      <c r="I31" s="917" t="s">
        <v>90</v>
      </c>
      <c r="J31" s="917"/>
      <c r="K31" s="277" t="s">
        <v>209</v>
      </c>
      <c r="L31" s="18" t="s">
        <v>209</v>
      </c>
      <c r="M31" s="18"/>
      <c r="N31" s="917"/>
      <c r="O31" s="1225"/>
      <c r="P31" s="917"/>
    </row>
    <row r="32" spans="1:16" s="17" customFormat="1" ht="33" customHeight="1">
      <c r="A32" s="914"/>
      <c r="B32" s="399">
        <v>46322</v>
      </c>
      <c r="C32" s="4" t="s">
        <v>21</v>
      </c>
      <c r="D32" s="4" t="s">
        <v>14</v>
      </c>
      <c r="E32" s="917" t="s">
        <v>107</v>
      </c>
      <c r="F32" s="917" t="s">
        <v>7430</v>
      </c>
      <c r="G32" s="16" t="s">
        <v>143</v>
      </c>
      <c r="H32" s="919" t="s">
        <v>271</v>
      </c>
      <c r="I32" s="917"/>
      <c r="J32" s="917" t="s">
        <v>3668</v>
      </c>
      <c r="K32" s="125" t="s">
        <v>15</v>
      </c>
      <c r="L32" s="8">
        <v>2</v>
      </c>
      <c r="M32" s="8"/>
      <c r="N32" s="917"/>
      <c r="O32" s="1225"/>
      <c r="P32" s="917"/>
    </row>
    <row r="33" spans="1:17" s="17" customFormat="1" ht="33" customHeight="1">
      <c r="A33" s="914"/>
      <c r="B33" s="399">
        <v>46322</v>
      </c>
      <c r="C33" s="4" t="s">
        <v>7443</v>
      </c>
      <c r="D33" s="4" t="s">
        <v>7444</v>
      </c>
      <c r="E33" s="919" t="s">
        <v>6551</v>
      </c>
      <c r="F33" s="917">
        <v>8263</v>
      </c>
      <c r="G33" s="16" t="s">
        <v>7445</v>
      </c>
      <c r="H33" s="919" t="s">
        <v>7541</v>
      </c>
      <c r="I33" s="917"/>
      <c r="J33" s="917" t="s">
        <v>7446</v>
      </c>
      <c r="K33" s="125" t="s">
        <v>15</v>
      </c>
      <c r="L33" s="8">
        <v>1</v>
      </c>
      <c r="M33" s="8"/>
      <c r="N33" s="917"/>
      <c r="O33" s="1225"/>
      <c r="P33" s="917"/>
    </row>
    <row r="34" spans="1:17" s="17" customFormat="1" ht="33" customHeight="1">
      <c r="A34" s="914"/>
      <c r="B34" s="399">
        <v>46322</v>
      </c>
      <c r="C34" s="4" t="s">
        <v>7452</v>
      </c>
      <c r="D34" s="4" t="s">
        <v>7453</v>
      </c>
      <c r="E34" s="919" t="s">
        <v>7279</v>
      </c>
      <c r="F34" s="917" t="s">
        <v>7451</v>
      </c>
      <c r="G34" s="16" t="s">
        <v>7393</v>
      </c>
      <c r="H34" s="919" t="s">
        <v>7454</v>
      </c>
      <c r="I34" s="917" t="s">
        <v>7408</v>
      </c>
      <c r="J34" s="917"/>
      <c r="K34" s="125" t="s">
        <v>15</v>
      </c>
      <c r="L34" s="8">
        <v>1</v>
      </c>
      <c r="M34" s="8"/>
      <c r="N34" s="917"/>
      <c r="O34" s="1225"/>
      <c r="P34" s="917"/>
    </row>
    <row r="35" spans="1:17" s="17" customFormat="1" ht="33" customHeight="1">
      <c r="A35" s="914"/>
      <c r="B35" s="399">
        <v>46322</v>
      </c>
      <c r="C35" s="4" t="s">
        <v>6707</v>
      </c>
      <c r="D35" s="4" t="s">
        <v>25</v>
      </c>
      <c r="E35" s="917" t="s">
        <v>6709</v>
      </c>
      <c r="F35" s="917">
        <v>7065</v>
      </c>
      <c r="G35" s="16" t="s">
        <v>145</v>
      </c>
      <c r="H35" s="919" t="s">
        <v>7538</v>
      </c>
      <c r="I35" s="917" t="s">
        <v>7033</v>
      </c>
      <c r="J35" s="917"/>
      <c r="K35" s="277" t="s">
        <v>209</v>
      </c>
      <c r="L35" s="18" t="s">
        <v>209</v>
      </c>
      <c r="M35" s="18"/>
      <c r="N35" s="917"/>
      <c r="O35" s="1225"/>
      <c r="P35" s="917"/>
    </row>
    <row r="36" spans="1:17" s="17" customFormat="1" ht="33" customHeight="1">
      <c r="A36" s="914"/>
      <c r="B36" s="399">
        <v>46323</v>
      </c>
      <c r="C36" s="4" t="s">
        <v>21</v>
      </c>
      <c r="D36" s="4" t="s">
        <v>14</v>
      </c>
      <c r="E36" s="917" t="s">
        <v>7429</v>
      </c>
      <c r="F36" s="917" t="s">
        <v>2959</v>
      </c>
      <c r="G36" s="16" t="s">
        <v>143</v>
      </c>
      <c r="H36" s="919" t="s">
        <v>7522</v>
      </c>
      <c r="I36" s="917" t="s">
        <v>7551</v>
      </c>
      <c r="J36" s="917" t="s">
        <v>7550</v>
      </c>
      <c r="K36" s="125" t="s">
        <v>15</v>
      </c>
      <c r="L36" s="8">
        <v>2</v>
      </c>
      <c r="M36" s="8"/>
      <c r="N36" s="917"/>
      <c r="O36" s="1225"/>
      <c r="P36" s="917"/>
    </row>
    <row r="37" spans="1:17" s="17" customFormat="1" ht="33" customHeight="1">
      <c r="A37" s="914"/>
      <c r="B37" s="399">
        <v>46323</v>
      </c>
      <c r="C37" s="4" t="s">
        <v>6707</v>
      </c>
      <c r="D37" s="4" t="s">
        <v>25</v>
      </c>
      <c r="E37" s="917" t="s">
        <v>6709</v>
      </c>
      <c r="F37" s="917">
        <v>7065</v>
      </c>
      <c r="G37" s="16" t="s">
        <v>145</v>
      </c>
      <c r="H37" s="919" t="s">
        <v>7538</v>
      </c>
      <c r="I37" s="917" t="s">
        <v>7552</v>
      </c>
      <c r="J37" s="917"/>
      <c r="K37" s="277" t="s">
        <v>209</v>
      </c>
      <c r="L37" s="18" t="s">
        <v>209</v>
      </c>
      <c r="M37" s="18"/>
      <c r="N37" s="918"/>
      <c r="O37" s="1226"/>
      <c r="P37" s="917"/>
    </row>
    <row r="38" spans="1:17" s="17" customFormat="1" ht="33" customHeight="1">
      <c r="A38" s="914"/>
      <c r="B38" s="399">
        <v>46323</v>
      </c>
      <c r="C38" s="4" t="s">
        <v>186</v>
      </c>
      <c r="D38" s="4" t="s">
        <v>7444</v>
      </c>
      <c r="E38" s="919" t="s">
        <v>6551</v>
      </c>
      <c r="F38" s="917" t="s">
        <v>7507</v>
      </c>
      <c r="G38" s="16" t="s">
        <v>2193</v>
      </c>
      <c r="H38" s="919" t="s">
        <v>7508</v>
      </c>
      <c r="I38" s="917" t="s">
        <v>7509</v>
      </c>
      <c r="J38" s="917"/>
      <c r="K38" s="125" t="s">
        <v>15</v>
      </c>
      <c r="L38" s="8">
        <v>2</v>
      </c>
      <c r="M38" s="8"/>
      <c r="N38" s="918"/>
      <c r="O38" s="1226"/>
      <c r="P38" s="917"/>
    </row>
    <row r="39" spans="1:17" s="17" customFormat="1" ht="33" customHeight="1">
      <c r="A39" s="914"/>
      <c r="B39" s="399">
        <v>46324</v>
      </c>
      <c r="C39" s="4" t="s">
        <v>6707</v>
      </c>
      <c r="D39" s="4" t="s">
        <v>25</v>
      </c>
      <c r="E39" s="917" t="s">
        <v>6709</v>
      </c>
      <c r="F39" s="917">
        <v>7065</v>
      </c>
      <c r="G39" s="16" t="s">
        <v>145</v>
      </c>
      <c r="H39" s="919" t="s">
        <v>7538</v>
      </c>
      <c r="I39" s="917" t="s">
        <v>7033</v>
      </c>
      <c r="J39" s="917"/>
      <c r="K39" s="277" t="s">
        <v>209</v>
      </c>
      <c r="L39" s="18" t="s">
        <v>209</v>
      </c>
      <c r="M39" s="18"/>
      <c r="N39" s="918" t="s">
        <v>90</v>
      </c>
      <c r="O39" s="1226"/>
      <c r="P39" s="917"/>
    </row>
    <row r="40" spans="1:17" s="17" customFormat="1" ht="33" customHeight="1">
      <c r="A40" s="914"/>
      <c r="B40" s="369">
        <v>46325</v>
      </c>
      <c r="C40" s="399">
        <v>46324</v>
      </c>
      <c r="D40" s="4" t="s">
        <v>6707</v>
      </c>
      <c r="E40" s="4" t="s">
        <v>25</v>
      </c>
      <c r="F40" s="917" t="s">
        <v>6709</v>
      </c>
      <c r="G40" s="917">
        <v>7065</v>
      </c>
      <c r="H40" s="16" t="s">
        <v>145</v>
      </c>
      <c r="I40" s="919" t="s">
        <v>7538</v>
      </c>
      <c r="J40" s="917" t="s">
        <v>7033</v>
      </c>
      <c r="K40" s="917"/>
      <c r="L40" s="277" t="s">
        <v>209</v>
      </c>
      <c r="M40" s="18"/>
      <c r="N40" s="918"/>
      <c r="O40" s="1226"/>
      <c r="P40" s="917"/>
    </row>
    <row r="41" spans="1:17" s="17" customFormat="1" ht="33" customHeight="1">
      <c r="A41" s="915"/>
      <c r="B41" s="369">
        <v>46325</v>
      </c>
      <c r="C41" s="4" t="s">
        <v>21</v>
      </c>
      <c r="D41" s="4" t="s">
        <v>7455</v>
      </c>
      <c r="E41" s="919" t="s">
        <v>7392</v>
      </c>
      <c r="F41" s="917" t="s">
        <v>3498</v>
      </c>
      <c r="G41" s="16" t="s">
        <v>23</v>
      </c>
      <c r="H41" s="919" t="s">
        <v>7554</v>
      </c>
      <c r="I41" s="917"/>
      <c r="J41" s="917" t="s">
        <v>7553</v>
      </c>
      <c r="K41" s="125" t="s">
        <v>15</v>
      </c>
      <c r="L41" s="18">
        <v>2</v>
      </c>
      <c r="M41" s="18"/>
      <c r="N41" s="918" t="s">
        <v>90</v>
      </c>
      <c r="O41" s="1226"/>
      <c r="P41" s="917"/>
      <c r="Q41" s="17" t="s">
        <v>7449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4:K14"/>
    <mergeCell ref="B13:K13"/>
    <mergeCell ref="A10:A13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6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6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6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6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6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6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6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6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6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6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6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6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6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6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6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6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56" t="s">
        <v>53</v>
      </c>
      <c r="B21" s="956"/>
      <c r="C21" s="956"/>
      <c r="D21" s="956"/>
      <c r="E21" s="956"/>
      <c r="F21" s="956"/>
      <c r="G21" s="956"/>
      <c r="H21" s="956"/>
      <c r="I21" s="95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66" t="s">
        <v>53</v>
      </c>
      <c r="B26" s="1167"/>
      <c r="C26" s="1167"/>
      <c r="D26" s="1167"/>
      <c r="E26" s="1167"/>
      <c r="F26" s="1167"/>
      <c r="G26" s="1167"/>
      <c r="H26" s="1167"/>
      <c r="I26" s="116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6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6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6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6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6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66" t="s">
        <v>53</v>
      </c>
      <c r="B35" s="1167"/>
      <c r="C35" s="1167"/>
      <c r="D35" s="1167"/>
      <c r="E35" s="1167"/>
      <c r="F35" s="1167"/>
      <c r="G35" s="1167"/>
      <c r="H35" s="1167"/>
      <c r="I35" s="116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6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6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6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66" t="s">
        <v>53</v>
      </c>
      <c r="B42" s="1167"/>
      <c r="C42" s="1167"/>
      <c r="D42" s="1167"/>
      <c r="E42" s="1167"/>
      <c r="F42" s="1167"/>
      <c r="G42" s="1167"/>
      <c r="H42" s="1167"/>
      <c r="I42" s="116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66" t="s">
        <v>53</v>
      </c>
      <c r="B48" s="1167"/>
      <c r="C48" s="1167"/>
      <c r="D48" s="1167"/>
      <c r="E48" s="1167"/>
      <c r="F48" s="1167"/>
      <c r="G48" s="1167"/>
      <c r="H48" s="1167"/>
      <c r="I48" s="116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6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6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66" t="s">
        <v>53</v>
      </c>
      <c r="B54" s="1167"/>
      <c r="C54" s="1167"/>
      <c r="D54" s="1167"/>
      <c r="E54" s="1167"/>
      <c r="F54" s="1167"/>
      <c r="G54" s="1167"/>
      <c r="H54" s="1167"/>
      <c r="I54" s="116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6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6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6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64"/>
      <c r="B61" s="119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64"/>
      <c r="B62" s="119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64"/>
      <c r="B63" s="119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66" t="s">
        <v>53</v>
      </c>
      <c r="B64" s="1167"/>
      <c r="C64" s="1167"/>
      <c r="D64" s="1167"/>
      <c r="E64" s="1167"/>
      <c r="F64" s="1167"/>
      <c r="G64" s="1167"/>
      <c r="H64" s="1167"/>
      <c r="I64" s="116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9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9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66" t="s">
        <v>53</v>
      </c>
      <c r="B70" s="1167"/>
      <c r="C70" s="1167"/>
      <c r="D70" s="1167"/>
      <c r="E70" s="1167"/>
      <c r="F70" s="1167"/>
      <c r="G70" s="1167"/>
      <c r="H70" s="1167"/>
      <c r="I70" s="116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6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6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56" t="s">
        <v>53</v>
      </c>
      <c r="B78" s="956"/>
      <c r="C78" s="956"/>
      <c r="D78" s="956"/>
      <c r="E78" s="956"/>
      <c r="F78" s="956"/>
      <c r="G78" s="956"/>
      <c r="H78" s="956"/>
      <c r="I78" s="95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6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6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6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6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66" t="s">
        <v>53</v>
      </c>
      <c r="B86" s="1167"/>
      <c r="C86" s="1167"/>
      <c r="D86" s="1167"/>
      <c r="E86" s="1167"/>
      <c r="F86" s="1167"/>
      <c r="G86" s="1167"/>
      <c r="H86" s="1167"/>
      <c r="I86" s="116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66" t="s">
        <v>53</v>
      </c>
      <c r="B92" s="1167"/>
      <c r="C92" s="1167"/>
      <c r="D92" s="1167"/>
      <c r="E92" s="1167"/>
      <c r="F92" s="1167"/>
      <c r="G92" s="1167"/>
      <c r="H92" s="1167"/>
      <c r="I92" s="116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6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6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6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6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66" t="s">
        <v>53</v>
      </c>
      <c r="B101" s="1167"/>
      <c r="C101" s="1167"/>
      <c r="D101" s="1167"/>
      <c r="E101" s="1167"/>
      <c r="F101" s="1167"/>
      <c r="G101" s="1167"/>
      <c r="H101" s="1167"/>
      <c r="I101" s="116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6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64"/>
      <c r="B107" s="119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64"/>
      <c r="B108" s="119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6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6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6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56" t="s">
        <v>53</v>
      </c>
      <c r="B112" s="956"/>
      <c r="C112" s="956"/>
      <c r="D112" s="956"/>
      <c r="E112" s="956"/>
      <c r="F112" s="956"/>
      <c r="G112" s="956"/>
      <c r="H112" s="956"/>
      <c r="I112" s="95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69" t="s">
        <v>954</v>
      </c>
      <c r="B119" s="99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0"/>
      <c r="B120" s="99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56" t="s">
        <v>53</v>
      </c>
      <c r="B121" s="956"/>
      <c r="C121" s="956"/>
      <c r="D121" s="956"/>
      <c r="E121" s="956"/>
      <c r="F121" s="956"/>
      <c r="G121" s="956"/>
      <c r="H121" s="956"/>
      <c r="I121" s="95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6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0"/>
      <c r="B129" s="119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93" t="s">
        <v>90</v>
      </c>
      <c r="J129" s="1181">
        <v>2</v>
      </c>
      <c r="K129" s="25" t="s">
        <v>52</v>
      </c>
      <c r="L129" s="25" t="s">
        <v>51</v>
      </c>
    </row>
    <row r="130" spans="1:12">
      <c r="A130" s="970"/>
      <c r="B130" s="119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93"/>
      <c r="J130" s="1182"/>
      <c r="K130" s="25" t="s">
        <v>52</v>
      </c>
      <c r="L130" s="25" t="s">
        <v>51</v>
      </c>
    </row>
    <row r="131" spans="1:12">
      <c r="A131" s="97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0"/>
      <c r="B133" s="106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1006" t="s">
        <v>1277</v>
      </c>
      <c r="J133" s="1181">
        <v>1</v>
      </c>
      <c r="K133" s="25" t="s">
        <v>52</v>
      </c>
      <c r="L133" s="25" t="s">
        <v>51</v>
      </c>
    </row>
    <row r="134" spans="1:12">
      <c r="A134" s="970"/>
      <c r="B134" s="106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76"/>
      <c r="J134" s="1182"/>
      <c r="K134" s="25" t="s">
        <v>52</v>
      </c>
      <c r="L134" s="25" t="s">
        <v>51</v>
      </c>
    </row>
    <row r="135" spans="1:12">
      <c r="A135" s="97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56" t="s">
        <v>53</v>
      </c>
      <c r="B137" s="956"/>
      <c r="C137" s="956"/>
      <c r="D137" s="956"/>
      <c r="E137" s="956"/>
      <c r="F137" s="956"/>
      <c r="G137" s="956"/>
      <c r="H137" s="956"/>
      <c r="I137" s="95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0" t="s">
        <v>1007</v>
      </c>
      <c r="B142" s="106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0"/>
      <c r="B143" s="106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56" t="s">
        <v>53</v>
      </c>
      <c r="B145" s="956"/>
      <c r="C145" s="956"/>
      <c r="D145" s="956"/>
      <c r="E145" s="956"/>
      <c r="F145" s="956"/>
      <c r="G145" s="956"/>
      <c r="H145" s="956"/>
      <c r="I145" s="95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8"/>
      <c r="B150" s="99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8"/>
      <c r="B151" s="99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47" t="s">
        <v>53</v>
      </c>
      <c r="B154" s="947"/>
      <c r="C154" s="947"/>
      <c r="D154" s="947"/>
      <c r="E154" s="947"/>
      <c r="F154" s="947"/>
      <c r="G154" s="947"/>
      <c r="H154" s="947"/>
      <c r="I154" s="947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6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56" t="s">
        <v>53</v>
      </c>
      <c r="B163" s="956"/>
      <c r="C163" s="956"/>
      <c r="D163" s="956"/>
      <c r="E163" s="956"/>
      <c r="F163" s="956"/>
      <c r="G163" s="956"/>
      <c r="H163" s="956"/>
      <c r="I163" s="95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47" t="s">
        <v>53</v>
      </c>
      <c r="B167" s="947"/>
      <c r="C167" s="947"/>
      <c r="D167" s="947"/>
      <c r="E167" s="947"/>
      <c r="F167" s="947"/>
      <c r="G167" s="947"/>
      <c r="H167" s="947"/>
      <c r="I167" s="947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6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56" t="s">
        <v>53</v>
      </c>
      <c r="B183" s="956"/>
      <c r="C183" s="956"/>
      <c r="D183" s="956"/>
      <c r="E183" s="956"/>
      <c r="F183" s="956"/>
      <c r="G183" s="956"/>
      <c r="H183" s="956"/>
      <c r="I183" s="95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19" t="s">
        <v>1061</v>
      </c>
      <c r="B189" s="99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20"/>
      <c r="B190" s="99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20"/>
      <c r="B191" s="99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20"/>
      <c r="B192" s="99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56" t="s">
        <v>53</v>
      </c>
      <c r="B193" s="956"/>
      <c r="C193" s="956"/>
      <c r="D193" s="956"/>
      <c r="E193" s="956"/>
      <c r="F193" s="956"/>
      <c r="G193" s="956"/>
      <c r="H193" s="956"/>
      <c r="I193" s="95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47" t="s">
        <v>53</v>
      </c>
      <c r="B203" s="947"/>
      <c r="C203" s="947"/>
      <c r="D203" s="947"/>
      <c r="E203" s="947"/>
      <c r="F203" s="947"/>
      <c r="G203" s="947"/>
      <c r="H203" s="947"/>
      <c r="I203" s="947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4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4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4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4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4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4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4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47" t="s">
        <v>53</v>
      </c>
      <c r="B214" s="947"/>
      <c r="C214" s="947"/>
      <c r="D214" s="947"/>
      <c r="E214" s="947"/>
      <c r="F214" s="947"/>
      <c r="G214" s="947"/>
      <c r="H214" s="947"/>
      <c r="I214" s="947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4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4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4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4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4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4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47" t="s">
        <v>1458</v>
      </c>
      <c r="B226" s="947"/>
      <c r="C226" s="947"/>
      <c r="D226" s="947"/>
      <c r="E226" s="947"/>
      <c r="F226" s="947"/>
      <c r="G226" s="947"/>
      <c r="H226" s="947"/>
      <c r="I226" s="947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4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4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4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4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4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4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4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47" t="s">
        <v>1499</v>
      </c>
      <c r="B236" s="947"/>
      <c r="C236" s="947"/>
      <c r="D236" s="947"/>
      <c r="E236" s="947"/>
      <c r="F236" s="947"/>
      <c r="G236" s="947"/>
      <c r="H236" s="947"/>
      <c r="I236" s="947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6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6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6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6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66" t="s">
        <v>53</v>
      </c>
      <c r="B244" s="1167"/>
      <c r="C244" s="1167"/>
      <c r="D244" s="1167"/>
      <c r="E244" s="1167"/>
      <c r="F244" s="1167"/>
      <c r="G244" s="1167"/>
      <c r="H244" s="1167"/>
      <c r="I244" s="116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6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6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6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66" t="s">
        <v>53</v>
      </c>
      <c r="B250" s="1167"/>
      <c r="C250" s="1167"/>
      <c r="D250" s="1167"/>
      <c r="E250" s="1167"/>
      <c r="F250" s="1167"/>
      <c r="G250" s="1167"/>
      <c r="H250" s="1167"/>
      <c r="I250" s="116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6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6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6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6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66" t="s">
        <v>53</v>
      </c>
      <c r="B257" s="1167"/>
      <c r="C257" s="1167"/>
      <c r="D257" s="1167"/>
      <c r="E257" s="1167"/>
      <c r="F257" s="1167"/>
      <c r="G257" s="1167"/>
      <c r="H257" s="1167"/>
      <c r="I257" s="116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66" t="s">
        <v>53</v>
      </c>
      <c r="B262" s="1167"/>
      <c r="C262" s="1167"/>
      <c r="D262" s="1167"/>
      <c r="E262" s="1167"/>
      <c r="F262" s="1167"/>
      <c r="G262" s="1167"/>
      <c r="H262" s="1167"/>
      <c r="I262" s="116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6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6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8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6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9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6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8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6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6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66" t="s">
        <v>53</v>
      </c>
      <c r="B271" s="1167"/>
      <c r="C271" s="1167"/>
      <c r="D271" s="1167"/>
      <c r="E271" s="1167"/>
      <c r="F271" s="1167"/>
      <c r="G271" s="1167"/>
      <c r="H271" s="1167"/>
      <c r="I271" s="116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66" t="s">
        <v>53</v>
      </c>
      <c r="B275" s="1167"/>
      <c r="C275" s="1167"/>
      <c r="D275" s="1167"/>
      <c r="E275" s="1167"/>
      <c r="F275" s="1167"/>
      <c r="G275" s="1167"/>
      <c r="H275" s="1167"/>
      <c r="I275" s="116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8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8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8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8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8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9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9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9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9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9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9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9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9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66" t="s">
        <v>1646</v>
      </c>
      <c r="B296" s="1167"/>
      <c r="C296" s="1167"/>
      <c r="D296" s="1167"/>
      <c r="E296" s="1167"/>
      <c r="F296" s="1167"/>
      <c r="G296" s="1167"/>
      <c r="H296" s="1167"/>
      <c r="I296" s="1167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4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4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4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4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47" t="s">
        <v>1659</v>
      </c>
      <c r="B305" s="947"/>
      <c r="C305" s="947"/>
      <c r="D305" s="947"/>
      <c r="E305" s="947"/>
      <c r="F305" s="947"/>
      <c r="G305" s="947"/>
      <c r="H305" s="947"/>
      <c r="I305" s="947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47" t="s">
        <v>53</v>
      </c>
      <c r="B309" s="947"/>
      <c r="C309" s="947"/>
      <c r="D309" s="947"/>
      <c r="E309" s="947"/>
      <c r="F309" s="947"/>
      <c r="G309" s="947"/>
      <c r="H309" s="947"/>
      <c r="I309" s="947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4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4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47" t="s">
        <v>1659</v>
      </c>
      <c r="B314" s="947"/>
      <c r="C314" s="947"/>
      <c r="D314" s="947"/>
      <c r="E314" s="947"/>
      <c r="F314" s="947"/>
      <c r="G314" s="947"/>
      <c r="H314" s="947"/>
      <c r="I314" s="947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4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4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4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47" t="s">
        <v>1659</v>
      </c>
      <c r="B321" s="947"/>
      <c r="C321" s="947"/>
      <c r="D321" s="947"/>
      <c r="E321" s="947"/>
      <c r="F321" s="947"/>
      <c r="G321" s="947"/>
      <c r="H321" s="947"/>
      <c r="I321" s="947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4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4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4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4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4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47" t="s">
        <v>1659</v>
      </c>
      <c r="B330" s="947"/>
      <c r="C330" s="947"/>
      <c r="D330" s="947"/>
      <c r="E330" s="947"/>
      <c r="F330" s="947"/>
      <c r="G330" s="947"/>
      <c r="H330" s="947"/>
      <c r="I330" s="947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8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8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8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8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8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47" t="s">
        <v>1659</v>
      </c>
      <c r="B338" s="947"/>
      <c r="C338" s="947"/>
      <c r="D338" s="947"/>
      <c r="E338" s="947"/>
      <c r="F338" s="947"/>
      <c r="G338" s="947"/>
      <c r="H338" s="947"/>
      <c r="I338" s="947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203" t="s">
        <v>1521</v>
      </c>
      <c r="B343" s="128" t="s">
        <v>1531</v>
      </c>
      <c r="C343" s="1101" t="s">
        <v>306</v>
      </c>
      <c r="D343" s="1101" t="s">
        <v>322</v>
      </c>
      <c r="E343" s="975" t="s">
        <v>307</v>
      </c>
      <c r="F343" s="1206">
        <v>4266</v>
      </c>
      <c r="G343" s="1101" t="s">
        <v>640</v>
      </c>
      <c r="H343" s="1206" t="s">
        <v>1533</v>
      </c>
      <c r="I343" s="1101" t="s">
        <v>1534</v>
      </c>
      <c r="J343" s="975">
        <v>2</v>
      </c>
      <c r="K343" s="1163" t="s">
        <v>50</v>
      </c>
      <c r="L343" s="1163" t="s">
        <v>51</v>
      </c>
    </row>
    <row r="344" spans="1:13">
      <c r="A344" s="1204"/>
      <c r="B344" s="129" t="s">
        <v>1532</v>
      </c>
      <c r="C344" s="976"/>
      <c r="D344" s="976"/>
      <c r="E344" s="976"/>
      <c r="F344" s="978"/>
      <c r="G344" s="976"/>
      <c r="H344" s="978"/>
      <c r="I344" s="976"/>
      <c r="J344" s="976"/>
      <c r="K344" s="1165"/>
      <c r="L344" s="1165"/>
    </row>
    <row r="345" spans="1:13">
      <c r="A345" s="1204"/>
      <c r="B345" s="128" t="s">
        <v>1536</v>
      </c>
      <c r="C345" s="975" t="s">
        <v>306</v>
      </c>
      <c r="D345" s="975" t="s">
        <v>322</v>
      </c>
      <c r="E345" s="975" t="s">
        <v>307</v>
      </c>
      <c r="F345" s="977">
        <v>3306</v>
      </c>
      <c r="G345" s="975" t="s">
        <v>1153</v>
      </c>
      <c r="H345" s="977" t="s">
        <v>1538</v>
      </c>
      <c r="I345" s="975" t="s">
        <v>1534</v>
      </c>
      <c r="J345" s="975">
        <v>2</v>
      </c>
      <c r="K345" s="1163" t="s">
        <v>50</v>
      </c>
      <c r="L345" s="1163" t="s">
        <v>51</v>
      </c>
    </row>
    <row r="346" spans="1:13">
      <c r="A346" s="1205"/>
      <c r="B346" s="129" t="s">
        <v>1537</v>
      </c>
      <c r="C346" s="976"/>
      <c r="D346" s="976"/>
      <c r="E346" s="976"/>
      <c r="F346" s="978"/>
      <c r="G346" s="976"/>
      <c r="H346" s="978"/>
      <c r="I346" s="976"/>
      <c r="J346" s="976"/>
      <c r="K346" s="1165"/>
      <c r="L346" s="1165"/>
    </row>
    <row r="347" spans="1:13">
      <c r="A347" s="1166" t="s">
        <v>53</v>
      </c>
      <c r="B347" s="1167"/>
      <c r="C347" s="1167"/>
      <c r="D347" s="1167"/>
      <c r="E347" s="1167"/>
      <c r="F347" s="1167"/>
      <c r="G347" s="1167"/>
      <c r="H347" s="1167"/>
      <c r="I347" s="116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6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56" t="s">
        <v>53</v>
      </c>
      <c r="B357" s="956"/>
      <c r="C357" s="956"/>
      <c r="D357" s="956"/>
      <c r="E357" s="956"/>
      <c r="F357" s="956"/>
      <c r="G357" s="956"/>
      <c r="H357" s="956"/>
      <c r="I357" s="956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47" t="s">
        <v>1458</v>
      </c>
      <c r="B361" s="947"/>
      <c r="C361" s="947"/>
      <c r="D361" s="947"/>
      <c r="E361" s="947"/>
      <c r="F361" s="947"/>
      <c r="G361" s="947"/>
      <c r="H361" s="947"/>
      <c r="I361" s="947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4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4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4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4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4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47" t="s">
        <v>1659</v>
      </c>
      <c r="B370" s="947"/>
      <c r="C370" s="947"/>
      <c r="D370" s="947"/>
      <c r="E370" s="947"/>
      <c r="F370" s="947"/>
      <c r="G370" s="947"/>
      <c r="H370" s="947"/>
      <c r="I370" s="947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8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8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8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8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8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56" t="s">
        <v>1646</v>
      </c>
      <c r="B378" s="956"/>
      <c r="C378" s="956"/>
      <c r="D378" s="956"/>
      <c r="E378" s="956"/>
      <c r="F378" s="956"/>
      <c r="G378" s="956"/>
      <c r="H378" s="956"/>
      <c r="I378" s="956"/>
      <c r="J378" s="956"/>
      <c r="K378" s="4">
        <v>25</v>
      </c>
      <c r="L378" s="55"/>
    </row>
    <row r="381" spans="1:12">
      <c r="B381" s="1186" t="s">
        <v>1</v>
      </c>
      <c r="C381" s="1186" t="s">
        <v>2</v>
      </c>
      <c r="D381" s="1186" t="s">
        <v>3</v>
      </c>
      <c r="E381" s="36" t="s">
        <v>54</v>
      </c>
      <c r="F381" s="1186" t="s">
        <v>5</v>
      </c>
      <c r="G381" s="1186" t="s">
        <v>6</v>
      </c>
      <c r="H381" s="1186" t="s">
        <v>7</v>
      </c>
      <c r="I381" s="1186" t="s">
        <v>55</v>
      </c>
      <c r="J381" s="1186" t="s">
        <v>9</v>
      </c>
      <c r="K381" s="1188" t="s">
        <v>56</v>
      </c>
      <c r="L381" s="1186" t="s">
        <v>57</v>
      </c>
    </row>
    <row r="382" spans="1:12">
      <c r="B382" s="1187"/>
      <c r="C382" s="1187"/>
      <c r="D382" s="1187"/>
      <c r="E382" s="37" t="s">
        <v>59</v>
      </c>
      <c r="F382" s="1187"/>
      <c r="G382" s="1187"/>
      <c r="H382" s="1187"/>
      <c r="I382" s="1187"/>
      <c r="J382" s="1187"/>
      <c r="K382" s="1189"/>
      <c r="L382" s="118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47" t="s">
        <v>53</v>
      </c>
      <c r="B394" s="947"/>
      <c r="C394" s="947"/>
      <c r="D394" s="947"/>
      <c r="E394" s="947"/>
      <c r="F394" s="947"/>
      <c r="G394" s="947"/>
      <c r="H394" s="947"/>
      <c r="I394" s="947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8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8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8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8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47" t="s">
        <v>53</v>
      </c>
      <c r="B401" s="947"/>
      <c r="C401" s="947"/>
      <c r="D401" s="947"/>
      <c r="E401" s="947"/>
      <c r="F401" s="947"/>
      <c r="G401" s="947"/>
      <c r="H401" s="947"/>
      <c r="I401" s="947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78" t="s">
        <v>229</v>
      </c>
      <c r="B405" s="1174" t="s">
        <v>1805</v>
      </c>
      <c r="C405" s="1174" t="s">
        <v>700</v>
      </c>
      <c r="D405" s="1170" t="s">
        <v>675</v>
      </c>
      <c r="E405" s="1174" t="s">
        <v>1806</v>
      </c>
      <c r="F405" s="1174" t="s">
        <v>1807</v>
      </c>
      <c r="G405" s="1174" t="s">
        <v>662</v>
      </c>
      <c r="H405" s="1175" t="s">
        <v>1808</v>
      </c>
      <c r="I405" s="1170"/>
      <c r="J405" s="1175">
        <v>1</v>
      </c>
      <c r="K405" s="1163" t="s">
        <v>631</v>
      </c>
      <c r="L405" s="982" t="s">
        <v>51</v>
      </c>
    </row>
    <row r="406" spans="1:12" ht="13.5" customHeight="1">
      <c r="A406" s="1178"/>
      <c r="B406" s="1174"/>
      <c r="C406" s="1174"/>
      <c r="D406" s="1170"/>
      <c r="E406" s="1174"/>
      <c r="F406" s="1174"/>
      <c r="G406" s="1174"/>
      <c r="H406" s="1175"/>
      <c r="I406" s="1170"/>
      <c r="J406" s="1175"/>
      <c r="K406" s="1165"/>
      <c r="L406" s="984"/>
    </row>
    <row r="407" spans="1:12" ht="27" customHeight="1">
      <c r="A407" s="117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7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78" t="s">
        <v>1646</v>
      </c>
      <c r="B409" s="1178"/>
      <c r="C409" s="1178"/>
      <c r="D409" s="1178"/>
      <c r="E409" s="1178"/>
      <c r="F409" s="1178"/>
      <c r="G409" s="1178"/>
      <c r="H409" s="1178"/>
      <c r="I409" s="117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78" t="s">
        <v>2008</v>
      </c>
      <c r="B412" s="1183" t="s">
        <v>2009</v>
      </c>
      <c r="C412" s="1163" t="s">
        <v>21</v>
      </c>
      <c r="D412" s="1058" t="s">
        <v>14</v>
      </c>
      <c r="E412" s="1163" t="s">
        <v>78</v>
      </c>
      <c r="F412" s="1174" t="s">
        <v>2010</v>
      </c>
      <c r="G412" s="1174" t="s">
        <v>40</v>
      </c>
      <c r="H412" s="1175" t="s">
        <v>614</v>
      </c>
      <c r="I412" s="1170"/>
      <c r="J412" s="1175">
        <v>1</v>
      </c>
      <c r="K412" s="1163" t="s">
        <v>2011</v>
      </c>
      <c r="L412" s="982" t="s">
        <v>1997</v>
      </c>
    </row>
    <row r="413" spans="1:12" ht="20.100000000000001" customHeight="1">
      <c r="A413" s="1178"/>
      <c r="B413" s="1174"/>
      <c r="C413" s="1165"/>
      <c r="D413" s="1060"/>
      <c r="E413" s="1165"/>
      <c r="F413" s="1174"/>
      <c r="G413" s="1174"/>
      <c r="H413" s="1175"/>
      <c r="I413" s="1170"/>
      <c r="J413" s="1175"/>
      <c r="K413" s="1165"/>
      <c r="L413" s="984"/>
    </row>
    <row r="414" spans="1:12" ht="20.100000000000001" customHeight="1">
      <c r="A414" s="1178" t="s">
        <v>1646</v>
      </c>
      <c r="B414" s="1178"/>
      <c r="C414" s="1178"/>
      <c r="D414" s="1178"/>
      <c r="E414" s="1178"/>
      <c r="F414" s="1178"/>
      <c r="G414" s="1178"/>
      <c r="H414" s="1178"/>
      <c r="I414" s="117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8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83"/>
      <c r="B418" s="78" t="s">
        <v>1748</v>
      </c>
      <c r="C418" s="1170" t="s">
        <v>306</v>
      </c>
      <c r="D418" s="1170" t="s">
        <v>322</v>
      </c>
      <c r="E418" s="1170" t="s">
        <v>307</v>
      </c>
      <c r="F418" s="1175">
        <v>3306</v>
      </c>
      <c r="G418" s="1170" t="s">
        <v>1153</v>
      </c>
      <c r="H418" s="1175" t="s">
        <v>1749</v>
      </c>
      <c r="I418" s="1170" t="s">
        <v>664</v>
      </c>
      <c r="J418" s="1170">
        <v>4</v>
      </c>
      <c r="K418" s="1163" t="s">
        <v>631</v>
      </c>
      <c r="L418" s="982" t="s">
        <v>51</v>
      </c>
    </row>
    <row r="419" spans="1:12" ht="13.5" customHeight="1">
      <c r="A419" s="983"/>
      <c r="B419" s="79" t="s">
        <v>1751</v>
      </c>
      <c r="C419" s="1170"/>
      <c r="D419" s="1170"/>
      <c r="E419" s="1170"/>
      <c r="F419" s="1175"/>
      <c r="G419" s="1170"/>
      <c r="H419" s="1175"/>
      <c r="I419" s="1170"/>
      <c r="J419" s="1170"/>
      <c r="K419" s="1165"/>
      <c r="L419" s="984"/>
    </row>
    <row r="420" spans="1:12" ht="13.5" customHeight="1">
      <c r="A420" s="983"/>
      <c r="B420" s="78" t="s">
        <v>1800</v>
      </c>
      <c r="C420" s="1170" t="s">
        <v>306</v>
      </c>
      <c r="D420" s="1170" t="s">
        <v>322</v>
      </c>
      <c r="E420" s="1170" t="s">
        <v>307</v>
      </c>
      <c r="F420" s="1175" t="s">
        <v>1801</v>
      </c>
      <c r="G420" s="1170" t="s">
        <v>1802</v>
      </c>
      <c r="H420" s="1175" t="s">
        <v>1803</v>
      </c>
      <c r="I420" s="1170" t="s">
        <v>664</v>
      </c>
      <c r="J420" s="1170">
        <v>5</v>
      </c>
      <c r="K420" s="1163" t="s">
        <v>631</v>
      </c>
      <c r="L420" s="982" t="s">
        <v>51</v>
      </c>
    </row>
    <row r="421" spans="1:12" ht="13.5" customHeight="1">
      <c r="A421" s="983"/>
      <c r="B421" s="79" t="s">
        <v>1795</v>
      </c>
      <c r="C421" s="1170"/>
      <c r="D421" s="1170"/>
      <c r="E421" s="1170"/>
      <c r="F421" s="1175"/>
      <c r="G421" s="1170"/>
      <c r="H421" s="1175"/>
      <c r="I421" s="1170"/>
      <c r="J421" s="1170"/>
      <c r="K421" s="1165"/>
      <c r="L421" s="984"/>
    </row>
    <row r="422" spans="1:12" ht="27" customHeight="1">
      <c r="A422" s="98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78" t="s">
        <v>1646</v>
      </c>
      <c r="B423" s="1178"/>
      <c r="C423" s="1178"/>
      <c r="D423" s="1178"/>
      <c r="E423" s="1178"/>
      <c r="F423" s="1178"/>
      <c r="G423" s="1178"/>
      <c r="H423" s="1178"/>
      <c r="I423" s="117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3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4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4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4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47" t="s">
        <v>1646</v>
      </c>
      <c r="B431" s="947"/>
      <c r="C431" s="947"/>
      <c r="D431" s="947"/>
      <c r="E431" s="947"/>
      <c r="F431" s="947"/>
      <c r="G431" s="947"/>
      <c r="H431" s="947"/>
      <c r="I431" s="947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4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3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47" t="s">
        <v>1646</v>
      </c>
      <c r="B435" s="947"/>
      <c r="C435" s="947"/>
      <c r="D435" s="947"/>
      <c r="E435" s="947"/>
      <c r="F435" s="947"/>
      <c r="G435" s="947"/>
      <c r="H435" s="947"/>
      <c r="I435" s="947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97" t="s">
        <v>2027</v>
      </c>
      <c r="B438" s="252" t="s">
        <v>1760</v>
      </c>
      <c r="C438" s="1063" t="s">
        <v>306</v>
      </c>
      <c r="D438" s="1063" t="s">
        <v>322</v>
      </c>
      <c r="E438" s="1063" t="s">
        <v>307</v>
      </c>
      <c r="F438" s="1179" t="s">
        <v>1761</v>
      </c>
      <c r="G438" s="1063" t="s">
        <v>329</v>
      </c>
      <c r="H438" s="1181" t="s">
        <v>1762</v>
      </c>
      <c r="I438" s="1046" t="s">
        <v>664</v>
      </c>
      <c r="J438" s="1176">
        <v>2</v>
      </c>
      <c r="K438" s="1163" t="s">
        <v>1996</v>
      </c>
      <c r="L438" s="1163" t="s">
        <v>51</v>
      </c>
    </row>
    <row r="439" spans="1:12" ht="13.5" customHeight="1">
      <c r="A439" s="998"/>
      <c r="B439" s="253" t="s">
        <v>2028</v>
      </c>
      <c r="C439" s="1064"/>
      <c r="D439" s="1064"/>
      <c r="E439" s="1064"/>
      <c r="F439" s="1180"/>
      <c r="G439" s="1064"/>
      <c r="H439" s="1182"/>
      <c r="I439" s="1047"/>
      <c r="J439" s="1177"/>
      <c r="K439" s="1165"/>
      <c r="L439" s="1165"/>
    </row>
    <row r="440" spans="1:12" ht="13.5" customHeight="1">
      <c r="A440" s="998"/>
      <c r="B440" s="254" t="s">
        <v>1794</v>
      </c>
      <c r="C440" s="958" t="s">
        <v>306</v>
      </c>
      <c r="D440" s="958" t="s">
        <v>322</v>
      </c>
      <c r="E440" s="958" t="s">
        <v>307</v>
      </c>
      <c r="F440" s="957" t="s">
        <v>1796</v>
      </c>
      <c r="G440" s="958" t="s">
        <v>1797</v>
      </c>
      <c r="H440" s="957" t="s">
        <v>1792</v>
      </c>
      <c r="I440" s="958" t="s">
        <v>664</v>
      </c>
      <c r="J440" s="975">
        <v>4</v>
      </c>
      <c r="K440" s="1163" t="s">
        <v>631</v>
      </c>
      <c r="L440" s="1163" t="s">
        <v>1997</v>
      </c>
    </row>
    <row r="441" spans="1:12" ht="13.5" customHeight="1">
      <c r="A441" s="998"/>
      <c r="B441" s="255" t="s">
        <v>1795</v>
      </c>
      <c r="C441" s="958"/>
      <c r="D441" s="958"/>
      <c r="E441" s="958"/>
      <c r="F441" s="957"/>
      <c r="G441" s="958"/>
      <c r="H441" s="957"/>
      <c r="I441" s="958"/>
      <c r="J441" s="976"/>
      <c r="K441" s="1165"/>
      <c r="L441" s="1165"/>
    </row>
    <row r="442" spans="1:12" ht="20.100000000000001" customHeight="1">
      <c r="A442" s="99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9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9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9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9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9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9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9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66" t="s">
        <v>1646</v>
      </c>
      <c r="B450" s="1167"/>
      <c r="C450" s="1167"/>
      <c r="D450" s="1167"/>
      <c r="E450" s="1167"/>
      <c r="F450" s="1167"/>
      <c r="G450" s="1167"/>
      <c r="H450" s="1167"/>
      <c r="I450" s="1167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6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56" t="s">
        <v>2059</v>
      </c>
      <c r="B459" s="956"/>
      <c r="C459" s="956"/>
      <c r="D459" s="956"/>
      <c r="E459" s="956"/>
      <c r="F459" s="956"/>
      <c r="G459" s="956"/>
      <c r="H459" s="956"/>
      <c r="I459" s="956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3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49"/>
      <c r="B463" s="1171" t="s">
        <v>1767</v>
      </c>
      <c r="C463" s="1172" t="s">
        <v>311</v>
      </c>
      <c r="D463" s="1172" t="s">
        <v>320</v>
      </c>
      <c r="E463" s="1172" t="s">
        <v>709</v>
      </c>
      <c r="F463" s="1172" t="s">
        <v>1768</v>
      </c>
      <c r="G463" s="1171" t="s">
        <v>1769</v>
      </c>
      <c r="H463" s="258" t="s">
        <v>1770</v>
      </c>
      <c r="I463" s="1172"/>
      <c r="J463" s="1172">
        <v>1</v>
      </c>
      <c r="K463" s="1058" t="s">
        <v>631</v>
      </c>
      <c r="L463" s="1090" t="s">
        <v>51</v>
      </c>
    </row>
    <row r="464" spans="1:12" ht="13.5" customHeight="1">
      <c r="A464" s="949"/>
      <c r="B464" s="1171"/>
      <c r="C464" s="1172"/>
      <c r="D464" s="1172"/>
      <c r="E464" s="1172"/>
      <c r="F464" s="1172"/>
      <c r="G464" s="1171"/>
      <c r="H464" s="259" t="s">
        <v>1773</v>
      </c>
      <c r="I464" s="1172"/>
      <c r="J464" s="1172"/>
      <c r="K464" s="1060"/>
      <c r="L464" s="1091"/>
    </row>
    <row r="465" spans="1:12" ht="13.5" customHeight="1">
      <c r="A465" s="949"/>
      <c r="B465" s="1173" t="s">
        <v>1813</v>
      </c>
      <c r="C465" s="1174" t="s">
        <v>700</v>
      </c>
      <c r="D465" s="1170" t="s">
        <v>320</v>
      </c>
      <c r="E465" s="1170" t="s">
        <v>337</v>
      </c>
      <c r="F465" s="1174" t="s">
        <v>353</v>
      </c>
      <c r="G465" s="1174" t="s">
        <v>1814</v>
      </c>
      <c r="H465" s="1175" t="s">
        <v>1815</v>
      </c>
      <c r="I465" s="1170" t="s">
        <v>638</v>
      </c>
      <c r="J465" s="1175">
        <v>2</v>
      </c>
      <c r="K465" s="1163" t="s">
        <v>631</v>
      </c>
      <c r="L465" s="1163" t="s">
        <v>51</v>
      </c>
    </row>
    <row r="466" spans="1:12" ht="13.5" customHeight="1">
      <c r="A466" s="949"/>
      <c r="B466" s="1173"/>
      <c r="C466" s="1174"/>
      <c r="D466" s="1170"/>
      <c r="E466" s="1170"/>
      <c r="F466" s="1174"/>
      <c r="G466" s="1174"/>
      <c r="H466" s="1175"/>
      <c r="I466" s="1170"/>
      <c r="J466" s="1175"/>
      <c r="K466" s="1165"/>
      <c r="L466" s="1165"/>
    </row>
    <row r="467" spans="1:12" ht="27" customHeight="1">
      <c r="A467" s="94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49"/>
      <c r="B468" s="1174" t="s">
        <v>1820</v>
      </c>
      <c r="C468" s="1174" t="s">
        <v>700</v>
      </c>
      <c r="D468" s="1170" t="s">
        <v>320</v>
      </c>
      <c r="E468" s="1170" t="s">
        <v>709</v>
      </c>
      <c r="F468" s="1170" t="s">
        <v>1768</v>
      </c>
      <c r="G468" s="1174" t="s">
        <v>1821</v>
      </c>
      <c r="H468" s="261" t="s">
        <v>1822</v>
      </c>
      <c r="I468" s="1170" t="s">
        <v>638</v>
      </c>
      <c r="J468" s="1170">
        <v>2</v>
      </c>
      <c r="K468" s="1163" t="s">
        <v>631</v>
      </c>
      <c r="L468" s="1163" t="s">
        <v>51</v>
      </c>
    </row>
    <row r="469" spans="1:12" ht="13.5" customHeight="1">
      <c r="A469" s="949"/>
      <c r="B469" s="1174"/>
      <c r="C469" s="1174"/>
      <c r="D469" s="1170"/>
      <c r="E469" s="1170"/>
      <c r="F469" s="1170"/>
      <c r="G469" s="1174"/>
      <c r="H469" s="262" t="s">
        <v>1823</v>
      </c>
      <c r="I469" s="1170"/>
      <c r="J469" s="1170"/>
      <c r="K469" s="1165"/>
      <c r="L469" s="1165"/>
    </row>
    <row r="470" spans="1:12" ht="27" customHeight="1">
      <c r="A470" s="94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3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47" t="s">
        <v>53</v>
      </c>
      <c r="B472" s="947"/>
      <c r="C472" s="947"/>
      <c r="D472" s="947"/>
      <c r="E472" s="947"/>
      <c r="F472" s="947"/>
      <c r="G472" s="947"/>
      <c r="H472" s="947"/>
      <c r="I472" s="947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47" t="s">
        <v>228</v>
      </c>
      <c r="B476" s="1171" t="s">
        <v>1767</v>
      </c>
      <c r="C476" s="1172" t="s">
        <v>311</v>
      </c>
      <c r="D476" s="1172" t="s">
        <v>320</v>
      </c>
      <c r="E476" s="1172" t="s">
        <v>709</v>
      </c>
      <c r="F476" s="1172" t="s">
        <v>1768</v>
      </c>
      <c r="G476" s="1171" t="s">
        <v>1769</v>
      </c>
      <c r="H476" s="258" t="s">
        <v>1770</v>
      </c>
      <c r="I476" s="1172"/>
      <c r="J476" s="1172">
        <v>1</v>
      </c>
      <c r="K476" s="1058" t="s">
        <v>631</v>
      </c>
      <c r="L476" s="1090" t="s">
        <v>51</v>
      </c>
    </row>
    <row r="477" spans="1:12" ht="13.5" customHeight="1">
      <c r="A477" s="947"/>
      <c r="B477" s="1171"/>
      <c r="C477" s="1172"/>
      <c r="D477" s="1172"/>
      <c r="E477" s="1172"/>
      <c r="F477" s="1172"/>
      <c r="G477" s="1171"/>
      <c r="H477" s="259" t="s">
        <v>1773</v>
      </c>
      <c r="I477" s="1172"/>
      <c r="J477" s="1172"/>
      <c r="K477" s="1060"/>
      <c r="L477" s="1091"/>
    </row>
    <row r="478" spans="1:12" ht="27" customHeight="1">
      <c r="A478" s="94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47" t="s">
        <v>1646</v>
      </c>
      <c r="B479" s="947"/>
      <c r="C479" s="947"/>
      <c r="D479" s="947"/>
      <c r="E479" s="947"/>
      <c r="F479" s="947"/>
      <c r="G479" s="947"/>
      <c r="H479" s="947"/>
      <c r="I479" s="947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6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6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6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6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6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66" t="s">
        <v>53</v>
      </c>
      <c r="B487" s="1167"/>
      <c r="C487" s="1167"/>
      <c r="D487" s="1167"/>
      <c r="E487" s="1167"/>
      <c r="F487" s="1167"/>
      <c r="G487" s="1167"/>
      <c r="H487" s="1167"/>
      <c r="I487" s="116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6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62"/>
      <c r="B494" s="1160" t="s">
        <v>2182</v>
      </c>
      <c r="C494" s="1160" t="s">
        <v>306</v>
      </c>
      <c r="D494" s="1160" t="s">
        <v>322</v>
      </c>
      <c r="E494" s="1160" t="s">
        <v>307</v>
      </c>
      <c r="F494" s="1169" t="s">
        <v>1919</v>
      </c>
      <c r="G494" s="1160" t="s">
        <v>662</v>
      </c>
      <c r="H494" s="1169" t="s">
        <v>1920</v>
      </c>
      <c r="I494" s="1160" t="s">
        <v>349</v>
      </c>
      <c r="J494" s="1160">
        <v>2</v>
      </c>
      <c r="K494" s="1174" t="s">
        <v>50</v>
      </c>
      <c r="L494" s="222">
        <v>23</v>
      </c>
    </row>
    <row r="495" spans="1:12" ht="12.6" customHeight="1">
      <c r="A495" s="1162"/>
      <c r="B495" s="1160"/>
      <c r="C495" s="1160"/>
      <c r="D495" s="1160"/>
      <c r="E495" s="1160"/>
      <c r="F495" s="1169"/>
      <c r="G495" s="1160"/>
      <c r="H495" s="1169"/>
      <c r="I495" s="1160"/>
      <c r="J495" s="1160"/>
      <c r="K495" s="1174"/>
    </row>
    <row r="496" spans="1:12" ht="24.95" customHeight="1">
      <c r="A496" s="116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6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6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6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47" t="s">
        <v>53</v>
      </c>
      <c r="B500" s="947"/>
      <c r="C500" s="947"/>
      <c r="D500" s="947"/>
      <c r="E500" s="947"/>
      <c r="F500" s="947"/>
      <c r="G500" s="947"/>
      <c r="H500" s="947"/>
      <c r="I500" s="947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5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5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5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5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5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47" t="s">
        <v>2217</v>
      </c>
      <c r="B511" s="947"/>
      <c r="C511" s="947"/>
      <c r="D511" s="947"/>
      <c r="E511" s="947"/>
      <c r="F511" s="947"/>
      <c r="G511" s="947"/>
      <c r="H511" s="947"/>
      <c r="I511" s="947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5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5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5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5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5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5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5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56" t="s">
        <v>2233</v>
      </c>
      <c r="B522" s="956"/>
      <c r="C522" s="956"/>
      <c r="D522" s="956"/>
      <c r="E522" s="956"/>
      <c r="F522" s="956"/>
      <c r="G522" s="956"/>
      <c r="H522" s="956"/>
      <c r="I522" s="956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47" t="s">
        <v>2238</v>
      </c>
      <c r="B528" s="947"/>
      <c r="C528" s="947"/>
      <c r="D528" s="947"/>
      <c r="E528" s="947"/>
      <c r="F528" s="947"/>
      <c r="G528" s="947"/>
      <c r="H528" s="947"/>
      <c r="I528" s="947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5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5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5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47" t="s">
        <v>2233</v>
      </c>
      <c r="B535" s="947"/>
      <c r="C535" s="947"/>
      <c r="D535" s="947"/>
      <c r="E535" s="947"/>
      <c r="F535" s="947"/>
      <c r="G535" s="947"/>
      <c r="H535" s="947"/>
      <c r="I535" s="947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66" t="s">
        <v>2238</v>
      </c>
      <c r="B540" s="1167"/>
      <c r="C540" s="1167"/>
      <c r="D540" s="1167"/>
      <c r="E540" s="1167"/>
      <c r="F540" s="1167"/>
      <c r="G540" s="1167"/>
      <c r="H540" s="1167"/>
      <c r="I540" s="116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4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4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78" t="s">
        <v>2233</v>
      </c>
      <c r="B546" s="1178"/>
      <c r="C546" s="1178"/>
      <c r="D546" s="1178"/>
      <c r="E546" s="1178"/>
      <c r="F546" s="1178"/>
      <c r="G546" s="1178"/>
      <c r="H546" s="1178"/>
      <c r="I546" s="117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47" t="s">
        <v>2233</v>
      </c>
      <c r="B550" s="947"/>
      <c r="C550" s="947"/>
      <c r="D550" s="947"/>
      <c r="E550" s="947"/>
      <c r="F550" s="947"/>
      <c r="G550" s="947"/>
      <c r="H550" s="947"/>
      <c r="I550" s="947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21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21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21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21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21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21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21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21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21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21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21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47" t="s">
        <v>2233</v>
      </c>
      <c r="B565" s="947"/>
      <c r="C565" s="947"/>
      <c r="D565" s="947"/>
      <c r="E565" s="947"/>
      <c r="F565" s="947"/>
      <c r="G565" s="947"/>
      <c r="H565" s="947"/>
      <c r="I565" s="947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1006" t="s">
        <v>306</v>
      </c>
      <c r="D569" s="1006" t="s">
        <v>322</v>
      </c>
      <c r="E569" s="1006" t="s">
        <v>307</v>
      </c>
      <c r="F569" s="1006">
        <v>3306</v>
      </c>
      <c r="G569" s="1006" t="s">
        <v>1153</v>
      </c>
      <c r="H569" s="1006" t="s">
        <v>1907</v>
      </c>
      <c r="I569" s="1006" t="s">
        <v>1111</v>
      </c>
      <c r="J569" s="1006" t="s">
        <v>692</v>
      </c>
      <c r="K569" s="1208" t="s">
        <v>2291</v>
      </c>
    </row>
    <row r="570" spans="1:12">
      <c r="B570" s="243" t="s">
        <v>1909</v>
      </c>
      <c r="C570" s="1007"/>
      <c r="D570" s="1007"/>
      <c r="E570" s="1007"/>
      <c r="F570" s="1007"/>
      <c r="G570" s="1007"/>
      <c r="H570" s="1007"/>
      <c r="I570" s="1007"/>
      <c r="J570" s="1007"/>
      <c r="K570" s="120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6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6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6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6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6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6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6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47" t="s">
        <v>1458</v>
      </c>
      <c r="B582" s="947"/>
      <c r="C582" s="947"/>
      <c r="D582" s="947"/>
      <c r="E582" s="947"/>
      <c r="F582" s="947"/>
      <c r="G582" s="947"/>
      <c r="H582" s="947"/>
      <c r="I582" s="947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5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5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47" t="s">
        <v>2393</v>
      </c>
      <c r="B588" s="947"/>
      <c r="C588" s="947"/>
      <c r="D588" s="947"/>
      <c r="E588" s="947"/>
      <c r="F588" s="947"/>
      <c r="G588" s="947"/>
      <c r="H588" s="947"/>
      <c r="I588" s="947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56" t="s">
        <v>2406</v>
      </c>
      <c r="B592" s="956"/>
      <c r="C592" s="956"/>
      <c r="D592" s="956"/>
      <c r="E592" s="956"/>
      <c r="F592" s="956"/>
      <c r="G592" s="956"/>
      <c r="H592" s="956"/>
      <c r="I592" s="956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5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5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5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5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5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5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56" t="s">
        <v>2406</v>
      </c>
      <c r="B601" s="956"/>
      <c r="C601" s="956"/>
      <c r="D601" s="956"/>
      <c r="E601" s="956"/>
      <c r="F601" s="956"/>
      <c r="G601" s="956"/>
      <c r="H601" s="956"/>
      <c r="I601" s="956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47" t="s">
        <v>2437</v>
      </c>
      <c r="B606" s="947"/>
      <c r="C606" s="947"/>
      <c r="D606" s="947"/>
      <c r="E606" s="947"/>
      <c r="F606" s="947"/>
      <c r="G606" s="947"/>
      <c r="H606" s="947"/>
      <c r="I606" s="947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5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5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5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47" t="s">
        <v>2406</v>
      </c>
      <c r="B613" s="947"/>
      <c r="C613" s="947"/>
      <c r="D613" s="947"/>
      <c r="E613" s="947"/>
      <c r="F613" s="947"/>
      <c r="G613" s="947"/>
      <c r="H613" s="947"/>
      <c r="I613" s="947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21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21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21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21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21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21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21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21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21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21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47" t="s">
        <v>2406</v>
      </c>
      <c r="B627" s="947"/>
      <c r="C627" s="947"/>
      <c r="D627" s="947"/>
      <c r="E627" s="947"/>
      <c r="F627" s="947"/>
      <c r="G627" s="947"/>
      <c r="H627" s="947"/>
      <c r="I627" s="947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21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21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21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21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21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21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21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21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21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21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21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21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21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21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21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21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21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21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21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21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215" t="s">
        <v>1646</v>
      </c>
      <c r="B655" s="1215"/>
      <c r="C655" s="1215"/>
      <c r="D655" s="1215"/>
      <c r="E655" s="1215"/>
      <c r="F655" s="1215"/>
      <c r="G655" s="1215"/>
      <c r="H655" s="1215"/>
      <c r="I655" s="121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21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21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21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21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21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21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21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21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21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21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21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21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21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21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215" t="s">
        <v>1646</v>
      </c>
      <c r="B674" s="1215"/>
      <c r="C674" s="1215"/>
      <c r="D674" s="1215"/>
      <c r="E674" s="1215"/>
      <c r="F674" s="1215"/>
      <c r="G674" s="1215"/>
      <c r="H674" s="1215"/>
      <c r="I674" s="121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21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21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21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21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215" t="s">
        <v>1646</v>
      </c>
      <c r="B681" s="1215"/>
      <c r="C681" s="1215"/>
      <c r="D681" s="1215"/>
      <c r="E681" s="1215"/>
      <c r="F681" s="1215"/>
      <c r="G681" s="1215"/>
      <c r="H681" s="1215"/>
      <c r="I681" s="121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20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20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207" t="s">
        <v>1646</v>
      </c>
      <c r="B688" s="1207"/>
      <c r="C688" s="1207"/>
      <c r="D688" s="1207"/>
      <c r="E688" s="1207"/>
      <c r="F688" s="1207"/>
      <c r="G688" s="1207"/>
      <c r="H688" s="1207"/>
      <c r="I688" s="120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21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21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21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21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21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21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21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207" t="s">
        <v>1646</v>
      </c>
      <c r="B699" s="1207"/>
      <c r="C699" s="1207"/>
      <c r="D699" s="1207"/>
      <c r="E699" s="1207"/>
      <c r="F699" s="1207"/>
      <c r="G699" s="1207"/>
      <c r="H699" s="1207"/>
      <c r="I699" s="1207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21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21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21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21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21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21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21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21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21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21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21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21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21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21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218" t="s">
        <v>1646</v>
      </c>
      <c r="B717" s="1218"/>
      <c r="C717" s="1218"/>
      <c r="D717" s="1218"/>
      <c r="E717" s="1218"/>
      <c r="F717" s="1218"/>
      <c r="G717" s="1218"/>
      <c r="H717" s="1218"/>
      <c r="I717" s="1218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5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5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5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5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5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5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5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5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218" t="s">
        <v>1646</v>
      </c>
      <c r="B731" s="1218"/>
      <c r="C731" s="1218"/>
      <c r="D731" s="1218"/>
      <c r="E731" s="1218"/>
      <c r="F731" s="1218"/>
      <c r="G731" s="1218"/>
      <c r="H731" s="1218"/>
      <c r="I731" s="1218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22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22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22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22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22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22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22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22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22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22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22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22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22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218" t="s">
        <v>1646</v>
      </c>
      <c r="B749" s="1218"/>
      <c r="C749" s="1218"/>
      <c r="D749" s="1218"/>
      <c r="E749" s="1218"/>
      <c r="F749" s="1218"/>
      <c r="G749" s="1218"/>
      <c r="H749" s="1218"/>
      <c r="I749" s="1218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0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1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1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1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1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1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1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1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221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42" t="s">
        <v>1646</v>
      </c>
      <c r="B762" s="1142"/>
      <c r="C762" s="1142"/>
      <c r="D762" s="1142"/>
      <c r="E762" s="1142"/>
      <c r="F762" s="1142"/>
      <c r="G762" s="1142"/>
      <c r="H762" s="1142"/>
      <c r="I762" s="114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46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47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47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47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48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42" t="s">
        <v>1646</v>
      </c>
      <c r="B770" s="1142"/>
      <c r="C770" s="1142"/>
      <c r="D770" s="1142"/>
      <c r="E770" s="1142"/>
      <c r="F770" s="1142"/>
      <c r="G770" s="1142"/>
      <c r="H770" s="1142"/>
      <c r="I770" s="114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21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21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21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21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21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42" t="s">
        <v>1646</v>
      </c>
      <c r="B778" s="1142"/>
      <c r="C778" s="1142"/>
      <c r="D778" s="1142"/>
      <c r="E778" s="1142"/>
      <c r="F778" s="1142"/>
      <c r="G778" s="1142"/>
      <c r="H778" s="1142"/>
      <c r="I778" s="114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21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21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21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21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21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21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21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21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42" t="s">
        <v>1646</v>
      </c>
      <c r="B790" s="1142"/>
      <c r="C790" s="1142"/>
      <c r="D790" s="1142"/>
      <c r="E790" s="1142"/>
      <c r="F790" s="1142"/>
      <c r="G790" s="1142"/>
      <c r="H790" s="1142"/>
      <c r="I790" s="114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0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1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1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1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1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1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1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1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42" t="s">
        <v>1646</v>
      </c>
      <c r="B802" s="1142"/>
      <c r="C802" s="1142"/>
      <c r="D802" s="1142"/>
      <c r="E802" s="1142"/>
      <c r="F802" s="1142"/>
      <c r="G802" s="1142"/>
      <c r="H802" s="1142"/>
      <c r="I802" s="114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4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4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4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4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4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4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42" t="s">
        <v>1646</v>
      </c>
      <c r="B812" s="1142"/>
      <c r="C812" s="1142"/>
      <c r="D812" s="1142"/>
      <c r="E812" s="1142"/>
      <c r="F812" s="1142"/>
      <c r="G812" s="1142"/>
      <c r="H812" s="1142"/>
      <c r="I812" s="114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56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56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42" t="s">
        <v>1646</v>
      </c>
      <c r="B819" s="1142"/>
      <c r="C819" s="1142"/>
      <c r="D819" s="1142"/>
      <c r="E819" s="1142"/>
      <c r="F819" s="1142"/>
      <c r="G819" s="1142"/>
      <c r="H819" s="1142"/>
      <c r="I819" s="1142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46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47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47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47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47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47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47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47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47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48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42" t="s">
        <v>1646</v>
      </c>
      <c r="B834" s="1142"/>
      <c r="C834" s="1142"/>
      <c r="D834" s="1142"/>
      <c r="E834" s="1142"/>
      <c r="F834" s="1142"/>
      <c r="G834" s="1142"/>
      <c r="H834" s="1142"/>
      <c r="I834" s="1142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46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47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48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42" t="s">
        <v>1646</v>
      </c>
      <c r="B841" s="1142"/>
      <c r="C841" s="1142"/>
      <c r="D841" s="1142"/>
      <c r="E841" s="1142"/>
      <c r="F841" s="1142"/>
      <c r="G841" s="1142"/>
      <c r="H841" s="1142"/>
      <c r="I841" s="1142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0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1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1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1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1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1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1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1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42" t="s">
        <v>1646</v>
      </c>
      <c r="B853" s="1142"/>
      <c r="C853" s="1142"/>
      <c r="D853" s="1142"/>
      <c r="E853" s="1142"/>
      <c r="F853" s="1142"/>
      <c r="G853" s="1142"/>
      <c r="H853" s="1142"/>
      <c r="I853" s="114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46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47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47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47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47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47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47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47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47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47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47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47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47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47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47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47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47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47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47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48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42" t="s">
        <v>1646</v>
      </c>
      <c r="B876" s="1142"/>
      <c r="C876" s="1142"/>
      <c r="D876" s="1142"/>
      <c r="E876" s="1142"/>
      <c r="F876" s="1142"/>
      <c r="G876" s="1142"/>
      <c r="H876" s="1142"/>
      <c r="I876" s="114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47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47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47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47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47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47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47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42" t="s">
        <v>1646</v>
      </c>
      <c r="B887" s="1142"/>
      <c r="C887" s="1142"/>
      <c r="D887" s="1142"/>
      <c r="E887" s="1142"/>
      <c r="F887" s="1142"/>
      <c r="G887" s="1142"/>
      <c r="H887" s="1142"/>
      <c r="I887" s="114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52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53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53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53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53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53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53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53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53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53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53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42" t="s">
        <v>1646</v>
      </c>
      <c r="B904" s="1142"/>
      <c r="C904" s="1142"/>
      <c r="D904" s="1142"/>
      <c r="E904" s="1142"/>
      <c r="F904" s="1142"/>
      <c r="G904" s="1142"/>
      <c r="H904" s="1142"/>
      <c r="I904" s="114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52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53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53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53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53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53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53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53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53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53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53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42" t="s">
        <v>1646</v>
      </c>
      <c r="B919" s="1142"/>
      <c r="C919" s="1142"/>
      <c r="D919" s="1142"/>
      <c r="E919" s="1142"/>
      <c r="F919" s="1142"/>
      <c r="G919" s="1142"/>
      <c r="H919" s="1142"/>
      <c r="I919" s="114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46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47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47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47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48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42" t="s">
        <v>1646</v>
      </c>
      <c r="B930" s="1142"/>
      <c r="C930" s="1142"/>
      <c r="D930" s="1142"/>
      <c r="E930" s="1142"/>
      <c r="F930" s="1142"/>
      <c r="G930" s="1142"/>
      <c r="H930" s="1142"/>
      <c r="I930" s="114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49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49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49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49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49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49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49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49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49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49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49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42" t="s">
        <v>1646</v>
      </c>
      <c r="B944" s="1142"/>
      <c r="C944" s="1142"/>
      <c r="D944" s="1142"/>
      <c r="E944" s="1142"/>
      <c r="F944" s="1142"/>
      <c r="G944" s="1142"/>
      <c r="H944" s="1142"/>
      <c r="I944" s="114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54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55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55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56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42" t="s">
        <v>1646</v>
      </c>
      <c r="B952" s="1142"/>
      <c r="C952" s="1142"/>
      <c r="D952" s="1142"/>
      <c r="E952" s="1142"/>
      <c r="F952" s="1142"/>
      <c r="G952" s="1142"/>
      <c r="H952" s="1142"/>
      <c r="I952" s="114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42" t="s">
        <v>1646</v>
      </c>
      <c r="B956" s="1142"/>
      <c r="C956" s="1142"/>
      <c r="D956" s="1142"/>
      <c r="E956" s="1142"/>
      <c r="F956" s="1142"/>
      <c r="G956" s="1142"/>
      <c r="H956" s="1142"/>
      <c r="I956" s="114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56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56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56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56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42" t="s">
        <v>1646</v>
      </c>
      <c r="B964" s="1142"/>
      <c r="C964" s="1142"/>
      <c r="D964" s="1142"/>
      <c r="E964" s="1142"/>
      <c r="F964" s="1142"/>
      <c r="G964" s="1142"/>
      <c r="H964" s="1142"/>
      <c r="I964" s="114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57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5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5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5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5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5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5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5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5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42" t="s">
        <v>1646</v>
      </c>
      <c r="B976" s="1142"/>
      <c r="C976" s="1142"/>
      <c r="D976" s="1142"/>
      <c r="E976" s="1142"/>
      <c r="F976" s="1142"/>
      <c r="G976" s="1142"/>
      <c r="H976" s="1142"/>
      <c r="I976" s="114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69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0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1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42" t="s">
        <v>1646</v>
      </c>
      <c r="B982" s="1142"/>
      <c r="C982" s="1142"/>
      <c r="D982" s="1142"/>
      <c r="E982" s="1142"/>
      <c r="F982" s="1142"/>
      <c r="G982" s="1142"/>
      <c r="H982" s="1142"/>
      <c r="I982" s="114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56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56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42" t="s">
        <v>1646</v>
      </c>
      <c r="B989" s="1142"/>
      <c r="C989" s="1142"/>
      <c r="D989" s="1142"/>
      <c r="E989" s="1142"/>
      <c r="F989" s="1142"/>
      <c r="G989" s="1142"/>
      <c r="H989" s="1142"/>
      <c r="I989" s="114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1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2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2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2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2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2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2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2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2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42" t="s">
        <v>1646</v>
      </c>
      <c r="B1003" s="1142"/>
      <c r="C1003" s="1142"/>
      <c r="D1003" s="1142"/>
      <c r="E1003" s="1142"/>
      <c r="F1003" s="1142"/>
      <c r="G1003" s="1142"/>
      <c r="H1003" s="1142"/>
      <c r="I1003" s="114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22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22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22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22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22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22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22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22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22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22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22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42" t="s">
        <v>1646</v>
      </c>
      <c r="B1018" s="1142"/>
      <c r="C1018" s="1142"/>
      <c r="D1018" s="1142"/>
      <c r="E1018" s="1142"/>
      <c r="F1018" s="1142"/>
      <c r="G1018" s="1142"/>
      <c r="H1018" s="1142"/>
      <c r="I1018" s="1142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69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0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0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0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0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0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0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0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1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42" t="s">
        <v>1646</v>
      </c>
      <c r="B1032" s="1142"/>
      <c r="C1032" s="1142"/>
      <c r="D1032" s="1142"/>
      <c r="E1032" s="1142"/>
      <c r="F1032" s="1142"/>
      <c r="G1032" s="1142"/>
      <c r="H1032" s="1142"/>
      <c r="I1032" s="1142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49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1" t="s">
        <v>6864</v>
      </c>
      <c r="I1039" s="876" t="s">
        <v>126</v>
      </c>
      <c r="J1039" s="876">
        <v>4</v>
      </c>
      <c r="K1039" s="618" t="s">
        <v>7349</v>
      </c>
    </row>
    <row r="1040" spans="1:11" ht="16.5" customHeight="1">
      <c r="A1040" s="1149"/>
      <c r="B1040" s="657">
        <v>46265</v>
      </c>
      <c r="C1040" s="868" t="s">
        <v>138</v>
      </c>
      <c r="D1040" s="868" t="s">
        <v>14</v>
      </c>
      <c r="E1040" s="876" t="s">
        <v>107</v>
      </c>
      <c r="F1040" s="876">
        <v>179</v>
      </c>
      <c r="G1040" s="643" t="s">
        <v>746</v>
      </c>
      <c r="H1040" s="877" t="s">
        <v>7008</v>
      </c>
      <c r="I1040" s="876" t="s">
        <v>126</v>
      </c>
      <c r="J1040" s="876">
        <v>1</v>
      </c>
      <c r="K1040" s="618" t="s">
        <v>50</v>
      </c>
    </row>
    <row r="1041" spans="1:11">
      <c r="A1041" s="1149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1" t="s">
        <v>1314</v>
      </c>
      <c r="I1041" s="871" t="s">
        <v>1948</v>
      </c>
      <c r="J1041" s="871">
        <v>1</v>
      </c>
      <c r="K1041" s="618" t="s">
        <v>50</v>
      </c>
    </row>
    <row r="1042" spans="1:11" ht="22.5">
      <c r="A1042" s="1149"/>
      <c r="B1042" s="657">
        <v>46268</v>
      </c>
      <c r="C1042" s="618" t="s">
        <v>21</v>
      </c>
      <c r="D1042" s="618" t="s">
        <v>17</v>
      </c>
      <c r="E1042" s="871" t="s">
        <v>6517</v>
      </c>
      <c r="F1042" s="653" t="s">
        <v>2653</v>
      </c>
      <c r="G1042" s="620" t="s">
        <v>102</v>
      </c>
      <c r="H1042" s="871" t="s">
        <v>6990</v>
      </c>
      <c r="I1042" s="871" t="s">
        <v>126</v>
      </c>
      <c r="J1042" s="890">
        <v>1</v>
      </c>
      <c r="K1042" s="618" t="s">
        <v>50</v>
      </c>
    </row>
    <row r="1043" spans="1:11" ht="33.75">
      <c r="A1043" s="1149"/>
      <c r="B1043" s="657">
        <v>46269</v>
      </c>
      <c r="C1043" s="618" t="s">
        <v>21</v>
      </c>
      <c r="D1043" s="618" t="s">
        <v>17</v>
      </c>
      <c r="E1043" s="653" t="s">
        <v>5632</v>
      </c>
      <c r="F1043" s="871" t="s">
        <v>6995</v>
      </c>
      <c r="G1043" s="620" t="s">
        <v>23</v>
      </c>
      <c r="H1043" s="871" t="s">
        <v>6994</v>
      </c>
      <c r="I1043" s="871" t="s">
        <v>126</v>
      </c>
      <c r="J1043" s="653">
        <v>1</v>
      </c>
      <c r="K1043" s="618" t="s">
        <v>50</v>
      </c>
    </row>
    <row r="1044" spans="1:11">
      <c r="A1044" s="1149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7" t="s">
        <v>230</v>
      </c>
      <c r="I1044" s="876" t="s">
        <v>7040</v>
      </c>
      <c r="J1044" s="877">
        <v>1</v>
      </c>
      <c r="K1044" s="618" t="s">
        <v>50</v>
      </c>
    </row>
    <row r="1045" spans="1:11">
      <c r="A1045" s="1142" t="s">
        <v>1646</v>
      </c>
      <c r="B1045" s="1142"/>
      <c r="C1045" s="1142"/>
      <c r="D1045" s="1142"/>
      <c r="E1045" s="1142"/>
      <c r="F1045" s="1142"/>
      <c r="G1045" s="1142"/>
      <c r="H1045" s="1142"/>
      <c r="I1045" s="1142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49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149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49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49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149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149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42" t="s">
        <v>1646</v>
      </c>
      <c r="B1056" s="1142"/>
      <c r="C1056" s="1142"/>
      <c r="D1056" s="1142"/>
      <c r="E1056" s="1142"/>
      <c r="F1056" s="1142"/>
      <c r="G1056" s="1142"/>
      <c r="H1056" s="1142"/>
      <c r="I1056" s="1142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43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44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44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45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42" t="s">
        <v>1646</v>
      </c>
      <c r="B1064" s="1142"/>
      <c r="C1064" s="1142"/>
      <c r="D1064" s="1142"/>
      <c r="E1064" s="1142"/>
      <c r="F1064" s="1142"/>
      <c r="G1064" s="1142"/>
      <c r="H1064" s="1142"/>
      <c r="I1064" s="1142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43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44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44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44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44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44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44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44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44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44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44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44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44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45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42" t="s">
        <v>1646</v>
      </c>
      <c r="B1082" s="1142"/>
      <c r="C1082" s="1142"/>
      <c r="D1082" s="1142"/>
      <c r="E1082" s="1142"/>
      <c r="F1082" s="1142"/>
      <c r="G1082" s="1142"/>
      <c r="H1082" s="1142"/>
      <c r="I1082" s="1142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43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44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44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44"/>
      <c r="B1089" s="888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42" t="s">
        <v>1646</v>
      </c>
      <c r="B1090" s="1142"/>
      <c r="C1090" s="1142"/>
      <c r="D1090" s="1142"/>
      <c r="E1090" s="1142"/>
      <c r="F1090" s="1142"/>
      <c r="G1090" s="1142"/>
      <c r="H1090" s="1142"/>
      <c r="I1090" s="1142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19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5">
        <v>7065</v>
      </c>
      <c r="G1096" s="855" t="s">
        <v>7018</v>
      </c>
      <c r="H1096" s="856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2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5">
        <v>7065</v>
      </c>
      <c r="G1097" s="855" t="s">
        <v>6889</v>
      </c>
      <c r="H1097" s="856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2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5">
        <v>7065</v>
      </c>
      <c r="G1098" s="855" t="s">
        <v>7018</v>
      </c>
      <c r="H1098" s="856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2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5">
        <v>7065</v>
      </c>
      <c r="G1099" s="855" t="s">
        <v>1391</v>
      </c>
      <c r="H1099" s="856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20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5" t="s">
        <v>6816</v>
      </c>
      <c r="G1100" s="855" t="s">
        <v>115</v>
      </c>
      <c r="H1100" s="856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21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5">
        <v>7065</v>
      </c>
      <c r="G1101" s="855" t="s">
        <v>23</v>
      </c>
      <c r="H1101" s="856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42" t="s">
        <v>1646</v>
      </c>
      <c r="B1102" s="1142"/>
      <c r="C1102" s="1142"/>
      <c r="D1102" s="1142"/>
      <c r="E1102" s="1142"/>
      <c r="F1102" s="1142"/>
      <c r="G1102" s="1142"/>
      <c r="H1102" s="1142"/>
      <c r="I1102" s="1142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43" t="s">
        <v>7347</v>
      </c>
      <c r="B1106" s="657">
        <v>46262</v>
      </c>
      <c r="C1106" s="868" t="s">
        <v>64</v>
      </c>
      <c r="D1106" s="868" t="s">
        <v>17</v>
      </c>
      <c r="E1106" s="876" t="s">
        <v>100</v>
      </c>
      <c r="F1106" s="876" t="s">
        <v>6666</v>
      </c>
      <c r="G1106" s="643" t="s">
        <v>207</v>
      </c>
      <c r="H1106" s="877" t="s">
        <v>6867</v>
      </c>
      <c r="I1106" s="876"/>
      <c r="J1106" s="877">
        <v>2</v>
      </c>
      <c r="K1106" s="618" t="s">
        <v>50</v>
      </c>
    </row>
    <row r="1107" spans="1:11">
      <c r="A1107" s="1144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1" t="s">
        <v>6930</v>
      </c>
      <c r="I1107" s="653" t="s">
        <v>202</v>
      </c>
      <c r="J1107" s="871">
        <v>2</v>
      </c>
      <c r="K1107" s="618" t="s">
        <v>50</v>
      </c>
    </row>
    <row r="1108" spans="1:11">
      <c r="A1108" s="1144"/>
      <c r="B1108" s="657">
        <v>46265</v>
      </c>
      <c r="C1108" s="868" t="s">
        <v>138</v>
      </c>
      <c r="D1108" s="868" t="s">
        <v>14</v>
      </c>
      <c r="E1108" s="876" t="s">
        <v>107</v>
      </c>
      <c r="F1108" s="876">
        <v>179</v>
      </c>
      <c r="G1108" s="643" t="s">
        <v>746</v>
      </c>
      <c r="H1108" s="877" t="s">
        <v>7008</v>
      </c>
      <c r="I1108" s="876" t="s">
        <v>126</v>
      </c>
      <c r="J1108" s="876">
        <v>1</v>
      </c>
      <c r="K1108" s="618" t="s">
        <v>50</v>
      </c>
    </row>
    <row r="1109" spans="1:11">
      <c r="A1109" s="1144"/>
      <c r="B1109" s="657">
        <v>46266</v>
      </c>
      <c r="C1109" s="868" t="s">
        <v>21</v>
      </c>
      <c r="D1109" s="868" t="s">
        <v>14</v>
      </c>
      <c r="E1109" s="876" t="s">
        <v>107</v>
      </c>
      <c r="F1109" s="876" t="s">
        <v>2959</v>
      </c>
      <c r="G1109" s="643" t="s">
        <v>1376</v>
      </c>
      <c r="H1109" s="877" t="s">
        <v>6949</v>
      </c>
      <c r="I1109" s="876" t="s">
        <v>1948</v>
      </c>
      <c r="J1109" s="876">
        <v>1</v>
      </c>
      <c r="K1109" s="618" t="s">
        <v>50</v>
      </c>
    </row>
    <row r="1110" spans="1:11">
      <c r="A1110" s="1144"/>
      <c r="B1110" s="657">
        <v>46267</v>
      </c>
      <c r="C1110" s="868" t="s">
        <v>21</v>
      </c>
      <c r="D1110" s="868" t="s">
        <v>14</v>
      </c>
      <c r="E1110" s="876" t="s">
        <v>107</v>
      </c>
      <c r="F1110" s="876" t="s">
        <v>2959</v>
      </c>
      <c r="G1110" s="643" t="s">
        <v>143</v>
      </c>
      <c r="H1110" s="877" t="s">
        <v>6949</v>
      </c>
      <c r="I1110" s="876"/>
      <c r="J1110" s="876">
        <v>3</v>
      </c>
      <c r="K1110" s="618" t="s">
        <v>50</v>
      </c>
    </row>
    <row r="1111" spans="1:11">
      <c r="A1111" s="1144"/>
      <c r="B1111" s="657">
        <v>46268</v>
      </c>
      <c r="C1111" s="868" t="s">
        <v>21</v>
      </c>
      <c r="D1111" s="868" t="s">
        <v>14</v>
      </c>
      <c r="E1111" s="876" t="s">
        <v>107</v>
      </c>
      <c r="F1111" s="876" t="s">
        <v>2959</v>
      </c>
      <c r="G1111" s="643" t="s">
        <v>1895</v>
      </c>
      <c r="H1111" s="877" t="s">
        <v>6949</v>
      </c>
      <c r="I1111" s="876"/>
      <c r="J1111" s="876">
        <v>3</v>
      </c>
      <c r="K1111" s="618" t="s">
        <v>50</v>
      </c>
    </row>
    <row r="1112" spans="1:11" ht="22.5">
      <c r="A1112" s="1144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1" t="s">
        <v>7001</v>
      </c>
      <c r="I1112" s="653" t="s">
        <v>1948</v>
      </c>
      <c r="J1112" s="876">
        <v>3</v>
      </c>
      <c r="K1112" s="618" t="s">
        <v>50</v>
      </c>
    </row>
    <row r="1113" spans="1:11">
      <c r="A1113" s="1144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1" t="s">
        <v>7076</v>
      </c>
      <c r="I1113" s="653"/>
      <c r="J1113" s="876">
        <v>3</v>
      </c>
      <c r="K1113" s="618" t="s">
        <v>50</v>
      </c>
    </row>
    <row r="1114" spans="1:11">
      <c r="A1114" s="1144"/>
      <c r="B1114" s="657">
        <v>46272</v>
      </c>
      <c r="C1114" s="868" t="s">
        <v>21</v>
      </c>
      <c r="D1114" s="868" t="s">
        <v>14</v>
      </c>
      <c r="E1114" s="876" t="s">
        <v>107</v>
      </c>
      <c r="F1114" s="876" t="s">
        <v>2959</v>
      </c>
      <c r="G1114" s="643" t="s">
        <v>143</v>
      </c>
      <c r="H1114" s="877" t="s">
        <v>6949</v>
      </c>
      <c r="I1114" s="876" t="s">
        <v>90</v>
      </c>
      <c r="J1114" s="876">
        <v>1</v>
      </c>
      <c r="K1114" s="618" t="s">
        <v>50</v>
      </c>
    </row>
    <row r="1115" spans="1:11">
      <c r="A1115" s="1144"/>
      <c r="B1115" s="657">
        <v>46273</v>
      </c>
      <c r="C1115" s="868" t="s">
        <v>21</v>
      </c>
      <c r="D1115" s="868" t="s">
        <v>14</v>
      </c>
      <c r="E1115" s="876" t="s">
        <v>107</v>
      </c>
      <c r="F1115" s="876" t="s">
        <v>2959</v>
      </c>
      <c r="G1115" s="643" t="s">
        <v>143</v>
      </c>
      <c r="H1115" s="877" t="s">
        <v>6949</v>
      </c>
      <c r="I1115" s="876" t="s">
        <v>90</v>
      </c>
      <c r="J1115" s="876">
        <v>1</v>
      </c>
      <c r="K1115" s="618" t="s">
        <v>50</v>
      </c>
    </row>
    <row r="1116" spans="1:11">
      <c r="A1116" s="1144"/>
      <c r="B1116" s="657">
        <v>46274</v>
      </c>
      <c r="C1116" s="868" t="s">
        <v>21</v>
      </c>
      <c r="D1116" s="868" t="s">
        <v>14</v>
      </c>
      <c r="E1116" s="876" t="s">
        <v>107</v>
      </c>
      <c r="F1116" s="876" t="s">
        <v>2959</v>
      </c>
      <c r="G1116" s="643" t="s">
        <v>376</v>
      </c>
      <c r="H1116" s="877" t="s">
        <v>7045</v>
      </c>
      <c r="I1116" s="876" t="s">
        <v>90</v>
      </c>
      <c r="J1116" s="876">
        <v>1</v>
      </c>
      <c r="K1116" s="618" t="s">
        <v>50</v>
      </c>
    </row>
    <row r="1117" spans="1:11">
      <c r="A1117" s="1144"/>
      <c r="B1117" s="657">
        <v>46276</v>
      </c>
      <c r="C1117" s="868" t="s">
        <v>21</v>
      </c>
      <c r="D1117" s="868" t="s">
        <v>14</v>
      </c>
      <c r="E1117" s="876" t="s">
        <v>1787</v>
      </c>
      <c r="F1117" s="876" t="s">
        <v>2978</v>
      </c>
      <c r="G1117" s="643" t="s">
        <v>23</v>
      </c>
      <c r="H1117" s="877" t="s">
        <v>5434</v>
      </c>
      <c r="I1117" s="876"/>
      <c r="J1117" s="876">
        <v>2</v>
      </c>
      <c r="K1117" s="618" t="s">
        <v>50</v>
      </c>
    </row>
    <row r="1118" spans="1:11">
      <c r="A1118" s="1144"/>
      <c r="B1118" s="657">
        <v>46279</v>
      </c>
      <c r="C1118" s="868" t="s">
        <v>64</v>
      </c>
      <c r="D1118" s="868" t="s">
        <v>14</v>
      </c>
      <c r="E1118" s="876" t="s">
        <v>107</v>
      </c>
      <c r="F1118" s="876" t="s">
        <v>3386</v>
      </c>
      <c r="G1118" s="643" t="s">
        <v>746</v>
      </c>
      <c r="H1118" s="877" t="s">
        <v>230</v>
      </c>
      <c r="I1118" s="876" t="s">
        <v>90</v>
      </c>
      <c r="J1118" s="876">
        <v>1</v>
      </c>
      <c r="K1118" s="618" t="s">
        <v>50</v>
      </c>
    </row>
    <row r="1119" spans="1:11">
      <c r="A1119" s="1144"/>
      <c r="B1119" s="657">
        <v>46282</v>
      </c>
      <c r="C1119" s="868" t="s">
        <v>21</v>
      </c>
      <c r="D1119" s="868" t="s">
        <v>14</v>
      </c>
      <c r="E1119" s="876" t="s">
        <v>1787</v>
      </c>
      <c r="F1119" s="876" t="s">
        <v>2978</v>
      </c>
      <c r="G1119" s="643" t="s">
        <v>67</v>
      </c>
      <c r="H1119" s="643" t="s">
        <v>7161</v>
      </c>
      <c r="I1119" s="876" t="s">
        <v>90</v>
      </c>
      <c r="J1119" s="876">
        <v>1</v>
      </c>
      <c r="K1119" s="618" t="s">
        <v>50</v>
      </c>
    </row>
    <row r="1120" spans="1:11" ht="22.5">
      <c r="A1120" s="1145"/>
      <c r="B1120" s="657">
        <v>46280</v>
      </c>
      <c r="C1120" s="868" t="s">
        <v>64</v>
      </c>
      <c r="D1120" s="868" t="s">
        <v>14</v>
      </c>
      <c r="E1120" s="876" t="s">
        <v>107</v>
      </c>
      <c r="F1120" s="876" t="s">
        <v>3386</v>
      </c>
      <c r="G1120" s="643" t="s">
        <v>263</v>
      </c>
      <c r="H1120" s="877" t="s">
        <v>7183</v>
      </c>
      <c r="I1120" s="876" t="s">
        <v>90</v>
      </c>
      <c r="J1120" s="876">
        <v>1</v>
      </c>
      <c r="K1120" s="618" t="s">
        <v>50</v>
      </c>
    </row>
    <row r="1121" spans="1:11">
      <c r="A1121" s="1142" t="s">
        <v>1646</v>
      </c>
      <c r="B1121" s="1142"/>
      <c r="C1121" s="1142"/>
      <c r="D1121" s="1142"/>
      <c r="E1121" s="1142"/>
      <c r="F1121" s="1142"/>
      <c r="G1121" s="1142"/>
      <c r="H1121" s="1142"/>
      <c r="I1121" s="1142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46" t="s">
        <v>7350</v>
      </c>
      <c r="B1124" s="657" t="s">
        <v>6891</v>
      </c>
      <c r="C1124" s="620" t="s">
        <v>19</v>
      </c>
      <c r="D1124" s="871" t="s">
        <v>25</v>
      </c>
      <c r="E1124" s="653" t="s">
        <v>5254</v>
      </c>
      <c r="F1124" s="877">
        <v>2688</v>
      </c>
      <c r="G1124" s="877" t="s">
        <v>18</v>
      </c>
      <c r="H1124" s="871" t="s">
        <v>6890</v>
      </c>
      <c r="I1124" s="653" t="s">
        <v>168</v>
      </c>
      <c r="J1124" s="871">
        <v>3</v>
      </c>
      <c r="K1124" s="618" t="s">
        <v>50</v>
      </c>
    </row>
    <row r="1125" spans="1:11">
      <c r="A1125" s="1147"/>
      <c r="B1125" s="657" t="s">
        <v>6891</v>
      </c>
      <c r="C1125" s="620" t="s">
        <v>49</v>
      </c>
      <c r="D1125" s="871" t="s">
        <v>25</v>
      </c>
      <c r="E1125" s="653" t="s">
        <v>5254</v>
      </c>
      <c r="F1125" s="877">
        <v>7062</v>
      </c>
      <c r="G1125" s="877" t="s">
        <v>143</v>
      </c>
      <c r="H1125" s="871" t="s">
        <v>1105</v>
      </c>
      <c r="I1125" s="653" t="s">
        <v>1259</v>
      </c>
      <c r="J1125" s="871">
        <v>3</v>
      </c>
      <c r="K1125" s="618" t="s">
        <v>50</v>
      </c>
    </row>
    <row r="1126" spans="1:11">
      <c r="A1126" s="1147"/>
      <c r="B1126" s="657">
        <v>46263</v>
      </c>
      <c r="C1126" s="620" t="s">
        <v>6707</v>
      </c>
      <c r="D1126" s="871" t="s">
        <v>748</v>
      </c>
      <c r="E1126" s="653" t="s">
        <v>5254</v>
      </c>
      <c r="F1126" s="877" t="s">
        <v>5754</v>
      </c>
      <c r="G1126" s="877" t="s">
        <v>18</v>
      </c>
      <c r="H1126" s="871" t="s">
        <v>3402</v>
      </c>
      <c r="I1126" s="653" t="s">
        <v>1259</v>
      </c>
      <c r="J1126" s="871">
        <v>1</v>
      </c>
      <c r="K1126" s="618" t="s">
        <v>50</v>
      </c>
    </row>
    <row r="1127" spans="1:11">
      <c r="A1127" s="1147"/>
      <c r="B1127" s="657" t="s">
        <v>7021</v>
      </c>
      <c r="C1127" s="620" t="s">
        <v>6707</v>
      </c>
      <c r="D1127" s="871" t="s">
        <v>748</v>
      </c>
      <c r="E1127" s="653" t="s">
        <v>5254</v>
      </c>
      <c r="F1127" s="877" t="s">
        <v>5754</v>
      </c>
      <c r="G1127" s="877" t="s">
        <v>18</v>
      </c>
      <c r="H1127" s="871" t="s">
        <v>3402</v>
      </c>
      <c r="I1127" s="653" t="s">
        <v>1259</v>
      </c>
      <c r="J1127" s="871">
        <v>2</v>
      </c>
      <c r="K1127" s="618" t="s">
        <v>50</v>
      </c>
    </row>
    <row r="1128" spans="1:11">
      <c r="A1128" s="1147"/>
      <c r="B1128" s="657" t="s">
        <v>7022</v>
      </c>
      <c r="C1128" s="620" t="s">
        <v>6707</v>
      </c>
      <c r="D1128" s="871" t="s">
        <v>748</v>
      </c>
      <c r="E1128" s="653" t="s">
        <v>5254</v>
      </c>
      <c r="F1128" s="877" t="s">
        <v>6075</v>
      </c>
      <c r="G1128" s="877" t="s">
        <v>145</v>
      </c>
      <c r="H1128" s="871" t="s">
        <v>3402</v>
      </c>
      <c r="I1128" s="653" t="s">
        <v>1259</v>
      </c>
      <c r="J1128" s="871">
        <v>2</v>
      </c>
      <c r="K1128" s="618" t="s">
        <v>50</v>
      </c>
    </row>
    <row r="1129" spans="1:11">
      <c r="A1129" s="1147"/>
      <c r="B1129" s="657">
        <v>46270</v>
      </c>
      <c r="C1129" s="620" t="s">
        <v>6707</v>
      </c>
      <c r="D1129" s="871" t="s">
        <v>25</v>
      </c>
      <c r="E1129" s="653" t="s">
        <v>5254</v>
      </c>
      <c r="F1129" s="877" t="s">
        <v>6315</v>
      </c>
      <c r="G1129" s="877" t="s">
        <v>361</v>
      </c>
      <c r="H1129" s="871" t="s">
        <v>3402</v>
      </c>
      <c r="I1129" s="653" t="s">
        <v>4616</v>
      </c>
      <c r="J1129" s="871">
        <v>1</v>
      </c>
      <c r="K1129" s="618" t="s">
        <v>50</v>
      </c>
    </row>
    <row r="1130" spans="1:11">
      <c r="A1130" s="1147"/>
      <c r="B1130" s="657" t="s">
        <v>7079</v>
      </c>
      <c r="C1130" s="620" t="s">
        <v>6707</v>
      </c>
      <c r="D1130" s="871" t="s">
        <v>25</v>
      </c>
      <c r="E1130" s="653" t="s">
        <v>5254</v>
      </c>
      <c r="F1130" s="877" t="s">
        <v>6315</v>
      </c>
      <c r="G1130" s="877" t="s">
        <v>361</v>
      </c>
      <c r="H1130" s="871" t="s">
        <v>3402</v>
      </c>
      <c r="I1130" s="653" t="s">
        <v>4616</v>
      </c>
      <c r="J1130" s="871">
        <v>3</v>
      </c>
      <c r="K1130" s="618" t="s">
        <v>50</v>
      </c>
    </row>
    <row r="1131" spans="1:11">
      <c r="A1131" s="1147"/>
      <c r="B1131" s="657" t="s">
        <v>7082</v>
      </c>
      <c r="C1131" s="620" t="s">
        <v>6707</v>
      </c>
      <c r="D1131" s="871" t="s">
        <v>25</v>
      </c>
      <c r="E1131" s="653" t="s">
        <v>5254</v>
      </c>
      <c r="F1131" s="877" t="s">
        <v>6315</v>
      </c>
      <c r="G1131" s="877" t="s">
        <v>264</v>
      </c>
      <c r="H1131" s="871" t="s">
        <v>3402</v>
      </c>
      <c r="I1131" s="653" t="s">
        <v>4616</v>
      </c>
      <c r="J1131" s="871">
        <v>2</v>
      </c>
      <c r="K1131" s="618" t="s">
        <v>50</v>
      </c>
    </row>
    <row r="1132" spans="1:11">
      <c r="A1132" s="1147"/>
      <c r="B1132" s="657" t="s">
        <v>7089</v>
      </c>
      <c r="C1132" s="620" t="s">
        <v>6707</v>
      </c>
      <c r="D1132" s="871" t="s">
        <v>25</v>
      </c>
      <c r="E1132" s="653" t="s">
        <v>5254</v>
      </c>
      <c r="F1132" s="877" t="s">
        <v>5754</v>
      </c>
      <c r="G1132" s="877" t="s">
        <v>18</v>
      </c>
      <c r="H1132" s="871" t="s">
        <v>216</v>
      </c>
      <c r="I1132" s="653" t="s">
        <v>168</v>
      </c>
      <c r="J1132" s="871">
        <v>4</v>
      </c>
      <c r="K1132" s="618" t="s">
        <v>50</v>
      </c>
    </row>
    <row r="1133" spans="1:11">
      <c r="A1133" s="1147"/>
      <c r="B1133" s="657">
        <v>46277</v>
      </c>
      <c r="C1133" s="620" t="s">
        <v>6707</v>
      </c>
      <c r="D1133" s="871" t="s">
        <v>25</v>
      </c>
      <c r="E1133" s="653" t="s">
        <v>5254</v>
      </c>
      <c r="F1133" s="877" t="s">
        <v>6075</v>
      </c>
      <c r="G1133" s="877" t="s">
        <v>145</v>
      </c>
      <c r="H1133" s="871" t="s">
        <v>1105</v>
      </c>
      <c r="I1133" s="653" t="s">
        <v>1259</v>
      </c>
      <c r="J1133" s="871">
        <v>1</v>
      </c>
      <c r="K1133" s="618" t="s">
        <v>50</v>
      </c>
    </row>
    <row r="1134" spans="1:11">
      <c r="A1134" s="1147"/>
      <c r="B1134" s="657" t="s">
        <v>7169</v>
      </c>
      <c r="C1134" s="620" t="s">
        <v>6707</v>
      </c>
      <c r="D1134" s="871" t="s">
        <v>25</v>
      </c>
      <c r="E1134" s="653" t="s">
        <v>5254</v>
      </c>
      <c r="F1134" s="877" t="s">
        <v>6075</v>
      </c>
      <c r="G1134" s="877" t="s">
        <v>145</v>
      </c>
      <c r="H1134" s="871" t="s">
        <v>1105</v>
      </c>
      <c r="I1134" s="653" t="s">
        <v>1259</v>
      </c>
      <c r="J1134" s="871">
        <v>2</v>
      </c>
      <c r="K1134" s="618" t="s">
        <v>50</v>
      </c>
    </row>
    <row r="1135" spans="1:11">
      <c r="A1135" s="1147"/>
      <c r="B1135" s="657">
        <v>46281</v>
      </c>
      <c r="C1135" s="620" t="s">
        <v>6707</v>
      </c>
      <c r="D1135" s="871" t="s">
        <v>25</v>
      </c>
      <c r="E1135" s="653" t="s">
        <v>5254</v>
      </c>
      <c r="F1135" s="877" t="s">
        <v>6315</v>
      </c>
      <c r="G1135" s="877" t="s">
        <v>361</v>
      </c>
      <c r="H1135" s="871" t="s">
        <v>6316</v>
      </c>
      <c r="I1135" s="653" t="s">
        <v>1259</v>
      </c>
      <c r="J1135" s="871">
        <v>1</v>
      </c>
      <c r="K1135" s="618" t="s">
        <v>50</v>
      </c>
    </row>
    <row r="1136" spans="1:11">
      <c r="A1136" s="1147"/>
      <c r="B1136" s="657" t="s">
        <v>7172</v>
      </c>
      <c r="C1136" s="620" t="s">
        <v>6707</v>
      </c>
      <c r="D1136" s="871" t="s">
        <v>25</v>
      </c>
      <c r="E1136" s="653" t="s">
        <v>5254</v>
      </c>
      <c r="F1136" s="877" t="s">
        <v>6315</v>
      </c>
      <c r="G1136" s="877" t="s">
        <v>264</v>
      </c>
      <c r="H1136" s="871" t="s">
        <v>6316</v>
      </c>
      <c r="I1136" s="653" t="s">
        <v>1259</v>
      </c>
      <c r="J1136" s="871">
        <v>2</v>
      </c>
      <c r="K1136" s="618" t="s">
        <v>50</v>
      </c>
    </row>
    <row r="1137" spans="1:11">
      <c r="A1137" s="1147"/>
      <c r="B1137" s="657" t="s">
        <v>7171</v>
      </c>
      <c r="C1137" s="620" t="s">
        <v>6707</v>
      </c>
      <c r="D1137" s="871" t="s">
        <v>25</v>
      </c>
      <c r="E1137" s="653" t="s">
        <v>5254</v>
      </c>
      <c r="F1137" s="877" t="s">
        <v>5754</v>
      </c>
      <c r="G1137" s="877" t="s">
        <v>18</v>
      </c>
      <c r="H1137" s="871" t="s">
        <v>216</v>
      </c>
      <c r="I1137" s="653" t="s">
        <v>168</v>
      </c>
      <c r="J1137" s="871">
        <v>3</v>
      </c>
      <c r="K1137" s="618" t="s">
        <v>50</v>
      </c>
    </row>
    <row r="1138" spans="1:11">
      <c r="A1138" s="1147"/>
      <c r="B1138" s="657" t="s">
        <v>7172</v>
      </c>
      <c r="C1138" s="620" t="s">
        <v>6707</v>
      </c>
      <c r="D1138" s="871" t="s">
        <v>25</v>
      </c>
      <c r="E1138" s="653" t="s">
        <v>5254</v>
      </c>
      <c r="F1138" s="877">
        <v>7065</v>
      </c>
      <c r="G1138" s="877" t="s">
        <v>6889</v>
      </c>
      <c r="H1138" s="871" t="s">
        <v>7174</v>
      </c>
      <c r="I1138" s="653" t="s">
        <v>168</v>
      </c>
      <c r="J1138" s="871">
        <v>2</v>
      </c>
      <c r="K1138" s="618" t="s">
        <v>50</v>
      </c>
    </row>
    <row r="1139" spans="1:11">
      <c r="A1139" s="1147"/>
      <c r="B1139" s="657">
        <v>46284</v>
      </c>
      <c r="C1139" s="620" t="s">
        <v>6707</v>
      </c>
      <c r="D1139" s="871" t="s">
        <v>25</v>
      </c>
      <c r="E1139" s="653" t="s">
        <v>5254</v>
      </c>
      <c r="F1139" s="877">
        <v>7065</v>
      </c>
      <c r="G1139" s="877" t="s">
        <v>7018</v>
      </c>
      <c r="H1139" s="871" t="s">
        <v>7222</v>
      </c>
      <c r="I1139" s="653" t="s">
        <v>168</v>
      </c>
      <c r="J1139" s="871">
        <v>2</v>
      </c>
      <c r="K1139" s="618" t="s">
        <v>50</v>
      </c>
    </row>
    <row r="1140" spans="1:11">
      <c r="A1140" s="1147"/>
      <c r="B1140" s="657" t="s">
        <v>7230</v>
      </c>
      <c r="C1140" s="620" t="s">
        <v>6707</v>
      </c>
      <c r="D1140" s="871" t="s">
        <v>25</v>
      </c>
      <c r="E1140" s="653" t="s">
        <v>5254</v>
      </c>
      <c r="F1140" s="877">
        <v>7065</v>
      </c>
      <c r="G1140" s="877" t="s">
        <v>1895</v>
      </c>
      <c r="H1140" s="871" t="s">
        <v>378</v>
      </c>
      <c r="I1140" s="653" t="s">
        <v>7351</v>
      </c>
      <c r="J1140" s="871">
        <v>3</v>
      </c>
      <c r="K1140" s="618" t="s">
        <v>50</v>
      </c>
    </row>
    <row r="1141" spans="1:11">
      <c r="A1141" s="1148"/>
      <c r="B1141" s="657" t="s">
        <v>7230</v>
      </c>
      <c r="C1141" s="620" t="s">
        <v>6707</v>
      </c>
      <c r="D1141" s="871" t="s">
        <v>25</v>
      </c>
      <c r="E1141" s="653" t="s">
        <v>5254</v>
      </c>
      <c r="F1141" s="877" t="s">
        <v>6315</v>
      </c>
      <c r="G1141" s="877" t="s">
        <v>762</v>
      </c>
      <c r="H1141" s="871" t="s">
        <v>3402</v>
      </c>
      <c r="I1141" s="653" t="s">
        <v>7352</v>
      </c>
      <c r="J1141" s="871">
        <v>3</v>
      </c>
      <c r="K1141" s="618" t="s">
        <v>50</v>
      </c>
    </row>
    <row r="1142" spans="1:11">
      <c r="A1142" s="1142" t="s">
        <v>1646</v>
      </c>
      <c r="B1142" s="1142"/>
      <c r="C1142" s="1142"/>
      <c r="D1142" s="1142"/>
      <c r="E1142" s="1142"/>
      <c r="F1142" s="1142"/>
      <c r="G1142" s="1142"/>
      <c r="H1142" s="1142"/>
      <c r="I1142" s="1142"/>
      <c r="J1142" s="871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56" t="s">
        <v>5385</v>
      </c>
      <c r="I12" s="956"/>
      <c r="J12" s="956"/>
      <c r="K12" s="956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56" t="s">
        <v>5386</v>
      </c>
      <c r="I20" s="956"/>
      <c r="J20" s="956"/>
      <c r="K20" s="956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2026-10-23T04:55:20Z</dcterms:modified>
</cp:coreProperties>
</file>