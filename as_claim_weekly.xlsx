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사전품의내역!$A$1:$N$1645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633" i="2" l="1"/>
  <c r="L5" i="129" l="1"/>
  <c r="M1624" i="2" l="1"/>
  <c r="M1623" i="2"/>
  <c r="M1622" i="2"/>
  <c r="L19" i="129" l="1"/>
  <c r="M1603" i="2" l="1"/>
  <c r="M1602" i="2"/>
  <c r="M1601" i="2"/>
  <c r="M1600" i="2"/>
  <c r="L8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<sst xmlns="http://schemas.openxmlformats.org/spreadsheetml/2006/main" count="28549" uniqueCount="7120">
  <si>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</si>
  <si>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</si>
  <si>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</si>
  <si>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</si>
  <si>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</si>
  <si>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</si>
  <si>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</si>
  <si>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</si>
  <si>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</si>
  <si>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</si>
  <si>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</si>
  <si>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</si>
  <si>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</si>
  <si>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</si>
  <si>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</si>
  <si>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</si>
  <si>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</si>
  <si>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</si>
  <si>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</si>
  <si>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</si>
  <si>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</si>
  <si>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</si>
  <si>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</si>
  <si>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</si>
  <si>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</si>
  <si>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</si>
  <si>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</si>
  <si>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</si>
  <si>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</si>
  <si>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</si>
  <si>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</si>
  <si>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</si>
  <si>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</si>
  <si>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</si>
  <si>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</si>
  <si>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</si>
  <si>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</si>
  <si>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</si>
  <si>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</si>
  <si>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</si>
  <si>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</si>
  <si>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</si>
  <si>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</si>
  <si>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</si>
  <si>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</si>
  <si>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</si>
  <si>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</si>
  <si>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</si>
  <si>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</si>
  <si>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</si>
  <si>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</si>
  <si>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</si>
  <si>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</si>
  <si>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</si>
  <si>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</si>
  <si>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</si>
  <si>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</si>
  <si>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</si>
  <si>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</si>
  <si>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</si>
  <si>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</si>
  <si>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</si>
  <si>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</si>
  <si>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</si>
  <si>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</si>
  <si>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</si>
  <si>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</si>
  <si>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</si>
  <si>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</si>
  <si>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</si>
  <si>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</si>
  <si>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</si>
  <si>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</si>
  <si>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</si>
  <si>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</si>
  <si>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</si>
  <si>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</si>
  <si>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</si>
  <si>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</si>
  <si>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</si>
  <si>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</si>
  <si>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</si>
  <si>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</si>
  <si>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</si>
  <si>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</si>
  <si>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</si>
  <si>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</si>
  <si>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</si>
  <si>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</si>
  <si>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</si>
  <si>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</si>
  <si>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</si>
  <si>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</si>
  <si>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</si>
  <si>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</si>
  <si>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</si>
  <si>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</si>
  <si>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</si>
  <si>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</si>
  <si>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</si>
  <si>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</si>
  <si>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</si>
  <si>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</si>
  <si>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</si>
  <si>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</si>
  <si>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</si>
  <si>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</si>
  <si>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</si>
  <si>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</si>
  <si>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</si>
  <si>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</si>
  <si>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</si>
  <si>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</si>
  <si>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</si>
  <si>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</si>
  <si>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</si>
  <si>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</si>
  <si>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</si>
  <si>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</si>
  <si>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</si>
  <si>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</si>
  <si>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</si>
  <si>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</si>
  <si>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</si>
  <si>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</si>
  <si>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</si>
  <si>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</si>
  <si>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</si>
  <si>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</si>
  <si>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</si>
  <si>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</si>
  <si>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</si>
  <si>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</si>
  <si>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</si>
  <si>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</si>
  <si>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</si>
  <si>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</si>
  <si>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</si>
  <si>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</si>
  <si>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</si>
  <si>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</si>
  <si>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</si>
  <si>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</si>
  <si>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</si>
  <si>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</si>
  <si>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</si>
  <si>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</si>
  <si>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</si>
  <si>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</si>
  <si>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</si>
  <si>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</si>
  <si>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</si>
  <si>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</si>
  <si>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</si>
  <si>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</si>
  <si>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</si>
  <si>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</si>
  <si>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</si>
  <si>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</si>
  <si>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</si>
  <si>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</si>
  <si>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</si>
  <si>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</si>
  <si>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</si>
  <si>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</si>
  <si>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</si>
  <si>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</si>
  <si>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</si>
  <si>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</si>
  <si>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</si>
  <si>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</si>
  <si>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</si>
  <si>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</si>
  <si>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</si>
  <si>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</si>
  <si>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</si>
  <si>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</si>
  <si>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</si>
  <si>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</si>
  <si>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</si>
  <si>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</si>
  <si>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</si>
  <si>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</si>
  <si>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</si>
  <si>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</si>
  <si>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</si>
  <si>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</si>
  <si>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</si>
  <si>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</si>
  <si>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</si>
  <si>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</si>
  <si>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</si>
  <si>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</si>
  <si>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</si>
  <si>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</si>
  <si>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</si>
  <si>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</si>
  <si>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</si>
  <si>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</si>
  <si>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</si>
  <si>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</si>
  <si>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</si>
  <si>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</si>
  <si>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</si>
  <si>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</si>
  <si>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</si>
  <si>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</si>
  <si>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</si>
  <si>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</si>
  <si>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</si>
  <si>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</si>
  <si>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</si>
  <si>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</si>
  <si>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</si>
  <si>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</si>
  <si>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</si>
  <si>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</si>
  <si>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</si>
  <si>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</si>
  <si>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</si>
  <si>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</si>
  <si>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</si>
  <si>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</si>
  <si>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</si>
  <si>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</si>
  <si>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</si>
  <si>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</si>
  <si>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</si>
  <si>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</si>
  <si>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</si>
  <si>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</si>
  <si>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</si>
  <si>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</si>
  <si>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</si>
  <si>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</si>
  <si>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</si>
  <si>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</si>
  <si>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</si>
  <si>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</si>
  <si>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</si>
  <si>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</si>
  <si>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</si>
  <si>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</si>
  <si>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</si>
  <si>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</si>
  <si>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</si>
  <si>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</si>
  <si>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</si>
  <si>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</si>
  <si>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</si>
  <si>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</si>
  <si>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</si>
  <si>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</si>
  <si>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</si>
  <si>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</si>
  <si>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</si>
  <si>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</si>
  <si>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</si>
  <si>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</si>
  <si>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</si>
  <si>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</si>
  <si>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</si>
  <si>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</si>
  <si>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</si>
  <si>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</si>
  <si>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</si>
  <si>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</si>
  <si>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</si>
  <si>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</si>
  <si>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</si>
  <si>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</si>
  <si>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</si>
  <si>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</si>
  <si>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</si>
  <si>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</si>
  <si>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</si>
  <si>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</si>
  <si>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</si>
  <si>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</si>
  <si>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</si>
  <si>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</si>
  <si>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</si>
  <si>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</si>
  <si>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</si>
  <si>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</si>
  <si>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</si>
  <si>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</si>
  <si>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</si>
  <si>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</si>
  <si>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</si>
  <si>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</si>
  <si>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</si>
  <si>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</si>
  <si>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</si>
  <si>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</si>
  <si>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</si>
  <si>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</si>
  <si>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</si>
  <si>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</si>
  <si>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</si>
  <si>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</si>
  <si>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</si>
  <si>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</si>
  <si>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</si>
  <si>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</si>
  <si>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</si>
  <si>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</si>
  <si>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</si>
  <si>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</si>
  <si>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</si>
  <si>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</si>
  <si>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</si>
  <si>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</si>
  <si>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</si>
  <si>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</si>
  <si>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</si>
  <si>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</si>
  <si>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</si>
  <si>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</si>
  <si>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</si>
  <si>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</si>
  <si>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</si>
  <si>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</si>
  <si>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</si>
  <si>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</si>
  <si>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</si>
  <si>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</si>
  <si>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</si>
  <si>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</si>
  <si>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</si>
  <si>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</si>
  <si>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</si>
  <si>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</si>
  <si>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</si>
  <si>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</si>
  <si>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</si>
  <si>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</si>
  <si>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</si>
  <si>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</si>
  <si>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</si>
  <si>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</si>
  <si>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</si>
  <si>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</si>
  <si>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</si>
  <si>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</si>
  <si>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</si>
  <si>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</si>
  <si>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</si>
  <si>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</si>
  <si>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</si>
  <si>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</si>
  <si>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</si>
  <si>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</si>
  <si>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</si>
  <si>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</si>
  <si>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</si>
  <si>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</si>
  <si>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</si>
  <si>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</si>
  <si>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</si>
  <si>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</si>
  <si>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</si>
  <si>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</si>
  <si>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</si>
  <si>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</si>
  <si>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</si>
  <si>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</si>
  <si>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</si>
  <si>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</si>
  <si>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</si>
  <si>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</si>
  <si>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</si>
  <si>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</si>
  <si>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</si>
  <si>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</si>
  <si>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</si>
  <si>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</si>
  <si>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</si>
  <si>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</si>
  <si>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</si>
  <si>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</si>
  <si>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</si>
  <si>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</si>
  <si>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</si>
  <si>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</si>
  <si>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</si>
  <si>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</si>
  <si>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</si>
  <si>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</si>
  <si>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</si>
  <si>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</si>
  <si>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</si>
  <si>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</si>
  <si>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</si>
  <si>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</si>
  <si>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</si>
  <si>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</si>
  <si>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</si>
  <si>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</si>
  <si>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</si>
  <si>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</si>
  <si>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</si>
  <si>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</si>
  <si>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</si>
  <si>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</si>
  <si>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</si>
  <si>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</si>
  <si>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</si>
  <si>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</si>
  <si>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</si>
  <si>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</si>
  <si>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</si>
  <si>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</si>
  <si>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</si>
  <si>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</si>
  <si>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</si>
  <si>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</si>
  <si>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</si>
  <si>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</si>
  <si>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</si>
  <si>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</si>
  <si>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</si>
  <si>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</si>
  <si>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</si>
  <si>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</si>
  <si>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</si>
  <si>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</si>
  <si>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</si>
  <si>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</si>
  <si>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</si>
  <si>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</si>
  <si>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</si>
  <si>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</si>
  <si>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</si>
  <si>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</si>
  <si>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</si>
  <si>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</si>
  <si>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</si>
  <si>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</si>
  <si>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</si>
  <si>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</si>
  <si>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</si>
  <si>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</si>
  <si>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</si>
  <si>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</si>
  <si>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</si>
  <si>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</si>
  <si>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</si>
  <si>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</si>
  <si>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</si>
  <si>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</si>
  <si>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</si>
  <si>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</si>
  <si>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</si>
  <si>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</si>
  <si>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</si>
  <si>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</si>
  <si>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</si>
  <si>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</si>
  <si>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</si>
  <si>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</si>
  <si>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</si>
  <si>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</si>
  <si>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</si>
  <si>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</si>
  <si>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</si>
  <si>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</si>
  <si>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</si>
  <si>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</si>
  <si>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</si>
  <si>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</si>
  <si>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</si>
  <si>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</si>
  <si>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</si>
  <si>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</si>
  <si>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</si>
  <si>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</si>
  <si>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</si>
  <si>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</si>
  <si>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</si>
  <si>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</si>
  <si>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</si>
  <si>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</si>
  <si>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</si>
  <si>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</si>
  <si>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</si>
  <si>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</si>
  <si>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</si>
  <si>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</si>
  <si>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</si>
  <si>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</si>
  <si>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</si>
  <si>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</si>
  <si>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</si>
  <si>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</si>
  <si>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</si>
  <si>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</si>
  <si>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</si>
  <si>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</si>
  <si>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</si>
  <si>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</si>
  <si>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</si>
  <si>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</si>
  <si>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</si>
  <si>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</si>
  <si>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</si>
  <si>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</si>
  <si>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</si>
  <si>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</si>
  <si>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</si>
  <si>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</si>
  <si>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</si>
  <si>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</si>
  <si>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</si>
  <si>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</si>
  <si>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</si>
  <si>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</si>
  <si>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</si>
  <si>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</si>
  <si>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</si>
  <si>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</si>
  <si>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</si>
  <si>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</si>
  <si>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</si>
  <si>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</si>
  <si>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</si>
  <si>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</si>
  <si>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</si>
  <si>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</si>
  <si>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</si>
  <si>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</si>
  <si>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</si>
  <si>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</si>
  <si>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</si>
  <si>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</si>
  <si>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</si>
  <si>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</si>
  <si>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</si>
  <si>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</si>
  <si>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</si>
  <si>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</si>
  <si>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</si>
  <si>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</si>
  <si>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</si>
  <si>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</si>
  <si>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</si>
  <si>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</si>
  <si>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</si>
  <si>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</si>
  <si>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</si>
  <si>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</si>
  <si>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</si>
  <si>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</si>
  <si>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</si>
  <si>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</si>
  <si>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</si>
  <si>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</si>
  <si>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</si>
  <si>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</si>
  <si>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</si>
  <si>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</si>
  <si>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</si>
  <si>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</si>
  <si>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</si>
  <si>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</si>
  <si>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</si>
  <si>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</si>
  <si>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</si>
  <si>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</si>
  <si>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</si>
  <si>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</si>
  <si>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</si>
  <si>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</si>
  <si>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</si>
  <si>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</si>
  <si>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</si>
  <si>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</si>
  <si>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</si>
  <si>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</si>
  <si>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</si>
  <si>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</si>
  <si>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</si>
  <si>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</si>
  <si>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</si>
  <si>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</si>
  <si>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</si>
  <si>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</si>
  <si>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</si>
  <si>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</si>
  <si>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</si>
  <si>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</si>
  <si>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</si>
  <si>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</si>
  <si>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</si>
  <si>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</si>
  <si>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</si>
  <si>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</si>
  <si>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</si>
  <si>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</si>
  <si>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</si>
  <si>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</si>
  <si>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</si>
  <si>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</si>
  <si>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</si>
  <si>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</si>
  <si>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</si>
  <si>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</si>
  <si>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</si>
  <si>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</si>
  <si>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</si>
  <si>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</si>
  <si>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</si>
  <si>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</si>
  <si>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</si>
  <si>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</si>
  <si>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</si>
  <si>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</si>
  <si>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</si>
  <si>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</si>
  <si>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</si>
  <si>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</si>
  <si>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</si>
  <si>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</si>
  <si>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</si>
  <si>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</si>
  <si>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</si>
  <si>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</si>
  <si>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</si>
  <si>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</si>
  <si>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</si>
  <si>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</si>
  <si>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</si>
  <si>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</si>
  <si>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</si>
  <si>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</si>
  <si>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</si>
  <si>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</si>
  <si>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</si>
  <si>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</si>
  <si>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</si>
  <si>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</si>
  <si>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</si>
  <si>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</si>
  <si>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</si>
  <si>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</si>
  <si>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</si>
  <si>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</si>
  <si>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</si>
  <si>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</si>
  <si>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</si>
  <si>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</si>
  <si>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</si>
  <si>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</si>
  <si>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</si>
  <si>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</si>
  <si>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</si>
  <si>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</si>
  <si>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</si>
  <si>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</si>
  <si>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</si>
  <si>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</si>
  <si>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</si>
  <si>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</si>
  <si>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</si>
  <si>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</si>
  <si>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</si>
  <si>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</si>
  <si>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</si>
  <si>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</si>
  <si>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</si>
  <si>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</si>
  <si>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</si>
  <si>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</si>
  <si>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</si>
  <si>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</si>
  <si>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</si>
  <si>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</si>
  <si>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</si>
  <si>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</si>
  <si>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</si>
  <si>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</si>
  <si>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</si>
  <si>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</si>
  <si>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</si>
  <si>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</si>
  <si>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</si>
  <si>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</si>
  <si>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</si>
  <si>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</si>
  <si>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</si>
  <si>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</si>
  <si>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</si>
  <si>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</si>
  <si>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</si>
  <si>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</si>
  <si>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</si>
  <si>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</si>
  <si>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</si>
  <si>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</si>
  <si>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</si>
  <si>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</si>
  <si>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</si>
  <si>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</si>
  <si>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</si>
  <si>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</si>
  <si>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</si>
  <si>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</si>
  <si>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</si>
  <si>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</si>
  <si>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</si>
  <si>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</si>
  <si>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</si>
  <si>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</si>
  <si>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</si>
  <si>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</si>
  <si>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</si>
  <si>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</si>
  <si>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</si>
  <si>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</si>
  <si>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</si>
  <si>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</si>
  <si>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</si>
  <si>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</si>
  <si>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</si>
  <si>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</si>
  <si>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</si>
  <si>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</si>
  <si>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</si>
  <si>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</si>
  <si>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</si>
  <si>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</si>
  <si>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</si>
  <si>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</si>
  <si>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</si>
  <si>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</si>
  <si>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</si>
  <si>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</si>
  <si>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</si>
  <si>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</si>
  <si>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</si>
  <si>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</si>
  <si>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</si>
  <si>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</si>
  <si>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</si>
  <si>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</si>
  <si>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</si>
  <si>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</si>
  <si>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</si>
  <si>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</si>
  <si>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</si>
  <si>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</si>
  <si>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</si>
  <si>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</si>
  <si>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</si>
  <si>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</si>
  <si>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</si>
  <si>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</si>
  <si>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</si>
  <si>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</si>
  <si>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</si>
  <si>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</si>
  <si>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</si>
  <si>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</si>
  <si>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</si>
  <si>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</si>
  <si>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</si>
  <si>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</si>
  <si>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</si>
  <si>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</si>
  <si>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</si>
  <si>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</si>
  <si>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</si>
  <si>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</si>
  <si>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</si>
  <si>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</si>
  <si>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</si>
  <si>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</si>
  <si>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</si>
  <si>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</si>
  <si>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</si>
  <si>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</si>
  <si>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</si>
  <si>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</si>
  <si>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</si>
  <si>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</si>
  <si>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</si>
  <si>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</si>
  <si>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</si>
  <si>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</si>
  <si>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</si>
  <si>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</si>
  <si>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</si>
  <si>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</si>
  <si>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</si>
  <si>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</si>
  <si>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</si>
  <si>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</si>
  <si>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</si>
  <si>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</si>
  <si>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</si>
  <si>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</si>
  <si>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</si>
  <si>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</si>
  <si>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</si>
  <si>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</si>
  <si>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</si>
  <si>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</si>
  <si>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</si>
  <si>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</si>
  <si>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</si>
  <si>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</si>
  <si>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</si>
  <si>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</si>
  <si>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</si>
  <si>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</si>
  <si>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</si>
  <si>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</si>
  <si>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</si>
  <si>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</si>
  <si>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</si>
  <si>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</si>
  <si>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</si>
  <si>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</si>
  <si>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</si>
  <si>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</si>
  <si>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</si>
  <si>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</si>
  <si>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</si>
  <si>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</si>
  <si>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</si>
  <si>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</si>
  <si>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</si>
  <si>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</si>
  <si>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</si>
  <si>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</si>
  <si>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</si>
  <si>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</si>
  <si>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</si>
  <si>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</si>
  <si>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</si>
  <si>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</si>
  <si>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</si>
  <si>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</si>
  <si>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</si>
  <si>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</si>
  <si>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</si>
  <si>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</si>
  <si>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</si>
  <si>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</si>
  <si>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</si>
  <si>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</si>
  <si>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</si>
  <si>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</si>
  <si>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</si>
  <si>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</si>
  <si>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</si>
  <si>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</si>
  <si>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</si>
  <si>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</si>
  <si>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</si>
  <si>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</si>
  <si>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</si>
  <si>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</si>
  <si>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</si>
  <si>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</si>
  <si>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</si>
  <si>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</si>
  <si>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</si>
  <si>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</si>
  <si>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</si>
  <si>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</si>
  <si>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</si>
  <si>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</si>
  <si>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</si>
  <si>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</si>
  <si>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</si>
  <si>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</si>
  <si>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</si>
  <si>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</si>
  <si>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</si>
  <si>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</si>
  <si>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</si>
  <si>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</si>
  <si>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</si>
  <si>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</si>
  <si>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</si>
  <si>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</si>
  <si>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</si>
  <si>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</si>
  <si>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</si>
  <si>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</si>
  <si>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</si>
  <si>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</si>
  <si>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</si>
  <si>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</si>
  <si>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</si>
  <si>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</si>
  <si>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</si>
  <si>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</si>
  <si>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</si>
  <si>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</si>
  <si>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</si>
  <si>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</si>
  <si>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</si>
  <si>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</si>
  <si>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</si>
  <si>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</si>
  <si>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</si>
  <si>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</si>
  <si>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</si>
  <si>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</si>
  <si>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</si>
  <si>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</si>
  <si>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</si>
  <si>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</si>
  <si>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</si>
  <si>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</si>
  <si>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</si>
  <si>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</si>
  <si>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</si>
  <si>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</si>
  <si>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</si>
  <si>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</si>
  <si>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</si>
  <si>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</si>
  <si>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</si>
  <si>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</si>
  <si>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</si>
  <si>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</si>
  <si>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</si>
  <si>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</si>
  <si>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</si>
  <si>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</si>
  <si>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</si>
  <si>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</si>
  <si>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</si>
  <si>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</si>
  <si>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</si>
  <si>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</si>
  <si>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</si>
  <si>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</si>
  <si>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</si>
  <si>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</si>
  <si>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</si>
  <si>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</si>
  <si>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</si>
  <si>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</si>
  <si>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</si>
  <si>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</si>
  <si>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</si>
  <si>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</si>
  <si>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</si>
  <si>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</si>
  <si>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</si>
  <si>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</si>
  <si>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</si>
  <si>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</si>
  <si>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</si>
  <si>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</si>
  <si>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</si>
  <si>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</si>
  <si>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</si>
  <si>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</si>
  <si>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</si>
  <si>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</si>
  <si>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</si>
  <si>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</si>
  <si>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</si>
  <si>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</si>
  <si>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</si>
  <si>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</si>
  <si>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</si>
  <si>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</si>
  <si>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</si>
  <si>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</si>
  <si>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</si>
  <si>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</si>
  <si>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</si>
  <si>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</si>
  <si>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</si>
  <si>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</si>
  <si>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</si>
  <si>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</si>
  <si>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</si>
  <si>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</si>
  <si>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</si>
  <si>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</si>
  <si>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</si>
  <si>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</si>
  <si>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</si>
  <si>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</si>
  <si>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</si>
  <si>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</si>
  <si>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</si>
  <si>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</si>
  <si>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</si>
  <si>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</si>
  <si>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</si>
  <si>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</si>
  <si>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</si>
  <si>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</si>
  <si>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</si>
  <si>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</si>
  <si>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</si>
  <si>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</si>
  <si>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</si>
  <si>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</si>
  <si>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</si>
  <si>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</si>
  <si>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</si>
  <si>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</si>
  <si>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</si>
  <si>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</si>
  <si>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</si>
  <si>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</si>
  <si>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</si>
  <si>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</si>
  <si>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</si>
  <si>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</si>
  <si>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</si>
  <si>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</si>
  <si>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</si>
  <si>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</si>
  <si>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</si>
  <si>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</si>
  <si>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</si>
  <si>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</si>
  <si>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</si>
  <si>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</si>
  <si>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</si>
  <si>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</si>
  <si>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</si>
  <si>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</si>
  <si>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</si>
  <si>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</si>
  <si>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</si>
  <si>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</si>
  <si>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</si>
  <si>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</si>
  <si>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</si>
  <si>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</si>
  <si>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</si>
  <si>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</si>
  <si>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</si>
  <si>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</si>
  <si>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</si>
  <si>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</si>
  <si>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</si>
  <si>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</si>
  <si>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</si>
  <si>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</si>
  <si>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</si>
  <si>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</si>
  <si>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</si>
  <si>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</si>
  <si>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</si>
  <si>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</si>
  <si>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</si>
  <si>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</si>
  <si>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</si>
  <si>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</si>
  <si>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</si>
  <si>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</si>
  <si>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</si>
  <si>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</si>
  <si>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</si>
  <si>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</si>
  <si>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</si>
  <si>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</si>
  <si>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</si>
  <si>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</si>
  <si>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</si>
  <si>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</si>
  <si>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</si>
  <si>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</si>
  <si>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</si>
  <si>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</si>
  <si>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</si>
  <si>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</si>
  <si>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</si>
  <si>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</si>
  <si>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</si>
  <si>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</si>
  <si>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</si>
  <si>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</si>
  <si>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</si>
  <si>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</si>
  <si>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</si>
  <si>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</si>
  <si>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</si>
  <si>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</si>
  <si>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</si>
  <si>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</si>
  <si>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</si>
  <si>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</si>
  <si>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</si>
  <si>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</si>
  <si>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</si>
  <si>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</si>
  <si>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</si>
  <si>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</si>
  <si>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</si>
  <si>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</si>
  <si>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</si>
  <si>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</si>
  <si>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</si>
  <si>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</si>
  <si>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</si>
  <si>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</si>
  <si>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</si>
  <si>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</si>
  <si>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</si>
  <si>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</si>
  <si>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</si>
  <si>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</si>
  <si>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</si>
  <si>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</si>
  <si>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</si>
  <si>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</si>
  <si>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</si>
  <si>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</si>
  <si>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</si>
  <si>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</si>
  <si>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</si>
  <si>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</si>
  <si>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</si>
  <si>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</si>
  <si>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</si>
  <si>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</si>
  <si>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</si>
  <si>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</si>
  <si>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</si>
  <si>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</si>
  <si>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</si>
  <si>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</si>
  <si>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</si>
  <si>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</si>
  <si>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</si>
  <si>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</si>
  <si>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</si>
  <si>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</si>
  <si>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</si>
  <si>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</si>
  <si>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</si>
  <si>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</si>
  <si>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</si>
  <si>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</si>
  <si>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</si>
  <si>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</si>
  <si>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</si>
  <si>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</si>
  <si>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</si>
  <si>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</si>
  <si>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</si>
  <si>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</si>
  <si>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</si>
  <si>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</si>
  <si>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</si>
  <si>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</si>
  <si>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</si>
  <si>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</si>
  <si>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</si>
  <si>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</si>
  <si>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</si>
  <si>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</si>
  <si>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</si>
  <si>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</si>
  <si>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</si>
  <si>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</si>
  <si>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</si>
  <si>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</si>
  <si>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</si>
  <si>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</si>
  <si>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</si>
  <si>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</si>
  <si>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</si>
  <si>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</si>
  <si>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</si>
  <si>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</si>
  <si>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</si>
  <si>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</si>
  <si>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</si>
  <si>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</si>
  <si>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</si>
  <si>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</si>
  <si>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</si>
  <si>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</si>
  <si>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</si>
  <si>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</si>
  <si>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</si>
  <si>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</si>
  <si>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</si>
  <si>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</si>
  <si>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</si>
  <si>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</si>
  <si>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</si>
  <si>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</si>
  <si>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</si>
  <si>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</si>
  <si>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</si>
  <si>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</si>
  <si>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</si>
  <si>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</si>
  <si>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</si>
  <si>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</si>
  <si>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</si>
  <si>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</si>
  <si>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</si>
  <si>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</si>
  <si>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</si>
  <si>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</si>
  <si>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</si>
  <si>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</si>
  <si>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</si>
  <si>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</si>
  <si>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</si>
  <si>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</si>
  <si>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</si>
  <si>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</si>
  <si>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</si>
  <si>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</si>
  <si>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</si>
  <si>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</si>
  <si>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</si>
  <si>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</si>
  <si>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</si>
  <si>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</si>
  <si>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</si>
  <si>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</si>
  <si>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</si>
  <si>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</si>
  <si>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</si>
  <si>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</si>
  <si>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</si>
  <si>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</si>
  <si>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</si>
  <si>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</si>
  <si>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</si>
  <si>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</si>
  <si>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</si>
  <si>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</si>
  <si>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</si>
  <si>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</si>
  <si>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</si>
  <si>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</si>
  <si>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</si>
  <si>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</si>
  <si>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</si>
  <si>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</si>
  <si>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</si>
  <si>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</si>
  <si>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</si>
  <si>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</si>
  <si>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</si>
  <si>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</si>
  <si>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</si>
  <si>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</si>
  <si>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</si>
  <si>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</si>
  <si>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</si>
  <si>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</si>
  <si>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</si>
  <si>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</si>
  <si>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</si>
  <si>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</si>
  <si>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</si>
  <si>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</si>
  <si>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</si>
  <si>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</si>
  <si>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</si>
  <si>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</si>
  <si>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</si>
  <si>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</si>
  <si>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</si>
  <si>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</si>
  <si>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</si>
  <si>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</si>
  <si>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</si>
  <si>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</si>
  <si>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</si>
  <si>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</si>
  <si>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</si>
  <si>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</si>
  <si>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</si>
  <si>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</si>
  <si>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</si>
  <si>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</si>
  <si>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</si>
  <si>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</si>
  <si>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</si>
  <si>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</si>
  <si>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</si>
  <si>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</si>
  <si>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</si>
  <si>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</si>
  <si>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</si>
  <si>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</si>
  <si>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</si>
  <si>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</si>
  <si>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</si>
  <si>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</si>
  <si>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</si>
  <si>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</si>
  <si>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</si>
  <si>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</si>
  <si>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</si>
  <si>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</si>
  <si>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</si>
  <si>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</si>
  <si>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</si>
  <si>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</si>
  <si>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</si>
  <si>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</si>
  <si>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</si>
  <si>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</si>
  <si>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</si>
  <si>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</si>
  <si>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</si>
  <si>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</si>
  <si>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</si>
  <si>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</si>
  <si>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</si>
  <si>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</si>
  <si>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</si>
  <si>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</si>
  <si>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</si>
  <si>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</si>
  <si>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</si>
  <si>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</si>
  <si>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</si>
  <si>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</si>
  <si>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</si>
  <si>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</si>
  <si>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</si>
  <si>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</si>
  <si>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</si>
  <si>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</si>
  <si>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</si>
  <si>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</si>
  <si>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</si>
  <si>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</si>
  <si>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</si>
  <si>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</si>
  <si>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</si>
  <si>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</si>
  <si>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</si>
  <si>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</si>
  <si>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</si>
  <si>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</si>
  <si>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</si>
  <si>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</si>
  <si>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</si>
  <si>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</si>
  <si>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</si>
  <si>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</si>
  <si>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</si>
  <si>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</si>
  <si>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</si>
  <si>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</si>
  <si>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</si>
  <si>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</si>
  <si>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</si>
  <si>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</si>
  <si>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</si>
  <si>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</si>
  <si>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</si>
  <si>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</si>
  <si>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</si>
  <si>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</si>
  <si>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</si>
  <si>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</si>
  <si>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</si>
  <si>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</si>
  <si>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</si>
  <si>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</si>
  <si>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</si>
  <si>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</si>
  <si>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</si>
  <si>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</si>
  <si>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</si>
  <si>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</si>
  <si>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</si>
  <si>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</si>
  <si>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</si>
  <si>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</si>
  <si>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</si>
  <si>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</si>
  <si>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</si>
  <si>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</si>
  <si>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</si>
  <si>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</si>
  <si>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</si>
  <si>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</si>
  <si>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</si>
  <si>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</si>
  <si>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</si>
  <si>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</si>
  <si>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</si>
  <si>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</si>
  <si>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</si>
  <si>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</si>
  <si>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</si>
  <si>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</si>
  <si>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</si>
  <si>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</si>
  <si>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</si>
  <si>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</si>
  <si>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</si>
  <si>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</si>
  <si>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</si>
  <si>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</si>
  <si>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</si>
  <si>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</si>
  <si>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</si>
  <si>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</si>
  <si>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</si>
  <si>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</si>
  <si>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</si>
  <si>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</si>
  <si>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</si>
  <si>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</si>
  <si>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</si>
  <si>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</si>
  <si>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</si>
  <si>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</si>
  <si>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</si>
  <si>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</si>
  <si>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</si>
  <si>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</si>
  <si>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</si>
  <si>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</si>
  <si>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</si>
  <si>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</si>
  <si>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</si>
  <si>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</si>
  <si>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</si>
  <si>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</si>
  <si>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</si>
  <si>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</si>
  <si>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</si>
  <si>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</si>
  <si>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</si>
  <si>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</si>
  <si>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</si>
  <si>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</si>
  <si>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</si>
  <si>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</si>
  <si>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</si>
  <si>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</si>
  <si>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</si>
  <si>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</si>
  <si>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</si>
  <si>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</si>
  <si>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</si>
  <si>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</si>
  <si>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</si>
  <si>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</si>
  <si>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</si>
  <si>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</si>
  <si>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</si>
  <si>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</si>
  <si>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</si>
  <si>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</si>
  <si>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</si>
  <si>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</si>
  <si>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</si>
  <si>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</si>
  <si>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</si>
  <si>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</si>
  <si>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</si>
  <si>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</si>
  <si>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</si>
  <si>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</si>
  <si>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</si>
  <si>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</si>
  <si>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</si>
  <si>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</si>
  <si>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</si>
  <si>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</si>
  <si>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</si>
  <si>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</si>
  <si>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</si>
  <si>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</si>
  <si>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</si>
  <si>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</si>
  <si>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</si>
  <si>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</si>
  <si>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</si>
  <si>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</si>
  <si>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</si>
  <si>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</si>
  <si>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</si>
  <si>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</si>
  <si>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</si>
  <si>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</si>
  <si>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</si>
  <si>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</si>
  <si>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</si>
  <si>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</si>
  <si>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</si>
  <si>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</si>
  <si>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</si>
  <si>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</si>
  <si>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</si>
  <si>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</si>
  <si>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</si>
  <si>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</si>
  <si>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</si>
  <si>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</si>
  <si>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</si>
  <si>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</si>
  <si>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</si>
  <si>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</si>
  <si>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</si>
  <si>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</si>
  <si>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</si>
  <si>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</si>
  <si>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</si>
  <si>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</si>
  <si>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</si>
  <si>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</si>
  <si>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</si>
  <si>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</si>
  <si>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</si>
  <si>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</si>
  <si>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</si>
  <si>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</si>
  <si>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</si>
  <si>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</si>
  <si>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</si>
  <si>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</si>
  <si>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</si>
  <si>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</si>
  <si>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</si>
  <si>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</si>
  <si>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</si>
  <si>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</si>
  <si>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</si>
  <si>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</si>
  <si>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</si>
  <si>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</si>
  <si>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</si>
  <si>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</si>
  <si>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</si>
  <si>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</si>
  <si>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</si>
  <si>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</si>
  <si>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</si>
  <si>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</si>
  <si>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</si>
  <si>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</si>
  <si>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</si>
  <si>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</si>
  <si>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</si>
  <si>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</si>
  <si>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</si>
  <si>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</si>
  <si>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</si>
  <si>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</si>
  <si>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</si>
  <si>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</si>
  <si>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</si>
  <si>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</si>
  <si>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</si>
  <si>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</si>
  <si>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</si>
  <si>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</si>
  <si>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</si>
  <si>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</si>
  <si>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</si>
  <si>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</si>
  <si>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</si>
  <si>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</si>
  <si>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</si>
  <si>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</si>
  <si>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</si>
  <si>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</si>
  <si>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</si>
  <si>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</si>
  <si>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</si>
  <si>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</si>
  <si>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</si>
  <si>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</si>
  <si>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</si>
  <si>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</si>
  <si>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</si>
  <si>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</si>
  <si>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</si>
  <si>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</si>
  <si>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</si>
  <si>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</si>
  <si>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</si>
  <si>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</si>
  <si>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</si>
  <si>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</si>
  <si>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</si>
  <si>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</si>
  <si>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</si>
  <si>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</si>
  <si>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</si>
  <si>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</si>
  <si>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</si>
  <si>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</si>
  <si>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</si>
  <si>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</si>
  <si>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</si>
  <si>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</si>
  <si>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</si>
  <si>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</si>
  <si>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</si>
  <si>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</si>
  <si>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</si>
  <si>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</si>
  <si>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</si>
  <si>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</si>
  <si>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</si>
  <si>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</si>
  <si>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</si>
  <si>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</si>
  <si>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</si>
  <si>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</si>
  <si>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</si>
  <si>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</si>
  <si>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</si>
  <si>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</si>
  <si>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</si>
  <si>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</si>
  <si>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</si>
  <si>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</si>
  <si>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</si>
  <si>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</si>
  <si>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</si>
  <si>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</si>
  <si>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</si>
  <si>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</si>
  <si>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</si>
  <si>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</si>
  <si>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</si>
  <si>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</si>
  <si>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</si>
  <si>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</si>
  <si>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</si>
  <si>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</si>
  <si>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</si>
  <si>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</si>
  <si>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</si>
  <si>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</si>
  <si>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</si>
  <si>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</si>
  <si>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</si>
  <si>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</si>
  <si>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</si>
  <si>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</si>
  <si>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</si>
  <si>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</si>
  <si>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</si>
  <si>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</si>
  <si>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</si>
  <si>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</si>
  <si>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</si>
  <si>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</si>
  <si>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</si>
  <si>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</si>
  <si>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</si>
  <si>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</si>
  <si>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</si>
  <si>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</si>
  <si>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</si>
  <si>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</si>
  <si>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</si>
  <si>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</si>
  <si>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</si>
  <si>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</si>
  <si>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</si>
  <si>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</si>
  <si>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</si>
  <si>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</si>
  <si>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</si>
  <si>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</si>
  <si>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</si>
  <si>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</si>
  <si>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</si>
  <si>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</si>
  <si>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</si>
  <si>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</si>
  <si>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</si>
  <si>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</si>
  <si>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</si>
  <si>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</si>
  <si>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</si>
  <si>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</si>
  <si>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</si>
  <si>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</si>
  <si>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</si>
  <si>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</si>
  <si>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</si>
  <si>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</si>
  <si>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</si>
  <si>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</si>
  <si>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</si>
  <si>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</si>
  <si>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</si>
  <si>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</si>
  <si>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</si>
  <si>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</si>
  <si>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</si>
  <si>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</si>
  <si>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</si>
  <si>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</si>
  <si>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</si>
  <si>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</si>
  <si>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</si>
  <si>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</si>
  <si>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</si>
  <si>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</si>
  <si>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</si>
  <si>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</si>
  <si>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</si>
  <si>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</si>
  <si>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</si>
  <si>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</si>
  <si>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</si>
  <si>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</si>
  <si>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</si>
  <si>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</si>
  <si>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</si>
  <si>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</si>
  <si>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</si>
  <si>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</si>
  <si>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</si>
  <si>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</si>
  <si>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</si>
  <si>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</si>
  <si>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</si>
  <si>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</si>
  <si>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</si>
  <si>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</si>
  <si>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</si>
  <si>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</si>
  <si>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</si>
  <si>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</si>
  <si>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</si>
  <si>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</si>
  <si>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</si>
  <si>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</si>
  <si>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</si>
  <si>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</si>
  <si>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</si>
  <si>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</si>
  <si>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</si>
  <si>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</si>
  <si>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</si>
  <si>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</si>
  <si>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</si>
  <si>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</si>
  <si>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</si>
  <si>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</si>
  <si>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</si>
  <si>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</si>
  <si>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</si>
  <si>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</si>
  <si>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</si>
  <si>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</si>
  <si>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</si>
  <si>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</si>
  <si>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</si>
  <si>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</si>
  <si>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</si>
  <si>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</si>
  <si>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</si>
  <si>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</si>
  <si>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</si>
  <si>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</si>
  <si>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</si>
  <si>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</si>
  <si>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</si>
  <si>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</si>
  <si>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</si>
  <si>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</si>
  <si>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</si>
  <si>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</si>
  <si>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</si>
  <si>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</si>
  <si>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</si>
  <si>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</si>
  <si>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</si>
  <si>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</si>
  <si>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</si>
  <si>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</si>
  <si>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</si>
  <si>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</si>
  <si>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</si>
  <si>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</si>
  <si>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</si>
  <si>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</si>
  <si>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</si>
  <si>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</si>
  <si>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</si>
  <si>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</si>
  <si>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</si>
  <si>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</si>
  <si>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</si>
  <si>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</si>
  <si>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</si>
  <si>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</si>
  <si>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</si>
  <si>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</si>
  <si>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</si>
  <si>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</si>
  <si>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</si>
  <si>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</si>
  <si>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</si>
  <si>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</si>
  <si>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</si>
  <si>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</si>
  <si>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</si>
  <si>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</si>
  <si>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</si>
  <si>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</si>
  <si>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</si>
  <si>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</si>
  <si>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</si>
  <si>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</si>
  <si>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</si>
  <si>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</si>
  <si>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</si>
  <si>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</si>
  <si>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</si>
  <si>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</si>
  <si>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</si>
  <si>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</si>
  <si>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</si>
  <si>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</si>
  <si>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</si>
  <si>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</si>
  <si>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</si>
  <si>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</si>
  <si>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</si>
  <si>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</si>
  <si>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</si>
  <si>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</si>
  <si>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</si>
  <si>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</si>
  <si>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</si>
  <si>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</si>
  <si>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</si>
  <si>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</si>
  <si>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</si>
  <si>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</si>
  <si>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</si>
  <si>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</si>
  <si>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</si>
  <si>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</si>
  <si>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</si>
  <si>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</si>
  <si>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</si>
  <si>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</si>
  <si>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</si>
  <si>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</si>
  <si>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</si>
  <si>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</si>
  <si>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</si>
  <si>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</si>
  <si>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</si>
  <si>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</si>
  <si>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</si>
  <si>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</si>
  <si>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</si>
  <si>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</si>
  <si>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</si>
  <si>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</si>
  <si>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</si>
  <si>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</si>
  <si>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</si>
  <si>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</si>
  <si>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</si>
  <si>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</si>
  <si>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</si>
  <si>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</si>
  <si>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</si>
  <si>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</si>
  <si>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</si>
  <si>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</si>
  <si>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</si>
  <si>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</si>
  <si>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</si>
  <si>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</si>
  <si>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</si>
  <si>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</si>
  <si>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</si>
  <si>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</si>
  <si>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</si>
  <si>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</si>
  <si>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</si>
  <si>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</si>
  <si>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</si>
  <si>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</si>
  <si>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</si>
  <si>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</si>
  <si>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</si>
  <si>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</si>
  <si>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</si>
  <si>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</si>
  <si>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</si>
  <si>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</si>
  <si>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</si>
  <si>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</si>
  <si>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</si>
  <si>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</si>
  <si>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</si>
  <si>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</si>
  <si>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</si>
  <si>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</si>
  <si>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</si>
  <si>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</si>
  <si>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</si>
  <si>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</si>
  <si>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</si>
  <si>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</si>
  <si>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</si>
  <si>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</si>
  <si>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</si>
  <si>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</si>
  <si>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</si>
  <si>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</si>
  <si>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</si>
  <si>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</si>
  <si>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</si>
  <si>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</si>
  <si>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</si>
  <si>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</si>
  <si>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</si>
  <si>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</si>
  <si>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</si>
  <si>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</si>
  <si>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</si>
  <si>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</si>
  <si>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</si>
  <si>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</si>
  <si>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</si>
  <si>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</si>
  <si>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</si>
  <si>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</si>
  <si>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</si>
  <si>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</si>
  <si>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</si>
  <si>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</si>
  <si>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</si>
  <si>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</si>
  <si>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</si>
  <si>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</si>
  <si>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</si>
  <si>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</si>
  <si>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</si>
  <si>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</si>
  <si>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</si>
  <si>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</si>
  <si>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</si>
  <si>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</si>
  <si>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</si>
  <si>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</si>
  <si>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</si>
  <si>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</si>
  <si>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</si>
  <si>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</si>
  <si>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</si>
  <si>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</si>
  <si>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</si>
  <si>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</si>
  <si>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</si>
  <si>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</si>
  <si>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</si>
  <si>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</si>
  <si>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</si>
  <si>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</si>
  <si>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</si>
  <si>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</si>
  <si>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</si>
  <si>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</si>
  <si>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</si>
  <si>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</si>
  <si>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</si>
  <si>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</si>
  <si>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</si>
  <si>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</si>
  <si>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</si>
  <si>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</si>
  <si>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</si>
  <si>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</si>
  <si>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</si>
  <si>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</si>
  <si>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</si>
  <si>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</si>
  <si>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</si>
  <si>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</si>
  <si>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</si>
  <si>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</si>
  <si>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</si>
  <si>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</si>
  <si>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</si>
  <si>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</si>
  <si>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</si>
  <si>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</si>
  <si>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</si>
  <si>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</si>
  <si>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</si>
  <si>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</si>
  <si>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</si>
  <si>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</si>
  <si>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</si>
  <si>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</si>
  <si>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</si>
  <si>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</si>
  <si>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</si>
  <si>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</si>
  <si>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</si>
  <si>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</si>
  <si>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</si>
  <si>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</si>
  <si>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</si>
  <si>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</si>
  <si>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</si>
  <si>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</si>
  <si>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</si>
  <si>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</si>
  <si>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</si>
  <si>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</si>
  <si>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</si>
  <si>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</si>
  <si>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</si>
  <si>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</si>
  <si>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</si>
  <si>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</si>
  <si>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</si>
  <si>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</si>
  <si>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</si>
  <si>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</si>
  <si>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</si>
  <si>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</si>
  <si>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</si>
  <si>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</si>
  <si>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</si>
  <si>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</si>
  <si>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</si>
  <si>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</si>
  <si>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</si>
  <si>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</si>
  <si>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</si>
  <si>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</si>
  <si>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</si>
  <si>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</si>
  <si>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</si>
  <si>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</si>
  <si>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</si>
  <si>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</si>
  <si>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</si>
  <si>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</si>
  <si>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</si>
  <si>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</si>
  <si>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</si>
  <si>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</si>
  <si>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</si>
  <si>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</si>
  <si>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</si>
  <si>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</si>
  <si>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</si>
  <si>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</si>
  <si>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</si>
  <si>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</si>
  <si>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</si>
  <si>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</si>
  <si>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</si>
  <si>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</si>
  <si>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</si>
  <si>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</si>
  <si>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</si>
  <si>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</si>
  <si>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</si>
  <si>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</si>
  <si>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</si>
  <si>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</si>
  <si>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</si>
  <si>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</si>
  <si>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</si>
  <si>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</si>
  <si>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</si>
  <si>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</si>
  <si>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</si>
  <si>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</si>
  <si>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</si>
  <si>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</si>
  <si>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</si>
  <si>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</si>
  <si>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</si>
  <si>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</si>
  <si>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</si>
  <si>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</si>
  <si>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</si>
  <si>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</si>
  <si>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</si>
  <si>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</si>
  <si>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</si>
  <si>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</si>
  <si>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</si>
  <si>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</si>
  <si>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</si>
  <si>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</si>
  <si>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</si>
  <si>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</si>
  <si>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</si>
  <si>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</si>
  <si>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</si>
  <si>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</si>
  <si>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</si>
  <si>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</si>
  <si>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</si>
  <si>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</si>
  <si>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</si>
  <si>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</si>
  <si>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</si>
  <si>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</si>
  <si>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</si>
  <si>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</si>
  <si>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</si>
  <si>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</si>
  <si>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</si>
  <si>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</si>
  <si>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</si>
  <si>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</si>
  <si>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</si>
  <si>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</si>
  <si>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</si>
  <si>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</si>
  <si>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</si>
  <si>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</si>
  <si>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</si>
  <si>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</si>
  <si>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</si>
  <si>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</si>
  <si>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</si>
  <si>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</si>
  <si>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</si>
  <si>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</si>
  <si>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</si>
  <si>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</si>
  <si>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</si>
  <si>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</si>
  <si>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</si>
  <si>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</si>
  <si>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</si>
  <si>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</si>
  <si>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</si>
  <si>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</si>
  <si>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</si>
  <si>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</si>
  <si>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</si>
  <si>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</si>
  <si>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</si>
  <si>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</si>
  <si>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</si>
  <si>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</si>
  <si>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</si>
  <si>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</si>
  <si>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</si>
  <si>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</si>
  <si>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</si>
  <si>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</si>
  <si>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</si>
  <si>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</si>
  <si>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</si>
  <si>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</si>
  <si>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</si>
  <si>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</si>
  <si>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</si>
  <si>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</si>
  <si>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</si>
  <si>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</si>
  <si>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</si>
  <si>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</si>
  <si>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</si>
  <si>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</si>
  <si>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</si>
  <si>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</si>
  <si>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</si>
  <si>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</si>
  <si>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</si>
  <si>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</si>
  <si>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</si>
  <si>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</si>
  <si>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</si>
  <si>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</si>
  <si>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</si>
  <si>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</si>
  <si>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</si>
  <si>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</si>
  <si>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</si>
  <si>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</si>
  <si>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</si>
  <si>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</si>
  <si>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</si>
  <si>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</si>
  <si>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</si>
  <si>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</si>
  <si>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</si>
  <si>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</si>
  <si>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</si>
  <si>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</si>
  <si>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</si>
  <si>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</si>
  <si>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</si>
  <si>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</si>
  <si>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</si>
  <si>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</si>
  <si>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</si>
  <si>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</si>
  <si>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</si>
  <si>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</si>
  <si>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</si>
  <si>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</si>
  <si>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</si>
  <si>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</si>
  <si>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</si>
  <si>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</si>
  <si>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</si>
  <si>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</si>
  <si>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</si>
  <si>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</si>
  <si>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</si>
  <si>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</si>
  <si>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</si>
  <si>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</si>
  <si>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</si>
  <si>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</si>
  <si>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</si>
  <si>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</si>
  <si>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</si>
  <si>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</si>
  <si>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</si>
  <si>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</si>
  <si>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</si>
  <si>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</si>
  <si>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</si>
  <si>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</si>
  <si>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</si>
  <si>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</si>
  <si>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</si>
  <si>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</si>
  <si>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</si>
  <si>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</si>
  <si>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</si>
  <si>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</si>
  <si>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</si>
  <si>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</si>
  <si>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</si>
  <si>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</si>
  <si>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</si>
  <si>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</si>
  <si>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</si>
  <si>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</si>
  <si>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</si>
  <si>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</si>
  <si>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</si>
  <si>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</si>
  <si>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</si>
  <si>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</si>
  <si>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</si>
  <si>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</si>
  <si>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</si>
  <si>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</si>
  <si>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</si>
  <si>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</si>
  <si>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</si>
  <si>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</si>
  <si>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</si>
  <si>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</si>
  <si>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</si>
  <si>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</si>
  <si>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</si>
  <si>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</si>
  <si>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</si>
  <si>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</si>
  <si>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</si>
  <si>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</si>
  <si>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</si>
  <si>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</si>
  <si>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</si>
  <si>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</si>
  <si>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</si>
  <si>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</si>
  <si>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</si>
  <si>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</si>
  <si>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</si>
  <si>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</si>
  <si>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</si>
  <si>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</si>
  <si>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</si>
  <si>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</si>
  <si>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</si>
  <si>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</si>
  <si>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</si>
  <si>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</si>
  <si>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</si>
  <si>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</si>
  <si>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</si>
  <si>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</si>
  <si>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</si>
  <si>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</si>
  <si>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</si>
  <si>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</si>
  <si>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</si>
  <si>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</si>
  <si>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</si>
  <si>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</si>
  <si>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</si>
  <si>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</si>
  <si>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</si>
  <si>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</si>
  <si>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</si>
  <si>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</si>
  <si>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</si>
  <si>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</si>
  <si>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</si>
  <si>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</si>
  <si>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</si>
  <si>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</si>
  <si>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</si>
  <si>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</si>
  <si>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</si>
  <si>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</si>
  <si>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</si>
  <si>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</si>
  <si>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</si>
  <si>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</si>
  <si>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</si>
  <si>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</si>
  <si>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</si>
  <si>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</si>
  <si>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</si>
  <si>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</si>
  <si>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</si>
  <si>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</si>
  <si>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</si>
  <si>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</si>
  <si>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</si>
  <si>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</si>
  <si>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</si>
  <si>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</si>
  <si>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</si>
  <si>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</si>
  <si>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</si>
  <si>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</si>
  <si>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</si>
  <si>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</si>
  <si>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</si>
  <si>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</si>
  <si>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</si>
  <si>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</si>
  <si>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</si>
  <si>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</si>
  <si>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</si>
  <si>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</si>
  <si>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</si>
  <si>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</si>
  <si>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</si>
  <si>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</si>
  <si>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</si>
  <si>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</si>
  <si>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</si>
  <si>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</si>
  <si>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</si>
  <si>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</si>
  <si>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</si>
  <si>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</si>
  <si>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</si>
  <si>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</si>
  <si>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</si>
  <si>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</si>
  <si>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</si>
  <si>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</si>
  <si>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</si>
  <si>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</si>
  <si>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</si>
  <si>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</si>
  <si>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</si>
  <si>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</si>
  <si>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</si>
  <si>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</si>
  <si>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</si>
  <si>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</si>
  <si>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</si>
  <si>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</si>
  <si>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</si>
  <si>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</si>
  <si>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</si>
  <si>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</si>
  <si>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</si>
  <si>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</si>
  <si>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</si>
  <si>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</si>
  <si>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</si>
  <si>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</si>
  <si>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</si>
  <si>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</si>
  <si>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</si>
  <si>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</si>
  <si>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</si>
  <si>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</si>
  <si>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</si>
  <si>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</si>
  <si>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</si>
  <si>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</si>
  <si>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</si>
  <si>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</si>
  <si>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</si>
  <si>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</si>
  <si>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</si>
  <si>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</si>
  <si>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</si>
  <si>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</si>
  <si>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</si>
  <si>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</si>
  <si>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</si>
  <si>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</si>
  <si>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</si>
  <si>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</si>
  <si>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</si>
  <si>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</si>
  <si>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</si>
  <si>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</si>
  <si>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</si>
  <si>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</si>
  <si>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</si>
  <si>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</si>
  <si>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</si>
  <si>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</si>
  <si>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</si>
  <si>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</si>
  <si>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</si>
  <si>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</si>
  <si>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</si>
  <si>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</si>
  <si>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</si>
  <si>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</si>
  <si>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</si>
  <si>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</si>
  <si>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</si>
  <si>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</si>
  <si>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</si>
  <si>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</si>
  <si>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</si>
  <si>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</si>
  <si>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</si>
  <si>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</si>
  <si>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</si>
  <si>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</si>
  <si>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</si>
  <si>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</si>
  <si>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</si>
  <si>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</si>
  <si>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</si>
  <si>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</si>
  <si>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</si>
  <si>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</si>
  <si>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</si>
  <si>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</si>
  <si>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</si>
  <si>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</si>
  <si>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</si>
  <si>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</si>
  <si>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</si>
  <si>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</si>
  <si>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</si>
  <si>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</si>
  <si>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</si>
  <si>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</si>
  <si>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</si>
  <si>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</si>
  <si>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</si>
  <si>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</si>
  <si>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</si>
  <si>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</si>
  <si>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</si>
  <si>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</si>
  <si>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</si>
  <si>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</si>
  <si>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</si>
  <si>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</si>
  <si>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</si>
  <si>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</si>
  <si>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</si>
  <si>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</si>
  <si>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</si>
  <si>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</si>
  <si>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</si>
  <si>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</si>
  <si>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</si>
  <si>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</si>
  <si>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</si>
  <si>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</si>
  <si>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</si>
  <si>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</si>
  <si>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</si>
  <si>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</si>
  <si>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</si>
  <si>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</si>
  <si>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</si>
  <si>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</si>
  <si>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</si>
  <si>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</si>
  <si>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</si>
  <si>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</si>
  <si>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</si>
  <si>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</si>
  <si>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</si>
  <si>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</si>
  <si>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</si>
  <si>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</si>
  <si>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</si>
  <si>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</si>
  <si>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</si>
  <si>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</si>
  <si>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</si>
  <si>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</si>
  <si>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</si>
  <si>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</si>
  <si>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</si>
  <si>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</si>
  <si>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</si>
  <si>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</si>
  <si>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</si>
  <si>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</si>
  <si>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</si>
  <si>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</si>
  <si>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</si>
  <si>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</si>
  <si>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</si>
  <si>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</si>
  <si>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</si>
  <si>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</si>
  <si>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</si>
  <si>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</si>
  <si>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</si>
  <si>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</si>
  <si>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</si>
  <si>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</si>
  <si>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</si>
  <si>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</si>
  <si>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</si>
  <si>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</si>
  <si>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</si>
  <si>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</si>
  <si>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</si>
  <si>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</si>
  <si>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</si>
  <si>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</si>
  <si>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</si>
  <si>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</si>
  <si>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</si>
  <si>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</si>
  <si>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</si>
  <si>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</si>
  <si>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</si>
  <si>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</si>
  <si>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</si>
  <si>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</si>
  <si>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</si>
  <si>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</si>
  <si>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</si>
  <si>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</si>
  <si>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</si>
  <si>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</si>
  <si>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</si>
  <si>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</si>
  <si>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</si>
  <si>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</si>
  <si>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</si>
  <si>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</si>
  <si>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</si>
  <si>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</si>
  <si>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</si>
  <si>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</si>
  <si>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</si>
  <si>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</si>
  <si>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</si>
  <si>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</si>
  <si>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</si>
  <si>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</si>
  <si>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</si>
  <si>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</si>
  <si>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</si>
  <si>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</si>
  <si>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</si>
  <si>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</si>
  <si>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</si>
  <si>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</si>
  <si>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</si>
  <si>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</si>
  <si>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</si>
  <si>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</si>
  <si>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</si>
  <si>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</si>
  <si>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</si>
  <si>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</si>
  <si>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</si>
  <si>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</si>
  <si>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</si>
  <si>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</si>
  <si>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</si>
  <si>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</si>
  <si>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</si>
  <si>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</si>
  <si>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</si>
  <si>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</si>
  <si>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</si>
  <si>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</si>
  <si>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</si>
  <si>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</si>
  <si>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</si>
  <si>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</si>
  <si>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</si>
  <si>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</si>
  <si>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</si>
  <si>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</si>
  <si>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</si>
  <si>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</si>
  <si>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</si>
  <si>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</si>
  <si>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</si>
  <si>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</si>
  <si>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</si>
  <si>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</si>
  <si>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</si>
  <si>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</si>
  <si>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</si>
  <si>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</si>
  <si>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</si>
  <si>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</si>
  <si>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</si>
  <si>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</si>
  <si>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</si>
  <si>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</si>
  <si>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</si>
  <si>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</si>
  <si>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</si>
  <si>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</si>
  <si>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</si>
  <si>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</si>
  <si>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</si>
  <si>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</si>
  <si>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</si>
  <si>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</si>
  <si>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</si>
  <si>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</si>
  <si>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</si>
  <si>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</si>
  <si>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</si>
  <si>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</si>
  <si>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</si>
  <si>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</si>
  <si>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</si>
  <si>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</si>
  <si>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</si>
  <si>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</si>
  <si>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</si>
  <si>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</si>
  <si>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</si>
  <si>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</si>
  <si>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</si>
  <si>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</si>
  <si>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</si>
  <si>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</si>
  <si>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</si>
  <si>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</si>
  <si>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</si>
  <si>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</si>
  <si>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</si>
  <si>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</si>
  <si>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</si>
  <si>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</si>
  <si>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</si>
  <si>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</si>
  <si>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</si>
  <si>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</si>
  <si>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</si>
  <si>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</si>
  <si>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</si>
  <si>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</si>
  <si>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</si>
  <si>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</si>
  <si>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</si>
  <si>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</si>
  <si>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</si>
  <si>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</si>
  <si>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</si>
  <si>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</si>
  <si>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</si>
  <si>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</si>
  <si>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</si>
  <si>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</si>
  <si>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</si>
  <si>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</si>
  <si>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</si>
  <si>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</si>
  <si>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</si>
  <si>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</si>
  <si>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</si>
  <si>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</si>
  <si>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</si>
  <si>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</si>
  <si>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</si>
  <si>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</si>
  <si>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</si>
  <si>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</si>
  <si>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</si>
  <si>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</si>
  <si>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</si>
  <si>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</si>
  <si>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</si>
  <si>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</si>
  <si>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</si>
  <si>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</si>
  <si>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</si>
  <si>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</si>
  <si>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</si>
  <si>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</si>
  <si>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</si>
  <si>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</si>
  <si>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</si>
  <si>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</si>
  <si>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</si>
  <si>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</si>
  <si>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</si>
  <si>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</si>
  <si>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</si>
  <si>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</si>
  <si>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</si>
  <si>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</si>
  <si>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</si>
  <si>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</si>
  <si>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</si>
  <si>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</si>
  <si>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</si>
  <si>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</si>
  <si>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</si>
  <si>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</si>
  <si>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</si>
  <si>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</si>
  <si>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</si>
  <si>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</si>
  <si>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</si>
  <si>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</si>
  <si>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</si>
  <si>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</si>
  <si>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</si>
  <si>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</si>
  <si>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</si>
  <si>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</si>
  <si>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</si>
  <si>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</si>
  <si>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</si>
  <si>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</si>
  <si>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</si>
  <si>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</si>
  <si>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</si>
  <si>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</si>
  <si>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</si>
  <si>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</si>
  <si>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</si>
  <si>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</si>
  <si>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</si>
  <si>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</si>
  <si>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</si>
  <si>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</si>
  <si>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</si>
  <si>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</si>
  <si>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</si>
  <si>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</si>
  <si>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</si>
  <si>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</si>
  <si>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</si>
  <si>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</si>
  <si>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</si>
  <si>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</si>
  <si>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</si>
  <si>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</si>
  <si>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</si>
  <si>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</si>
  <si>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</si>
  <si>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</si>
  <si>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</si>
  <si>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</si>
  <si>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</si>
  <si>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</si>
  <si>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</si>
  <si>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</si>
  <si>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</si>
  <si>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</si>
  <si>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</si>
  <si>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</si>
  <si>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</si>
  <si>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</si>
  <si>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</si>
  <si>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</si>
  <si>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</si>
  <si>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</si>
  <si>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</si>
  <si>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</si>
  <si>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</si>
  <si>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</si>
  <si>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</si>
  <si>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</si>
  <si>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</si>
  <si>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</si>
  <si>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</si>
  <si>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</si>
  <si>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</si>
  <si>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</si>
  <si>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</si>
  <si>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</si>
  <si>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</si>
  <si>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</si>
  <si>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</si>
  <si>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</si>
  <si>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</si>
  <si>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</si>
  <si>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</si>
  <si>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</si>
  <si>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</si>
  <si>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</si>
  <si>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</si>
  <si>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</si>
  <si>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</si>
  <si>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</si>
  <si>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</si>
  <si>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</si>
  <si>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</si>
  <si>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</si>
  <si>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</si>
  <si>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</si>
  <si>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</si>
  <si>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</si>
  <si>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</si>
  <si>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</si>
  <si>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</si>
  <si>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</si>
  <si>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</si>
  <si>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</si>
  <si>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</si>
  <si>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</si>
  <si>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</si>
  <si>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</si>
  <si>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</si>
  <si>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</si>
  <si>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</si>
  <si>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</si>
  <si>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</si>
  <si>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</si>
  <si>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</si>
  <si>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</si>
  <si>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</si>
  <si>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</si>
  <si>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</si>
  <si>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</si>
  <si>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</si>
  <si>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</si>
  <si>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</si>
  <si>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</si>
  <si>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</si>
  <si>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</si>
  <si>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</si>
  <si>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</si>
  <si>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</si>
  <si>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</si>
  <si>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</si>
  <si>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</si>
  <si>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</si>
  <si>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</si>
  <si>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</si>
  <si>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</si>
  <si>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</si>
  <si>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</si>
  <si>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</si>
  <si>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</si>
  <si>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</si>
  <si>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</si>
  <si>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</si>
  <si>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</si>
  <si>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</si>
  <si>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</si>
  <si>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</si>
  <si>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</si>
  <si>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</si>
  <si>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</si>
  <si>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</si>
  <si>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</si>
  <si>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</si>
  <si>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</si>
  <si>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</si>
  <si>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</si>
  <si>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</si>
  <si>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</si>
  <si>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</si>
  <si>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</si>
  <si>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</si>
  <si>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</si>
  <si>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</si>
  <si>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</si>
  <si>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</si>
  <si>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</si>
  <si>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</si>
  <si>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</si>
  <si>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</si>
  <si>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</si>
  <si>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</si>
  <si>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</si>
  <si>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</si>
  <si>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</si>
  <si>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</si>
  <si>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</si>
  <si>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</si>
  <si>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</si>
  <si>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</si>
  <si>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</si>
  <si>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</si>
  <si>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</si>
  <si>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</si>
  <si>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</si>
  <si>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</si>
  <si>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</si>
  <si>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</si>
  <si>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</si>
  <si>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</si>
  <si>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</si>
  <si>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</si>
  <si>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</si>
  <si>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</si>
  <si>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</si>
  <si>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</si>
  <si>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</si>
  <si>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</si>
  <si>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</si>
  <si>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</si>
  <si>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</si>
  <si>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</si>
  <si>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</si>
  <si>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</si>
  <si>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</si>
  <si>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</si>
  <si>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</si>
  <si>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</si>
  <si>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</si>
  <si>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</si>
  <si>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</si>
  <si>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</si>
  <si>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</si>
  <si>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</si>
  <si>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</si>
  <si>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</si>
  <si>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</si>
  <si>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</si>
  <si>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</si>
  <si>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</si>
  <si>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</si>
  <si>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</si>
  <si>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</si>
  <si>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</si>
  <si>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</si>
  <si>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</si>
  <si>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</si>
  <si>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</si>
  <si>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</si>
  <si>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</si>
  <si>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</si>
  <si>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</si>
  <si>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</si>
  <si>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</si>
  <si>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</si>
  <si>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</si>
  <si>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</si>
  <si>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</si>
  <si>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</si>
  <si>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</si>
  <si>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</si>
  <si>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</si>
  <si>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</si>
  <si>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</si>
  <si>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</si>
  <si>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</si>
  <si>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</si>
  <si>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</si>
  <si>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</si>
  <si>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</si>
  <si>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</si>
  <si>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</si>
  <si>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</si>
  <si>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</si>
  <si>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</si>
  <si>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</si>
  <si>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</si>
  <si>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</si>
  <si>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</si>
  <si>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</si>
  <si>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</si>
  <si>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</si>
  <si>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</si>
  <si>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</si>
  <si>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</si>
  <si>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</si>
  <si>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</si>
  <si>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</si>
  <si>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</si>
  <si>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</si>
  <si>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</si>
  <si>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</si>
  <si>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</si>
  <si>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</si>
  <si>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</si>
  <si>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</si>
  <si>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</si>
  <si>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</si>
  <si>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</si>
  <si>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</si>
  <si>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</si>
  <si>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</si>
  <si>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</si>
  <si>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</si>
  <si>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</si>
  <si>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</si>
  <si>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</si>
  <si>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</si>
  <si>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</si>
  <si>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</si>
  <si>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</si>
  <si>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</si>
  <si>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</si>
  <si>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</si>
  <si>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</si>
  <si>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</si>
  <si>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</si>
  <si>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</si>
  <si>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</si>
  <si>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</si>
  <si>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</si>
  <si>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</si>
  <si>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</si>
  <si>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</si>
  <si>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</si>
  <si>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</si>
  <si>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</si>
  <si>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</si>
  <si>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</si>
  <si>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</si>
  <si>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</si>
  <si>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</si>
  <si>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</si>
  <si>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</si>
  <si>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</si>
  <si>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</si>
  <si>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</si>
  <si>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</si>
  <si>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</si>
  <si>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</si>
  <si>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</si>
  <si>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</si>
  <si>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</si>
  <si>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</si>
  <si>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</si>
  <si>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</si>
  <si>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</si>
  <si>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</si>
  <si>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</si>
  <si>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</si>
  <si>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</si>
  <si>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</si>
  <si>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</si>
  <si>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</si>
  <si>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</si>
  <si>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</si>
  <si>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</si>
  <si>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</si>
  <si>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</si>
  <si>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</si>
  <si>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</si>
  <si>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</si>
  <si>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</si>
  <si>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</si>
  <si>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</si>
  <si>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</si>
  <si>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</si>
  <si>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</si>
  <si>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</si>
  <si>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</si>
  <si>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</si>
  <si>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</si>
  <si>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</si>
  <si>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</si>
  <si>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</si>
  <si>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</si>
  <si>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</si>
  <si>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</si>
  <si>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</si>
  <si>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</si>
  <si>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</si>
  <si>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</si>
  <si>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</si>
  <si>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</si>
  <si>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</si>
  <si>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</si>
  <si>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</si>
  <si>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</si>
  <si>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</si>
  <si>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</si>
  <si>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</si>
  <si>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</si>
  <si>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</si>
  <si>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</si>
  <si>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</si>
  <si>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</si>
  <si>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</si>
  <si>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</si>
  <si>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</si>
  <si>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</si>
  <si>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</si>
  <si>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</si>
  <si>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</si>
  <si>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</si>
  <si>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</si>
  <si>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</si>
  <si>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</si>
  <si>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</si>
  <si>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</si>
  <si>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</si>
  <si>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</si>
  <si>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</si>
  <si>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</si>
  <si>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</si>
  <si>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</si>
  <si>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</si>
  <si>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</si>
  <si>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</si>
  <si>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</si>
  <si>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</si>
  <si>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</si>
  <si>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</si>
  <si>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</si>
  <si>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</si>
  <si>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</si>
  <si>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</si>
  <si>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</si>
  <si>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</si>
  <si>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</si>
  <si>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</si>
  <si>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</si>
  <si>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</si>
  <si>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</si>
  <si>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</si>
  <si>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</si>
  <si>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</si>
  <si>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</si>
  <si>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</si>
  <si>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</si>
  <si>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</si>
  <si>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</si>
  <si>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</si>
  <si>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</si>
  <si>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</si>
  <si>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</si>
  <si>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</si>
  <si>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</si>
  <si>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</si>
  <si>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</si>
  <si>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</si>
  <si>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</si>
  <si>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</si>
  <si>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</si>
  <si>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</si>
  <si>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</si>
  <si>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</si>
  <si>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</si>
  <si>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</si>
  <si>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</si>
  <si>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</si>
  <si>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</si>
  <si>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</si>
  <si>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</si>
  <si>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</si>
  <si>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</si>
  <si>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</si>
  <si>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</si>
  <si>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</si>
  <si>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</si>
  <si>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</si>
  <si>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</si>
  <si>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</si>
  <si>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</si>
  <si>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</si>
  <si>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</si>
  <si>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</si>
  <si>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</si>
  <si>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</si>
  <si>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</si>
  <si>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</si>
  <si>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</si>
  <si>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</si>
  <si>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</si>
  <si>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</si>
  <si>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</si>
  <si>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</si>
  <si>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</si>
  <si>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</si>
  <si>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</si>
  <si>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</si>
  <si>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</si>
  <si>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</si>
  <si>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</si>
  <si>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</si>
  <si>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</si>
  <si>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</si>
  <si>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</si>
  <si>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</si>
  <si>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</si>
  <si>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</si>
  <si>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</si>
  <si>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</si>
  <si>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</si>
  <si>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</si>
  <si>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</si>
  <si>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</si>
  <si>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</si>
  <si>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</si>
  <si>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</si>
  <si>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</si>
  <si>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</si>
  <si>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</si>
  <si>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</si>
  <si>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</si>
  <si>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</si>
  <si>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</si>
  <si>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</si>
  <si>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</si>
  <si>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</si>
  <si>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</si>
  <si>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</si>
  <si>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</si>
  <si>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</si>
  <si>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</si>
  <si>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</si>
  <si>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</si>
  <si>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</si>
  <si>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</si>
  <si>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</si>
  <si>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</si>
  <si>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</si>
  <si>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</si>
  <si>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</si>
  <si>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</si>
  <si>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</si>
  <si>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</si>
  <si>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</si>
  <si>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</si>
  <si>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</si>
  <si>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</si>
  <si>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</si>
  <si>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</si>
  <si>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</si>
  <si>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</si>
  <si>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</si>
  <si>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</si>
  <si>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</si>
  <si>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</si>
  <si>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</si>
  <si>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</si>
  <si>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</si>
  <si>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</si>
  <si>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</si>
  <si>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</si>
  <si>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</si>
  <si>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</si>
  <si>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</si>
  <si>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</si>
  <si>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</si>
  <si>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</si>
  <si>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</si>
  <si>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</si>
  <si>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</si>
  <si>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</si>
  <si>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</si>
  <si>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</si>
  <si>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</si>
  <si>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</si>
  <si>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</si>
  <si>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</si>
  <si>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</si>
  <si>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</si>
  <si>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</si>
  <si>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</si>
  <si>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</si>
  <si>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</si>
  <si>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</si>
  <si>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</si>
  <si>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</si>
  <si>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</si>
  <si>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</si>
  <si>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</si>
  <si>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</si>
  <si>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</si>
  <si>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</si>
  <si>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</si>
  <si>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</si>
  <si>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</si>
  <si>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</si>
  <si>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</si>
  <si>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</si>
  <si>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</si>
  <si>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</si>
  <si>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</si>
  <si>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</si>
  <si>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</si>
  <si>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</si>
  <si>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</si>
  <si>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</si>
  <si>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</si>
  <si>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</si>
  <si>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</si>
  <si>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</si>
  <si>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</si>
  <si>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</si>
  <si>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</si>
  <si>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</si>
  <si>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</si>
  <si>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</si>
  <si>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</si>
  <si>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</si>
  <si>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</si>
  <si>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</si>
  <si>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</si>
  <si>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</si>
  <si>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</si>
  <si>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</si>
  <si>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</si>
  <si>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</si>
  <si>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</si>
  <si>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</si>
  <si>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</si>
  <si>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</si>
  <si>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</si>
  <si>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</si>
  <si>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</si>
  <si>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</si>
  <si>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</si>
  <si>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</si>
  <si>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</si>
  <si>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</si>
  <si>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</si>
  <si>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</si>
  <si>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</si>
  <si>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</si>
  <si>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</si>
  <si>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</si>
  <si>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</si>
  <si>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</si>
  <si>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</si>
  <si>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</si>
  <si>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</si>
  <si>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</si>
  <si>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</si>
  <si>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</si>
  <si>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</si>
  <si>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</si>
  <si>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</si>
  <si>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</si>
  <si>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</si>
  <si>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</si>
  <si>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</si>
  <si>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</si>
  <si>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</si>
  <si>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</si>
  <si>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</si>
  <si>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</si>
  <si>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</si>
  <si>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</si>
  <si>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</si>
  <si>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</si>
  <si>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</si>
  <si>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</si>
  <si>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</si>
  <si>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</si>
  <si>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</si>
  <si>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</si>
  <si>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</si>
  <si>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</si>
  <si>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</si>
  <si>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</si>
  <si>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</si>
  <si>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</si>
  <si>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</si>
  <si>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</si>
  <si>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</si>
  <si>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</si>
  <si>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</si>
  <si>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</si>
  <si>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</si>
  <si>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</si>
  <si>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</si>
  <si>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</si>
  <si>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</si>
  <si>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</si>
  <si>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</si>
  <si>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</si>
  <si>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</si>
  <si>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</si>
  <si>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</si>
  <si>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</si>
  <si>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</si>
  <si>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</si>
  <si>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</si>
  <si>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</si>
  <si>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</si>
  <si>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</si>
  <si>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</si>
  <si>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</si>
  <si>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</si>
  <si>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</si>
  <si>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</si>
  <si>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</si>
  <si>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</si>
  <si>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</si>
  <si>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</si>
  <si>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</si>
  <si>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</si>
  <si>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</si>
  <si>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</si>
  <si>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</si>
  <si>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</si>
  <si>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</si>
  <si>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</si>
  <si>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</si>
  <si>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</si>
  <si>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</si>
  <si>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</si>
  <si>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</si>
  <si>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</si>
  <si>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</si>
  <si>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</si>
  <si>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</si>
  <si>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</si>
  <si>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</si>
  <si>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</si>
  <si>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</si>
  <si>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</si>
  <si>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</si>
  <si>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</si>
  <si>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</si>
  <si>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</si>
  <si>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</si>
  <si>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</si>
  <si>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</si>
  <si>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</si>
  <si>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</si>
  <si>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</si>
  <si>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</si>
  <si>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</si>
  <si>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</si>
  <si>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</si>
  <si>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</si>
  <si>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</si>
  <si>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</si>
  <si>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</si>
  <si>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</si>
  <si>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</si>
  <si>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</si>
  <si>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</si>
  <si>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</si>
  <si>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</si>
  <si>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</si>
  <si>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</si>
  <si>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</si>
  <si>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</si>
  <si>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</si>
  <si>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</si>
  <si>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</si>
  <si>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</si>
  <si>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</si>
  <si>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</si>
  <si>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</si>
  <si>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</si>
  <si>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</si>
  <si>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</si>
  <si>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</si>
  <si>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</si>
  <si>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</si>
  <si>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</si>
  <si>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</si>
  <si>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</si>
  <si>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</si>
  <si>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</si>
  <si>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</si>
  <si>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</si>
  <si>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</si>
  <si>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</si>
  <si>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</si>
  <si>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</si>
  <si>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</si>
  <si>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</si>
  <si>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</si>
  <si>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</si>
  <si>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</si>
  <si>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</si>
  <si>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</si>
  <si>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</si>
  <si>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</si>
  <si>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</si>
  <si>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</si>
  <si>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</si>
  <si>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</si>
  <si>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</si>
  <si>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</si>
  <si>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</si>
  <si>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</si>
  <si>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</si>
  <si>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</si>
  <si>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</si>
  <si>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</si>
  <si>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</si>
  <si>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</si>
  <si>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</si>
  <si>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</si>
  <si>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</si>
  <si>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</si>
  <si>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</si>
  <si>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</si>
  <si>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</si>
  <si>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</si>
  <si>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</si>
  <si>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</si>
  <si>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</si>
  <si>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</si>
  <si>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</si>
  <si>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</si>
  <si>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</si>
  <si>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</si>
  <si>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</si>
  <si>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</si>
  <si>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</si>
  <si>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</si>
  <si>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</si>
  <si>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</si>
  <si>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</si>
  <si>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</si>
  <si>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</si>
  <si>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</si>
  <si>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</si>
  <si>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</si>
  <si>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</si>
  <si>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</si>
  <si>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</si>
  <si>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</si>
  <si>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</si>
  <si>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</si>
  <si>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</si>
  <si>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</si>
  <si>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</si>
  <si>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</si>
  <si>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</si>
  <si>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</si>
  <si>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</si>
  <si>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</si>
  <si>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</si>
  <si>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</si>
  <si>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</si>
  <si>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</si>
  <si>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</si>
  <si>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</si>
  <si>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</si>
  <si>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</si>
  <si>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</si>
  <si>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</si>
  <si>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</si>
  <si>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</si>
  <si>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</si>
  <si>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</si>
  <si>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</si>
  <si>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</si>
  <si>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</si>
  <si>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</si>
  <si>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</si>
  <si>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</si>
  <si>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</si>
  <si>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</si>
  <si>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</si>
  <si>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</si>
  <si>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</si>
  <si>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</si>
  <si>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</si>
  <si>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</si>
  <si>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</si>
  <si>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</si>
  <si>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</si>
  <si>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</si>
  <si>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</si>
  <si>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</si>
  <si>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</si>
  <si>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</si>
  <si>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</si>
  <si>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</si>
  <si>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</si>
  <si>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</si>
  <si>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</si>
  <si>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</si>
  <si>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</si>
  <si>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</si>
  <si>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</si>
  <si>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</si>
  <si>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</si>
  <si>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</si>
  <si>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</si>
  <si>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</si>
  <si>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</si>
  <si>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</si>
  <si>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</si>
  <si>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</si>
  <si>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</si>
  <si>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</si>
  <si>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</si>
  <si>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</si>
  <si>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</si>
  <si>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</si>
  <si>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</si>
  <si>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</si>
  <si>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</si>
  <si>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</si>
  <si>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</si>
  <si>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</si>
  <si>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</si>
  <si>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</si>
  <si>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</si>
  <si>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</si>
  <si>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</si>
  <si>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</si>
  <si>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</si>
  <si>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</si>
  <si>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</si>
  <si>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</si>
  <si>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</si>
  <si>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</si>
  <si>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</si>
  <si>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</si>
  <si>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</si>
  <si>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</si>
  <si>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</si>
  <si>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</si>
  <si>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</si>
  <si>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</si>
  <si>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</si>
  <si>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</si>
  <si>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</si>
  <si>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</si>
  <si>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</si>
  <si>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</si>
  <si>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</si>
  <si>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</si>
  <si>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</si>
  <si>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</si>
  <si>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</si>
  <si>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</si>
  <si>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</si>
  <si>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</si>
  <si>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</si>
  <si>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</si>
  <si>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</si>
  <si>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</si>
  <si>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</si>
  <si>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</si>
  <si>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</si>
  <si>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</si>
  <si>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</si>
  <si>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</si>
  <si>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</si>
  <si>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</si>
  <si>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</si>
  <si>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</si>
  <si>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</si>
  <si>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</si>
  <si>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</si>
  <si>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</si>
  <si>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</si>
  <si>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</si>
  <si>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</si>
  <si>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</si>
  <si>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</si>
  <si>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</si>
  <si>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</si>
  <si>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</si>
  <si>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</si>
  <si>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</si>
  <si>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</si>
  <si>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</si>
  <si>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</si>
  <si>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</si>
  <si>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</si>
  <si>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</si>
  <si>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</si>
  <si>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</si>
  <si>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</si>
  <si>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</si>
  <si>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</si>
  <si>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</si>
  <si>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</si>
  <si>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</si>
  <si>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</si>
  <si>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</si>
  <si>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</si>
  <si>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</si>
  <si>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</si>
  <si>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</si>
  <si>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</si>
  <si>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</si>
  <si>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</si>
  <si>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</si>
  <si>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</si>
  <si>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</si>
  <si>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</si>
  <si>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</si>
  <si>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</si>
  <si>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</si>
  <si>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</si>
  <si>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</si>
  <si>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</si>
  <si>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</si>
  <si>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</si>
  <si>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</si>
  <si>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</si>
  <si>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</si>
  <si>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</si>
  <si>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</si>
  <si>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</si>
  <si>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</si>
  <si>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</si>
  <si>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</si>
  <si>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</si>
  <si>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</si>
  <si>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</si>
  <si>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</si>
  <si>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</si>
  <si>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</si>
  <si>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</si>
  <si>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</si>
  <si>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</si>
  <si>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</si>
  <si>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</si>
  <si>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</si>
  <si>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</si>
  <si>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</si>
  <si>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</si>
  <si>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</si>
  <si>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</si>
  <si>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</si>
  <si>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</si>
  <si>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</si>
  <si>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</si>
  <si>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</si>
  <si>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</si>
  <si>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</si>
  <si>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</si>
  <si>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</si>
  <si>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</si>
  <si>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</si>
  <si>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</si>
  <si>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</si>
  <si>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</si>
  <si>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</si>
  <si>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</si>
  <si>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</si>
  <si>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</si>
  <si>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</si>
  <si>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</si>
  <si>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</si>
  <si>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</si>
  <si>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</si>
  <si>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</si>
  <si>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</si>
  <si>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</si>
  <si>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</si>
  <si>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</si>
  <si>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</si>
  <si>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</si>
  <si>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</si>
  <si>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</si>
  <si>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</si>
  <si>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</si>
  <si>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</si>
  <si>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</si>
  <si>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</si>
  <si>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</si>
  <si>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</si>
  <si>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</si>
  <si>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</si>
  <si>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</si>
  <si>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</si>
  <si>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</si>
  <si>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</si>
  <si>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</si>
  <si>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</si>
  <si>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</si>
  <si>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</si>
  <si>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</si>
  <si>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</si>
  <si>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</si>
  <si>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</si>
  <si>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</si>
  <si>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</si>
  <si>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</si>
  <si>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</si>
  <si>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</si>
  <si>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</si>
  <si>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</si>
  <si>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</si>
  <si>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</si>
  <si>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</si>
  <si>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</si>
  <si>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</si>
  <si>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</si>
  <si>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</si>
  <si>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</si>
  <si>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</si>
  <si>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</si>
  <si>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</si>
  <si>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</si>
  <si>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</si>
  <si>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</si>
  <si>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</si>
  <si>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</si>
  <si>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</si>
  <si>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</si>
  <si>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</si>
  <si>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</si>
  <si>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</si>
  <si>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</si>
  <si>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</si>
  <si>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</si>
  <si>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</si>
  <si>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</si>
  <si>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</si>
  <si>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</si>
  <si>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</si>
  <si>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</si>
  <si>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</si>
  <si>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</si>
  <si>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</si>
  <si>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</si>
  <si>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</si>
  <si>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</si>
  <si>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</si>
  <si>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</si>
  <si>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</si>
  <si>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</si>
  <si>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</si>
  <si>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</si>
  <si>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</si>
  <si>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</si>
  <si>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</si>
  <si>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</si>
  <si>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</si>
  <si>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</si>
  <si>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</si>
  <si>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</si>
  <si>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</si>
  <si>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</si>
  <si>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</si>
  <si>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</si>
  <si>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</si>
  <si>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</si>
  <si>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</si>
  <si>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</si>
  <si>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</si>
  <si>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</si>
  <si>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</si>
  <si>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</si>
  <si>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</si>
  <si>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</si>
  <si>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</si>
  <si>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</si>
  <si>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</si>
  <si>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</si>
  <si>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</si>
  <si>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</si>
  <si>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</si>
  <si>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</si>
  <si>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</si>
  <si>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</si>
  <si>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</si>
  <si>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</si>
  <si>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</si>
  <si>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</si>
  <si>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</si>
  <si>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</si>
  <si>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</si>
  <si>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</si>
  <si>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</si>
  <si>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</si>
  <si>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</si>
  <si>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</si>
  <si>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</si>
  <si>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</si>
  <si>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</si>
  <si>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</si>
  <si>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</si>
  <si>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</si>
  <si>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</si>
  <si>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</si>
  <si>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</si>
  <si>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</si>
  <si>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</si>
  <si>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</si>
  <si>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</si>
  <si>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</si>
  <si>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</si>
  <si>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</si>
  <si>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</si>
  <si>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</si>
  <si>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</si>
  <si>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</si>
  <si>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</si>
  <si>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</si>
  <si>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</si>
  <si>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</si>
  <si>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</si>
  <si>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</si>
  <si>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</si>
  <si>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</si>
  <si>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</si>
  <si>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</si>
  <si>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</si>
  <si>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</si>
  <si>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</si>
  <si>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</si>
  <si>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</si>
  <si>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</si>
  <si>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</si>
  <si>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</si>
  <si>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</si>
  <si>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</si>
  <si>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</si>
  <si>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</si>
  <si>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</si>
  <si>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</si>
  <si>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</si>
  <si>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</si>
  <si>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</si>
  <si>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</si>
  <si>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</si>
  <si>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</si>
  <si>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</si>
  <si>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</si>
  <si>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</si>
  <si>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</si>
  <si>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</si>
  <si>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</si>
  <si>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</si>
  <si>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</si>
  <si>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</si>
  <si>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</si>
  <si>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</si>
  <si>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</si>
  <si>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</si>
  <si>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</si>
  <si>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</si>
  <si>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</si>
  <si>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</si>
  <si>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</si>
  <si>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</si>
  <si>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</si>
  <si>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</si>
  <si>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</si>
  <si>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</si>
  <si>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</si>
  <si>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</si>
  <si>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</si>
  <si>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</si>
  <si>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</si>
  <si>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</si>
  <si>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</si>
  <si>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</si>
  <si>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</si>
  <si>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</si>
  <si>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</si>
  <si>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</si>
  <si>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</si>
  <si>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</si>
  <si>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</si>
  <si>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</si>
  <si>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</si>
  <si>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</si>
  <si>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</si>
  <si>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</si>
  <si>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</si>
  <si>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</si>
  <si>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</si>
  <si>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</si>
  <si>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</si>
  <si>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</si>
  <si>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</si>
  <si>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</si>
  <si>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</si>
  <si>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</si>
  <si>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</si>
  <si>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</si>
  <si>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</si>
  <si>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</si>
  <si>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</si>
  <si>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</si>
  <si>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</si>
  <si>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</si>
  <si>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</si>
  <si>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</si>
  <si>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</si>
  <si>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</si>
  <si>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</si>
  <si>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</si>
  <si>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</si>
  <si>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</si>
  <si>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</si>
  <si>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</si>
  <si>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</si>
  <si>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</si>
  <si>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</si>
  <si>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</si>
  <si>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</si>
  <si>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</si>
  <si>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</si>
  <si>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</si>
  <si>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</si>
  <si>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</si>
  <si>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</si>
  <si>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</si>
  <si>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</si>
  <si>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</si>
  <si>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</si>
  <si>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</si>
  <si>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</si>
  <si>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</si>
  <si>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</si>
  <si>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</si>
  <si>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</si>
  <si>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</si>
  <si>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</si>
  <si>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</si>
  <si>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</si>
  <si>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</si>
  <si>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</si>
  <si>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</si>
  <si>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</si>
  <si>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</si>
  <si>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</si>
  <si>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</si>
  <si>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</si>
  <si>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</si>
  <si>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</si>
  <si>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</si>
  <si>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</si>
  <si>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</si>
  <si>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</si>
  <si>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</si>
  <si>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</si>
  <si>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</si>
  <si>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</si>
  <si>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</si>
  <si>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</si>
  <si>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</si>
  <si>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</si>
  <si>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</si>
  <si>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</si>
  <si>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</si>
  <si>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</si>
  <si>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</si>
  <si>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</si>
  <si>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</si>
  <si>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</si>
  <si>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</si>
  <si>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</si>
  <si>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</si>
  <si>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</si>
  <si>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</si>
  <si>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</si>
  <si>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</si>
  <si>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</si>
  <si>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</si>
  <si>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</si>
  <si>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</si>
  <si>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</si>
  <si>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</si>
  <si>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</si>
  <si>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</si>
  <si>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</si>
  <si>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</si>
  <si>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</si>
  <si>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</si>
  <si>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</si>
  <si>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</si>
  <si>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</si>
  <si>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</si>
  <si>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</si>
  <si>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</si>
  <si>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</si>
  <si>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</si>
  <si>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</si>
  <si>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</si>
  <si>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</si>
  <si>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</si>
  <si>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</si>
  <si>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</si>
  <si>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</si>
  <si>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</si>
  <si>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</si>
  <si>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</si>
  <si>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</si>
  <si>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</si>
  <si>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</si>
  <si>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</si>
  <si>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</si>
  <si>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</si>
  <si>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</si>
  <si>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</si>
  <si>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</si>
  <si>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</si>
  <si>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</si>
  <si>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</si>
  <si>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</si>
  <si>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</si>
  <si>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</si>
  <si>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</si>
  <si>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</si>
  <si>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</si>
  <si>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</si>
  <si>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</si>
  <si>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</si>
  <si>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</si>
  <si>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</si>
  <si>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</si>
  <si>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</si>
  <si>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</si>
  <si>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</si>
  <si>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</si>
  <si>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</si>
  <si>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</si>
  <si>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</si>
  <si>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</si>
  <si>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</si>
  <si>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</si>
  <si>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</si>
  <si>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</si>
  <si>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</si>
  <si>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</si>
  <si>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</si>
  <si>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</si>
  <si>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</si>
  <si>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</si>
  <si>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</si>
  <si>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</si>
  <si>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</si>
  <si>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</si>
  <si>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</si>
  <si>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</si>
  <si>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</si>
  <si>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</si>
  <si>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</si>
  <si>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</si>
  <si>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</si>
  <si>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</si>
  <si>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</si>
  <si>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</si>
  <si>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</si>
  <si>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</si>
  <si>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</si>
  <si>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</si>
  <si>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</si>
  <si>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</si>
  <si>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</si>
  <si>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</si>
  <si>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</si>
  <si>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</si>
  <si>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</si>
  <si>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</si>
  <si>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</si>
  <si>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</si>
  <si>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</si>
  <si>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</si>
  <si>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</si>
  <si>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</si>
  <si>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</si>
  <si>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</si>
  <si>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</si>
  <si>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</si>
  <si>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</si>
  <si>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</si>
  <si>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</si>
  <si>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</si>
  <si>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</si>
  <si>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</si>
  <si>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</si>
  <si>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</si>
  <si>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</si>
  <si>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</si>
  <si>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</si>
  <si>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</si>
  <si>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</si>
  <si>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</si>
  <si>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</si>
  <si>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</si>
  <si>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</si>
  <si>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</si>
  <si>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</si>
  <si>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</si>
  <si>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</si>
  <si>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</si>
  <si>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</si>
  <si>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</si>
  <si>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</si>
  <si>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</si>
  <si>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</si>
  <si>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</si>
  <si>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</si>
  <si>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</si>
  <si>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</si>
  <si>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</si>
  <si>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</si>
  <si>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</si>
  <si>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</si>
  <si>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</si>
  <si>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</si>
  <si>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</si>
  <si>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</si>
  <si>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</si>
  <si>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</si>
  <si>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</si>
  <si>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</si>
  <si>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</si>
  <si>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</si>
  <si>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</si>
  <si>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</si>
  <si>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</si>
  <si>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</si>
  <si>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</si>
  <si>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</si>
  <si>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</si>
  <si>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</si>
  <si>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</si>
  <si>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</si>
  <si>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</si>
  <si>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</si>
  <si>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</si>
  <si>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</si>
  <si>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</si>
  <si>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</si>
  <si>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</si>
  <si>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</si>
  <si>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</si>
  <si>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</si>
  <si>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</si>
  <si>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</si>
  <si>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</si>
  <si>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</si>
  <si>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</si>
  <si>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</si>
  <si>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</si>
  <si>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</si>
  <si>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</si>
  <si>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</si>
  <si>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</si>
  <si>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</si>
  <si>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</si>
  <si>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</si>
  <si>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</si>
  <si>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</si>
  <si>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</si>
  <si>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</si>
  <si>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</si>
  <si>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</si>
  <si>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</si>
  <si>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</si>
  <si>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</si>
  <si>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</si>
  <si>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</si>
  <si>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</si>
  <si>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</si>
  <si>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</si>
  <si>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</si>
  <si>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</si>
  <si>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</si>
  <si>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</si>
  <si>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</si>
  <si>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</si>
  <si>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</si>
  <si>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</si>
  <si>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</si>
  <si>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</si>
  <si>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</si>
  <si>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</si>
  <si>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</si>
  <si>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</si>
  <si>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</si>
  <si>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</si>
  <si>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</si>
  <si>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</si>
  <si>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</si>
  <si>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</si>
  <si>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</si>
  <si>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</si>
  <si>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</si>
  <si>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</si>
  <si>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</si>
  <si>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</si>
  <si>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</si>
  <si>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</si>
  <si>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</si>
  <si>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</si>
  <si>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</si>
  <si>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</si>
  <si>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</si>
  <si>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</si>
  <si>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</si>
  <si>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</si>
  <si>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</si>
  <si>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</si>
  <si>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</si>
  <si>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</si>
  <si>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</si>
  <si>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</si>
  <si>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</si>
  <si>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</si>
  <si>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</si>
  <si>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</si>
  <si>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</si>
  <si>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</si>
  <si>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</si>
  <si>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</si>
  <si>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</si>
  <si>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</si>
  <si>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</si>
  <si>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</si>
  <si>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</si>
  <si>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</si>
  <si>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</si>
  <si>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</si>
  <si>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</si>
  <si>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</si>
  <si>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</si>
  <si>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</si>
  <si>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</si>
  <si>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</si>
  <si>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</si>
  <si>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</si>
  <si>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</si>
  <si>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</si>
  <si>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</si>
  <si>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</si>
  <si>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</si>
  <si>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</si>
  <si>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</si>
  <si>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</si>
  <si>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</si>
  <si>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</si>
  <si>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</si>
  <si>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</si>
  <si>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</si>
  <si>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</si>
  <si>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</si>
  <si>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</si>
  <si>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</si>
  <si>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</si>
  <si>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</si>
  <si>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</si>
  <si>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</si>
  <si>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</si>
  <si>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</si>
  <si>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</si>
  <si>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</si>
  <si>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</si>
  <si>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</si>
  <si>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</si>
  <si>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</si>
  <si>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</si>
  <si>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</si>
  <si>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</si>
  <si>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</si>
  <si>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</si>
  <si>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</si>
  <si>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</si>
  <si>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</si>
  <si>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</si>
  <si>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</si>
  <si>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</si>
  <si>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</si>
  <si>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</si>
  <si>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</si>
  <si>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</si>
  <si>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</si>
  <si>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</si>
  <si>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</si>
  <si>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</si>
  <si>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</si>
  <si>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</si>
  <si>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</si>
  <si>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</si>
  <si>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</si>
  <si>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</si>
  <si>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</si>
  <si>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</si>
  <si>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</si>
  <si>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</si>
  <si>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</si>
  <si>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</si>
  <si>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</si>
  <si>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</si>
  <si>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</si>
  <si>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</si>
  <si>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</si>
  <si>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</si>
  <si>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</si>
  <si>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</si>
  <si>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</si>
  <si>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</si>
  <si>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</si>
  <si>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</si>
  <si>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</si>
  <si>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</si>
  <si>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</si>
  <si>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</si>
  <si>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</si>
  <si>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</si>
  <si>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</si>
  <si>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</si>
  <si>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</si>
  <si>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</si>
  <si>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</si>
  <si>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</si>
  <si>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</si>
  <si>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</si>
  <si>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</si>
  <si>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</si>
  <si>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</si>
  <si>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</si>
  <si>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</si>
  <si>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</si>
  <si>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</si>
  <si>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</si>
  <si>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</si>
  <si>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</si>
  <si>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</si>
  <si>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</si>
  <si>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</si>
  <si>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</si>
  <si>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</si>
  <si>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</si>
  <si>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</si>
  <si>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</si>
  <si>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</si>
  <si>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</si>
  <si>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</si>
  <si>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</si>
  <si>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</si>
  <si>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</si>
  <si>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</si>
  <si>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</si>
  <si>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</si>
  <si>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</si>
  <si>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</si>
  <si>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</si>
  <si>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</si>
  <si>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</si>
  <si>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</si>
  <si>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</si>
  <si>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</si>
  <si>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</si>
  <si>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</si>
  <si>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</si>
  <si>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</si>
  <si>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</si>
  <si>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</si>
  <si>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</si>
  <si>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</si>
  <si>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</si>
  <si>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</si>
  <si>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</si>
  <si>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</si>
  <si>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</si>
  <si>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</si>
  <si>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</si>
  <si>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</si>
  <si>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</si>
  <si>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</si>
  <si>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</si>
  <si>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</si>
  <si>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</si>
  <si>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</si>
  <si>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</si>
  <si>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</si>
  <si>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</si>
  <si>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</si>
  <si>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</si>
  <si>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</si>
  <si>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</si>
  <si>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</si>
  <si>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</si>
  <si>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</si>
  <si>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</si>
  <si>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</si>
  <si>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</si>
  <si>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</si>
  <si>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</si>
  <si>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</si>
  <si>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</si>
  <si>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</si>
  <si>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</si>
  <si>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</si>
  <si>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</si>
  <si>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</si>
  <si>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</si>
  <si>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</si>
  <si>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</si>
  <si>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</si>
  <si>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</si>
  <si>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</si>
  <si>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</si>
  <si>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</si>
  <si>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</si>
  <si>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</si>
  <si>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</si>
  <si>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</si>
  <si>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</si>
  <si>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</si>
  <si>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</si>
  <si>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</si>
  <si>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</si>
  <si>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</si>
  <si>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</si>
  <si>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</si>
  <si>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</si>
  <si>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</si>
  <si>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</si>
  <si>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</si>
  <si>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</si>
  <si>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</si>
  <si>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</si>
  <si>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</si>
  <si>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</si>
  <si>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</si>
  <si>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</si>
  <si>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</si>
  <si>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</si>
  <si>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</si>
  <si>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</si>
  <si>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</si>
  <si>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</si>
  <si>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</si>
  <si>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</si>
  <si>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</si>
  <si>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</si>
  <si>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</si>
  <si>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</si>
  <si>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</si>
  <si>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</si>
  <si>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</si>
  <si>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</si>
  <si>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</si>
  <si>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</si>
  <si>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</si>
  <si>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</si>
  <si>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</si>
  <si>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</si>
  <si>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</si>
  <si>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</si>
  <si>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</si>
  <si>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</si>
  <si>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</si>
  <si>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</si>
  <si>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</si>
  <si>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</si>
  <si>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</si>
  <si>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</si>
  <si>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</si>
  <si>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</si>
  <si>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</si>
  <si>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</si>
  <si>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</si>
  <si>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</si>
  <si>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</si>
  <si>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</si>
  <si>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</si>
  <si>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</si>
  <si>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</si>
  <si>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</si>
  <si>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</si>
  <si>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</si>
  <si>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</si>
  <si>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</si>
  <si>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</si>
  <si>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</si>
  <si>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</si>
  <si>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</si>
  <si>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</si>
  <si>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</si>
  <si>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</si>
  <si>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</si>
  <si>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</si>
  <si>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</si>
  <si>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</si>
  <si>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</si>
  <si>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</si>
  <si>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</si>
  <si>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</si>
  <si>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</si>
  <si>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</si>
  <si>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</si>
  <si>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</si>
  <si>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</si>
  <si>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</si>
  <si>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</si>
  <si>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</si>
  <si>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</si>
  <si>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</si>
  <si>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</si>
  <si>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</si>
  <si>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</si>
  <si>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</si>
  <si>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</si>
  <si>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</si>
  <si>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</si>
  <si>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</si>
  <si>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</si>
  <si>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</si>
  <si>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</si>
  <si>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</si>
  <si>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</si>
  <si>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</si>
  <si>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</si>
  <si>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</si>
  <si>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</si>
  <si>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</si>
  <si>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</si>
  <si>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</si>
  <si>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</si>
  <si>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</si>
  <si>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</si>
  <si>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</si>
  <si>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</si>
  <si>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</si>
  <si>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</si>
  <si>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</si>
  <si>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</si>
  <si>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</si>
  <si>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</si>
  <si>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</si>
  <si>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</si>
  <si>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</si>
  <si>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</si>
  <si>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</si>
  <si>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</si>
  <si>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</si>
  <si>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</si>
  <si>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</si>
  <si>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</si>
  <si>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</si>
  <si>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</si>
  <si>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</si>
  <si>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</si>
  <si>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</si>
  <si>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</si>
  <si>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</si>
  <si>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</si>
  <si>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</si>
  <si>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</si>
  <si>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</si>
  <si>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</si>
  <si>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</si>
  <si>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</si>
  <si>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</si>
  <si>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</si>
  <si>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</si>
  <si>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</si>
  <si>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</si>
  <si>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</si>
  <si>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</si>
  <si>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</si>
  <si>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</si>
  <si>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</si>
  <si>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</si>
  <si>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</si>
  <si>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</si>
  <si>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</si>
  <si>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</si>
  <si>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</si>
  <si>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</si>
  <si>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</si>
  <si>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</si>
  <si>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</si>
  <si>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</si>
  <si>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</si>
  <si>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</si>
  <si>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</si>
  <si>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</si>
  <si>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</si>
  <si>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</si>
  <si>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</si>
  <si>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</si>
  <si>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</si>
  <si>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</si>
  <si>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</si>
  <si>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</si>
  <si>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</si>
  <si>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</si>
  <si>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</si>
  <si>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</si>
  <si>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</si>
  <si>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</si>
  <si>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</si>
  <si>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</si>
  <si>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</si>
  <si>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</si>
  <si>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</si>
  <si>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</si>
  <si>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</si>
  <si>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</si>
  <si>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</si>
  <si>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</si>
  <si>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</si>
  <si>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</si>
  <si>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</si>
  <si>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</si>
  <si>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</si>
  <si>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</si>
  <si>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</si>
  <si>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</si>
  <si>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</si>
  <si>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</si>
  <si>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</si>
  <si>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</si>
  <si>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</si>
  <si>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</si>
  <si>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</si>
  <si>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</si>
  <si>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</si>
  <si>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</si>
  <si>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</si>
  <si>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</si>
  <si>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</si>
  <si>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</si>
  <si>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</si>
  <si>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</si>
  <si>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</si>
  <si>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</si>
  <si>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</si>
  <si>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</si>
  <si>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</si>
  <si>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</si>
  <si>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</si>
  <si>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</si>
  <si>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</si>
  <si>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</si>
  <si>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</si>
  <si>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</si>
  <si>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</si>
  <si>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</si>
  <si>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</si>
  <si>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</si>
  <si>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</si>
  <si>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</si>
  <si>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</si>
  <si>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</si>
  <si>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</si>
  <si>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</si>
  <si>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</si>
  <si>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</si>
  <si>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</si>
  <si>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</si>
  <si>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</si>
  <si>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</si>
  <si>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</si>
  <si>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</si>
  <si>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</si>
  <si>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</si>
  <si>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</si>
  <si>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</si>
  <si>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</si>
  <si>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</si>
  <si>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</si>
  <si>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</si>
  <si>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</si>
  <si>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</si>
  <si>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</si>
  <si>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</si>
  <si>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</si>
  <si>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</si>
  <si>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</si>
  <si>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</si>
  <si>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</si>
  <si>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</si>
  <si>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</si>
  <si>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</si>
  <si>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</si>
  <si>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</si>
  <si>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</si>
  <si>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</si>
  <si>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</si>
  <si>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</si>
  <si>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</si>
  <si>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</si>
  <si>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</si>
  <si>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</si>
  <si>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</si>
  <si>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</si>
  <si>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</si>
  <si>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</si>
  <si>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</si>
  <si>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</si>
  <si>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</si>
  <si>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</si>
  <si>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</si>
  <si>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</si>
  <si>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</si>
  <si>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</si>
  <si>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</si>
  <si>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</si>
  <si>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</si>
  <si>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</si>
  <si>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</si>
  <si>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</si>
  <si>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</si>
  <si>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</si>
  <si>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</si>
  <si>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</si>
  <si>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</si>
  <si>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</si>
  <si>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</si>
  <si>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</si>
  <si>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</si>
  <si>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</si>
  <si>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</si>
  <si>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</si>
  <si>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</si>
  <si>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</si>
  <si>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</si>
  <si>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</si>
  <si>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</si>
  <si>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</si>
  <si>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</si>
  <si>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</si>
  <si>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</si>
  <si>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</si>
  <si>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</si>
  <si>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</si>
  <si>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</si>
  <si>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</si>
  <si>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</si>
  <si>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</si>
  <si>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</si>
  <si>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</si>
  <si>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</si>
  <si>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</si>
  <si>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</si>
  <si>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</si>
  <si>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</si>
  <si>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</si>
  <si>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</si>
  <si>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</si>
  <si>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</si>
  <si>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</si>
  <si>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</si>
  <si>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</si>
  <si>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</si>
  <si>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</si>
  <si>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</si>
  <si>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</si>
  <si>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</si>
  <si>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</si>
  <si>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</si>
  <si>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</si>
  <si>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</si>
  <si>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</si>
  <si>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</si>
  <si>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</si>
  <si>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</si>
  <si>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</si>
  <si>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</si>
  <si>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</si>
  <si>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</si>
  <si>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</si>
  <si>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</si>
  <si>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</si>
  <si>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</si>
  <si>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</si>
  <si>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</si>
  <si>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</si>
  <si>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</si>
  <si>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</si>
  <si>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</si>
  <si>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</si>
  <si>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</si>
  <si>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</si>
  <si>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</si>
  <si>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</si>
  <si>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</si>
  <si>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</si>
  <si>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</si>
  <si>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</si>
  <si>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</si>
  <si>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</si>
  <si>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</si>
  <si>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</si>
  <si>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</si>
  <si>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</si>
  <si>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</si>
  <si>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</si>
  <si>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</si>
  <si>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</si>
  <si>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</si>
  <si>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</si>
  <si>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</si>
  <si>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</si>
  <si>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</si>
  <si>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</si>
  <si>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</si>
  <si>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</si>
  <si>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</si>
  <si>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</si>
  <si>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</si>
  <si>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</si>
  <si>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</si>
  <si>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</si>
  <si>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</si>
  <si>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</si>
  <si>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</si>
  <si>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</si>
  <si>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</si>
  <si>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</si>
  <si>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</si>
  <si>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</si>
  <si>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</si>
  <si>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</si>
  <si>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</si>
  <si>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</si>
  <si>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</si>
  <si>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</si>
  <si>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</si>
  <si>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</si>
  <si>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</si>
  <si>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</si>
  <si>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</si>
  <si>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</si>
  <si>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</si>
  <si>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</si>
  <si>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</si>
  <si>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</si>
  <si>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</si>
  <si>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</si>
  <si>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</si>
  <si>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</si>
  <si>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</si>
  <si>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</si>
  <si>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</si>
  <si>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</si>
  <si>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</si>
  <si>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</si>
  <si>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</si>
  <si>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</si>
  <si>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</si>
  <si>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</si>
  <si>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</si>
  <si>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</si>
  <si>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</si>
  <si>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</si>
  <si>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</si>
  <si>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</si>
  <si>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</si>
  <si>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</si>
  <si>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</si>
  <si>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</si>
  <si>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</si>
  <si>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</si>
  <si>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</si>
  <si>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</si>
  <si>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</si>
  <si>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</si>
  <si>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</si>
  <si>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</si>
  <si>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</si>
  <si>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</si>
  <si>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</si>
  <si>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</si>
  <si>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</si>
  <si>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</si>
  <si>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</si>
  <si>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</si>
  <si>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</si>
  <si>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</si>
  <si>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</si>
  <si>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</si>
  <si>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</si>
  <si>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</si>
  <si>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</si>
  <si>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</si>
  <si>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</si>
  <si>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</si>
  <si>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</si>
  <si>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</si>
  <si>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</si>
  <si>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</si>
  <si>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</si>
  <si>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</si>
  <si>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</si>
  <si>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</si>
  <si>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</si>
  <si>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</si>
  <si>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</si>
  <si>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</si>
  <si>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</si>
  <si>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</si>
  <si>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</si>
  <si>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</si>
  <si>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</si>
  <si>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</si>
  <si>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</si>
  <si>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</si>
  <si>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</si>
  <si>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</si>
  <si>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</si>
  <si>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</si>
  <si>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</si>
  <si>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</si>
  <si>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</si>
  <si>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</si>
  <si>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</si>
  <si>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</si>
  <si>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</si>
  <si>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</si>
  <si>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</si>
  <si>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</si>
  <si>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</si>
  <si>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</si>
  <si>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</si>
  <si>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</si>
  <si>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</si>
  <si>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</si>
  <si>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</si>
  <si>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</si>
  <si>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</si>
  <si>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</si>
  <si>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</si>
  <si>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</si>
  <si>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</si>
  <si>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</si>
  <si>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</si>
  <si>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</si>
  <si>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</si>
  <si>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</si>
  <si>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</si>
  <si>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</si>
  <si>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</si>
  <si>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</si>
  <si>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</si>
  <si>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</si>
  <si>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</si>
  <si>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</si>
  <si>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</si>
  <si>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</si>
  <si>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</si>
  <si>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</si>
  <si>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</si>
  <si>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</si>
  <si>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</si>
  <si>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</si>
  <si>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</si>
  <si>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</si>
  <si>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</si>
  <si>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</si>
  <si>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</si>
  <si>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</si>
  <si>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</si>
  <si>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</si>
  <si>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</si>
  <si>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</si>
  <si>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</si>
  <si>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</si>
  <si>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</si>
  <si>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</si>
  <si>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</si>
  <si>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</si>
  <si>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</si>
  <si>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</si>
  <si>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</si>
  <si>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</si>
  <si>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</si>
  <si>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</si>
  <si>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</si>
  <si>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</si>
  <si>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</si>
  <si>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</si>
  <si>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</si>
  <si>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</si>
  <si>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</si>
  <si>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</si>
  <si>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</si>
  <si>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</si>
  <si>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</si>
  <si>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</si>
  <si>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</si>
  <si>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</si>
  <si>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</si>
  <si>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</si>
  <si>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</si>
  <si>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</si>
  <si>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</si>
  <si>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</si>
  <si>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</si>
  <si>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</si>
  <si>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</si>
  <si>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</si>
  <si>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</si>
  <si>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</si>
  <si>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</si>
  <si>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</si>
  <si>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</si>
  <si>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</si>
  <si>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</si>
  <si>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</si>
  <si>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</si>
  <si>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</si>
  <si>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</si>
  <si>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</si>
  <si>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</si>
  <si>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</si>
  <si>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</si>
  <si>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</si>
  <si>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</si>
  <si>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</si>
  <si>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</si>
  <si>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</si>
  <si>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</si>
  <si>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</si>
  <si>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</si>
  <si>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</si>
  <si>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</si>
  <si>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</si>
  <si>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</si>
  <si>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</si>
  <si>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</si>
  <si>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</si>
  <si>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</si>
  <si>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</si>
  <si>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</si>
  <si>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</si>
  <si>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</si>
  <si>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</si>
  <si>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</si>
  <si>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</si>
  <si>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</si>
  <si>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</si>
  <si>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</si>
  <si>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</si>
  <si>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</si>
  <si>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</si>
  <si>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</si>
  <si>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</si>
  <si>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</si>
  <si>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</si>
  <si>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</si>
  <si>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</si>
  <si>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</si>
  <si>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</si>
  <si>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</si>
  <si>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</si>
  <si>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</si>
  <si>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</si>
  <si>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</si>
  <si>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</si>
  <si>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</si>
  <si>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</si>
  <si>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</si>
  <si>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</si>
  <si>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</si>
  <si>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</si>
  <si>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</si>
  <si>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</si>
  <si>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</si>
  <si>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</si>
  <si>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</si>
  <si>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</si>
  <si>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</si>
  <si>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</si>
  <si>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</si>
  <si>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</si>
  <si>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</si>
  <si>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</si>
  <si>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</si>
  <si>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</si>
  <si>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</si>
  <si>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</si>
  <si>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</si>
  <si>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</si>
  <si>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</si>
  <si>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</si>
  <si>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</si>
  <si>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</si>
  <si>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</si>
  <si>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</si>
  <si>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</si>
  <si>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</si>
  <si>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</si>
  <si>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</si>
  <si>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</si>
  <si>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</si>
  <si>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</si>
  <si>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</si>
  <si>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</si>
  <si>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</si>
  <si>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</si>
  <si>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</si>
  <si>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</si>
  <si>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</si>
  <si>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</si>
  <si>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</si>
  <si>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</si>
  <si>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</si>
  <si>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</si>
  <si>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</si>
  <si>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</si>
  <si>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</si>
  <si>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</si>
  <si>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</si>
  <si>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</si>
  <si>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</si>
  <si>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</si>
  <si>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</si>
  <si>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</si>
  <si>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</si>
  <si>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</si>
  <si>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</si>
  <si>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</si>
  <si>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</si>
  <si>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</si>
  <si>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</si>
  <si>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</si>
  <si>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</si>
  <si>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</si>
  <si>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</si>
  <si>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</si>
  <si>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</si>
  <si>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</si>
  <si>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</si>
  <si>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</si>
  <si>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</si>
  <si>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</si>
  <si>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</si>
  <si>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</si>
  <si>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</si>
  <si>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</si>
  <si>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</si>
  <si>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</si>
  <si>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</si>
  <si>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</si>
  <si>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</si>
  <si>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</si>
  <si>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</si>
  <si>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</si>
  <si>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</si>
  <si>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</si>
  <si>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</si>
  <si>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</si>
  <si>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</si>
  <si>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</si>
  <si>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</si>
  <si>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</si>
  <si>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</si>
  <si>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</si>
  <si>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</si>
  <si>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</si>
  <si>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</si>
  <si>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</si>
  <si>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</si>
  <si>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</si>
  <si>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</si>
  <si>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</si>
  <si>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</si>
  <si>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</si>
  <si>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</si>
  <si>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</si>
  <si>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</si>
  <si>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</si>
  <si>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</si>
  <si>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</si>
  <si>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</si>
  <si>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</si>
  <si>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</si>
  <si>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</si>
  <si>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</si>
  <si>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</si>
  <si>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</si>
  <si>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</si>
  <si>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</si>
  <si>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</si>
  <si>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</si>
  <si>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</si>
  <si>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</si>
  <si>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</si>
  <si>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</si>
  <si>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</si>
  <si>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</si>
  <si>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</si>
  <si>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</si>
  <si>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</si>
  <si>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</si>
  <si>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</si>
  <si>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</si>
  <si>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</si>
  <si>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</si>
  <si>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</si>
  <si>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</si>
  <si>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</si>
  <si>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</si>
  <si>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</si>
  <si>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</si>
  <si>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</si>
  <si>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</si>
  <si>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</si>
  <si>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</si>
  <si>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</si>
  <si>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</si>
  <si>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</si>
  <si>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</si>
  <si>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</si>
  <si>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</si>
  <si>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</si>
  <si>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</si>
  <si>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</si>
  <si>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</si>
  <si>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</si>
  <si>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</si>
  <si>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</si>
  <si>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</si>
  <si>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</si>
  <si>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</si>
  <si>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</si>
  <si>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</si>
  <si>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</si>
  <si>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</si>
  <si>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</si>
  <si>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</si>
  <si>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</si>
  <si>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</si>
  <si>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</si>
  <si>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</si>
  <si>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</si>
  <si>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</si>
  <si>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</si>
  <si>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</si>
  <si>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</si>
  <si>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</si>
  <si>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</si>
  <si>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</si>
  <si>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</si>
  <si>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</si>
  <si>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</si>
  <si>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</si>
  <si>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</si>
  <si>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</si>
  <si>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</si>
  <si>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</si>
  <si>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</si>
  <si>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</si>
  <si>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</si>
  <si>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</si>
  <si>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</si>
  <si>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</si>
  <si>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</si>
  <si>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</si>
  <si>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</si>
  <si>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</si>
  <si>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</si>
  <si>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</si>
  <si>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</si>
  <si>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</si>
  <si>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</si>
  <si>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</si>
  <si>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</si>
  <si>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</si>
  <si>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</si>
  <si>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</si>
  <si>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</si>
  <si>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</si>
  <si>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</si>
  <si>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</si>
  <si>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</si>
  <si>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</si>
  <si>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</si>
  <si>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</si>
  <si>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</si>
  <si>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</si>
  <si>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</si>
  <si>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</si>
  <si>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</si>
  <si>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</si>
  <si>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</si>
  <si>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</si>
  <si>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</si>
  <si>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</si>
  <si>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</si>
  <si>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</si>
  <si>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</si>
  <si>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</si>
  <si>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</si>
  <si>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</si>
  <si>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</si>
  <si>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</si>
  <si>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</si>
  <si>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</si>
  <si>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</si>
  <si>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</si>
  <si>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</si>
  <si>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</si>
  <si>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</si>
  <si>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</si>
  <si>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</si>
  <si>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</si>
  <si>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</si>
  <si>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</si>
  <si>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</si>
  <si>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</si>
  <si>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</si>
  <si>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</si>
  <si>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</si>
  <si>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</si>
  <si>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</si>
  <si>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</si>
  <si>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</si>
  <si>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</si>
  <si>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</si>
  <si>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</si>
  <si>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</si>
  <si>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</si>
  <si>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</si>
  <si>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</si>
  <si>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</si>
  <si>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</si>
  <si>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</si>
  <si>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</si>
  <si>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</si>
  <si>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</si>
  <si>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</si>
  <si>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</si>
  <si>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</si>
  <si>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</si>
  <si>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</si>
  <si>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</si>
  <si>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</si>
  <si>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</si>
  <si>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</si>
  <si>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</si>
  <si>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</si>
  <si>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</si>
  <si>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</si>
  <si>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</si>
  <si>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</si>
  <si>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</si>
  <si>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</si>
  <si>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</si>
  <si>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</si>
  <si>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</si>
  <si>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</si>
  <si>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</si>
  <si>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</si>
  <si>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</si>
  <si>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</si>
  <si>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</si>
  <si>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</si>
  <si>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</si>
  <si>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</si>
  <si>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</si>
  <si>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</si>
  <si>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</si>
  <si>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</si>
  <si>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</si>
  <si>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</si>
  <si>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</si>
  <si>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</si>
  <si>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</si>
  <si>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</si>
  <si>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</si>
  <si>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</si>
  <si>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</si>
  <si>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</si>
  <si>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</si>
  <si>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</si>
  <si>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</si>
  <si>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</si>
  <si>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</si>
  <si>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</si>
  <si>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</si>
  <si>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</si>
  <si>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</si>
  <si>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</si>
  <si>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</si>
  <si>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</si>
  <si>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</si>
  <si>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</si>
  <si>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</si>
  <si>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</si>
  <si>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</si>
  <si>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</si>
  <si>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</si>
  <si>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</si>
  <si>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</si>
  <si>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</si>
  <si>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</si>
  <si>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</si>
  <si>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</si>
  <si>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</si>
  <si>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</si>
  <si>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</si>
  <si>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</si>
  <si>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</si>
  <si>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</si>
  <si>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</si>
  <si>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</si>
  <si>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</si>
  <si>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</si>
  <si>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</si>
  <si>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</si>
  <si>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</si>
  <si>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</si>
  <si>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</si>
  <si>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</si>
  <si>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</si>
  <si>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</si>
  <si>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</si>
  <si>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</si>
  <si>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</si>
  <si>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</si>
  <si>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</si>
  <si>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</si>
  <si>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</si>
  <si>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</si>
  <si>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</si>
  <si>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</si>
  <si>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</si>
  <si>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</si>
  <si>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</si>
  <si>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</si>
  <si>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</si>
  <si>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</si>
  <si>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</si>
  <si>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</si>
  <si>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</si>
  <si>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</si>
  <si>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</si>
  <si>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</si>
  <si>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</si>
  <si>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</si>
  <si>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</si>
  <si>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</si>
  <si>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</si>
  <si>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</si>
  <si>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</si>
  <si>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</si>
  <si>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</si>
  <si>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</si>
  <si>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</si>
  <si>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</si>
  <si>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</si>
  <si>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</si>
  <si>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</si>
  <si>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</si>
  <si>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</si>
  <si>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</si>
  <si>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</si>
  <si>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</si>
  <si>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</si>
  <si>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</si>
  <si>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</si>
  <si>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</si>
  <si>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</si>
  <si>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</si>
  <si>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</si>
  <si>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</si>
  <si>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</si>
  <si>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</si>
  <si>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</si>
  <si>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</si>
  <si>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</si>
  <si>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</si>
  <si>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</si>
  <si>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</si>
  <si>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</si>
  <si>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</si>
  <si>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</si>
  <si>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</si>
  <si>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</si>
  <si>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</si>
  <si>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</si>
  <si>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</si>
  <si>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</si>
  <si>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</si>
  <si>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</si>
  <si>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</si>
  <si>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</si>
  <si>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</si>
  <si>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</si>
  <si>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</si>
  <si>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</si>
  <si>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</si>
  <si>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</si>
  <si>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</si>
  <si>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</si>
  <si>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</si>
  <si>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</si>
  <si>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</si>
  <si>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</si>
  <si>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</si>
  <si>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</si>
  <si>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</si>
  <si>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</si>
  <si>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</si>
  <si>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</si>
  <si>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</si>
  <si>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</si>
  <si>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</si>
  <si>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</si>
  <si>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</si>
  <si>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</si>
  <si>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</si>
  <si>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</si>
  <si>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</si>
  <si>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</si>
  <si>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</si>
  <si>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</si>
  <si>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</si>
  <si>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</si>
  <si>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</si>
  <si>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</si>
  <si>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</si>
  <si>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</si>
  <si>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</si>
  <si>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</si>
  <si>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</si>
  <si>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</si>
  <si>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</si>
  <si>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</si>
  <si>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</si>
  <si>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</si>
  <si>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</si>
  <si>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</si>
  <si>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</si>
  <si>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</si>
  <si>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</si>
  <si>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</si>
  <si>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</si>
  <si>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</si>
  <si>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</si>
  <si>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</si>
  <si>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</si>
  <si>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</si>
  <si>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</si>
  <si>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</si>
  <si>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</si>
  <si>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</si>
  <si>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</si>
  <si>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</si>
  <si>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</si>
  <si>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</si>
  <si>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</si>
  <si>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</si>
  <si>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</si>
  <si>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</si>
  <si>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</si>
  <si>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</si>
  <si>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</si>
  <si>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</si>
  <si>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</si>
  <si>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</si>
  <si>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</si>
  <si>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</si>
  <si>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</si>
  <si>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</si>
  <si>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</si>
  <si>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</si>
  <si>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</si>
  <si>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</si>
  <si>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</si>
  <si>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</si>
  <si>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</si>
  <si>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</si>
  <si>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</si>
  <si>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</si>
  <si>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</si>
  <si>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</si>
  <si>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</si>
  <si>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</si>
  <si>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</si>
  <si>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</si>
  <si>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</si>
  <si>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</si>
  <si>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</si>
  <si>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</si>
  <si>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</si>
  <si>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</si>
  <si>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</si>
  <si>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</si>
  <si>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</si>
  <si>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</si>
  <si>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</si>
  <si>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</si>
  <si>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</si>
  <si>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</si>
  <si>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</si>
  <si>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</si>
  <si>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</si>
  <si>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</si>
  <si>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</si>
  <si>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</si>
  <si>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</si>
  <si>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</si>
  <si>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</si>
  <si>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</si>
  <si>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</si>
  <si>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</si>
  <si>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</si>
  <si>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</si>
  <si>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</si>
  <si>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</si>
  <si>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</si>
  <si>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</si>
  <si>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</si>
  <si>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</si>
  <si>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</si>
  <si>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</si>
  <si>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</si>
  <si>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</si>
  <si>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</si>
  <si>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</si>
  <si>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</si>
  <si>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</si>
  <si>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</si>
  <si>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</si>
  <si>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</si>
  <si>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</si>
  <si>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</si>
  <si>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</si>
  <si>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</si>
  <si>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</si>
  <si>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</si>
  <si>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</si>
  <si>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</si>
  <si>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</si>
  <si>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</si>
  <si>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</si>
  <si>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</si>
  <si>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</si>
  <si>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</si>
  <si>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</si>
  <si>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</si>
  <si>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</si>
  <si>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</si>
  <si>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</si>
  <si>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</si>
  <si>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</si>
  <si>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</si>
  <si>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</si>
  <si>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</si>
  <si>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</si>
  <si>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</si>
  <si>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</si>
  <si>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</si>
  <si>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</si>
  <si>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</si>
  <si>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</si>
  <si>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</si>
  <si>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</si>
  <si>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</si>
  <si>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</si>
  <si>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</si>
  <si>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</si>
  <si>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</si>
  <si>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</si>
  <si>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</si>
  <si>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</si>
  <si>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</si>
  <si>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</si>
  <si>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</si>
  <si>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</si>
  <si>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</si>
  <si>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</si>
  <si>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</si>
  <si>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</si>
  <si>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</si>
  <si>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</si>
  <si>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</si>
  <si>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</si>
  <si>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</si>
  <si>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</si>
  <si>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</si>
  <si>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</si>
  <si>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</si>
  <si>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</si>
  <si>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</si>
  <si>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</si>
  <si>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</si>
  <si>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</si>
  <si>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</si>
  <si>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</si>
  <si>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</si>
  <si>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</si>
  <si>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</si>
  <si>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</si>
  <si>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</si>
  <si>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</si>
  <si>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</si>
  <si>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</si>
  <si>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</si>
  <si>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</si>
  <si>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</si>
  <si>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</si>
  <si>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</si>
  <si>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</si>
  <si>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</si>
  <si>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</si>
  <si>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</si>
  <si>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</si>
  <si>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</si>
  <si>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</si>
  <si>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</si>
  <si>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</si>
  <si>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</si>
  <si>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</si>
  <si>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</si>
  <si>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</si>
  <si>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</si>
  <si>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</si>
  <si>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</si>
  <si>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</si>
  <si>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</si>
  <si>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</si>
  <si>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</si>
  <si>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</si>
  <si>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</si>
  <si>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</si>
  <si>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</si>
  <si>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</si>
  <si>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</si>
  <si>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</si>
  <si>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</si>
  <si>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</si>
  <si>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</si>
  <si>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</si>
  <si>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</si>
  <si>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</si>
  <si>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</si>
  <si>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</si>
  <si>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</si>
  <si>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</si>
  <si>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</si>
  <si>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</si>
  <si>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</si>
  <si>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</si>
  <si>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</si>
  <si>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</si>
  <si>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</si>
  <si>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</si>
  <si>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</si>
  <si>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</si>
  <si>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</si>
  <si>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</si>
  <si>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</si>
  <si>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</si>
  <si>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</si>
  <si>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</si>
  <si>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</si>
  <si>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</si>
  <si>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</si>
  <si>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</si>
  <si>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</si>
  <si>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</si>
  <si>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</si>
  <si>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</si>
  <si>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</si>
  <si>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</si>
  <si>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</si>
  <si>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</si>
  <si>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</si>
  <si>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</si>
  <si>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</si>
  <si>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</si>
  <si>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</si>
  <si>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</si>
  <si>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</si>
  <si>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</si>
  <si>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</si>
  <si>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</si>
  <si>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</si>
  <si>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</si>
  <si>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</si>
  <si>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</si>
  <si>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</si>
  <si>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</si>
  <si>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</si>
  <si>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</si>
  <si>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</si>
  <si>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</si>
  <si>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</si>
  <si>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</si>
  <si>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</si>
  <si>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</si>
  <si>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</si>
  <si>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</si>
  <si>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</si>
  <si>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</si>
  <si>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</si>
  <si>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</si>
  <si>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</si>
  <si>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</si>
  <si>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</si>
  <si>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</si>
  <si>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</si>
  <si>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</si>
  <si>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</si>
  <si>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</si>
  <si>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</si>
  <si>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</si>
  <si>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</si>
  <si>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</si>
  <si>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</si>
  <si>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</si>
  <si>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</si>
  <si>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</si>
  <si>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</si>
  <si>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</si>
  <si>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</si>
  <si>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</si>
  <si>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</si>
  <si>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</si>
  <si>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</si>
  <si>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</si>
  <si>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</si>
  <si>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</si>
  <si>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</si>
  <si>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</si>
  <si>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</si>
  <si>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</si>
  <si>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</si>
  <si>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</si>
  <si>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</si>
  <si>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</si>
  <si>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</si>
  <si>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</si>
  <si>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</si>
  <si>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</si>
  <si>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</si>
  <si>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</si>
  <si>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</si>
  <si>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</si>
  <si>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</si>
  <si>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</si>
  <si>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</si>
  <si>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</si>
  <si>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</si>
  <si>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</si>
  <si>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</si>
  <si>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</si>
  <si>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</si>
  <si>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</si>
  <si>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</si>
  <si>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</si>
  <si>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</si>
  <si>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</si>
  <si>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</si>
  <si>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</si>
  <si>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</si>
  <si>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</si>
  <si>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</si>
  <si>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</si>
  <si>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</si>
  <si>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</si>
  <si>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</si>
  <si>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</si>
  <si>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</si>
  <si>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</si>
  <si>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</si>
  <si>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</si>
  <si>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</si>
  <si>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</si>
  <si>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</si>
  <si>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</si>
  <si>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</si>
  <si>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</si>
  <si>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</si>
  <si>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</si>
  <si>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</si>
  <si>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</si>
  <si>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</si>
  <si>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</si>
  <si>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</si>
  <si>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</si>
  <si>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</si>
  <si>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</si>
  <si>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</si>
  <si>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</si>
  <si>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</si>
  <si>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</si>
  <si>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</si>
  <si>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</si>
  <si>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</si>
  <si>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</si>
  <si>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</si>
  <si>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</si>
  <si>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</si>
  <si>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</si>
  <si>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</si>
  <si>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</si>
  <si>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</si>
  <si>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</si>
  <si>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</si>
  <si>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</si>
  <si>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</si>
  <si>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</si>
  <si>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</si>
  <si>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</si>
  <si>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</si>
  <si>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</si>
  <si>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</si>
  <si>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</si>
  <si>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</si>
  <si>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</si>
  <si>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</si>
  <si>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</si>
  <si>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</si>
  <si>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</si>
  <si>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</si>
  <si>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</si>
  <si>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</si>
  <si>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</si>
  <si>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</si>
  <si>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</si>
  <si>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</si>
  <si>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</si>
  <si>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</si>
  <si>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</si>
  <si>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</si>
  <si>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</si>
  <si>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</si>
  <si>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</si>
  <si>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</si>
  <si>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</si>
  <si>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</si>
  <si>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</si>
  <si>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</si>
  <si>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</si>
  <si>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</si>
  <si>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</si>
  <si>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</si>
  <si>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</si>
  <si>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</si>
  <si>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</si>
  <si>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</si>
  <si>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</si>
  <si>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</si>
  <si>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</si>
  <si>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</si>
  <si>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</si>
  <si>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</si>
  <si>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</si>
  <si>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</si>
  <si>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</si>
  <si>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</si>
  <si>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</si>
  <si>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</si>
  <si>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</si>
  <si>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</si>
  <si>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</si>
  <si>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</si>
  <si>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</si>
  <si>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</si>
  <si>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</si>
  <si>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</si>
  <si>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</si>
  <si>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</si>
  <si>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</si>
  <si>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</si>
  <si>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</si>
  <si>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</si>
  <si>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</si>
  <si>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</si>
  <si>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</si>
  <si>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</si>
  <si>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</si>
  <si>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</si>
  <si>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</si>
  <si>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</si>
  <si>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</si>
  <si>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</si>
  <si>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</si>
  <si>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</si>
  <si>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</si>
  <si>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</si>
  <si>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</si>
  <si>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</si>
  <si>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</si>
  <si>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</si>
  <si>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</si>
  <si>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</si>
  <si>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</si>
  <si>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</si>
  <si>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</si>
  <si>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</si>
  <si>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</si>
  <si>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</si>
  <si>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</si>
  <si>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</si>
  <si>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</si>
  <si>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</si>
  <si>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</si>
  <si>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</si>
  <si>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</si>
  <si>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</si>
  <si>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</si>
  <si>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</si>
  <si>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</si>
  <si>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</si>
  <si>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</si>
  <si>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</si>
  <si>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</si>
  <si>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</si>
  <si>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</si>
  <si>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</si>
  <si>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</si>
  <si>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</si>
  <si>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</si>
  <si>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</si>
  <si>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</si>
  <si>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</si>
  <si>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</si>
  <si>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</si>
  <si>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</si>
  <si>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</si>
  <si>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</si>
  <si>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</si>
  <si>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</si>
  <si>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</si>
  <si>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</si>
  <si>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</si>
  <si>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</si>
  <si>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</si>
  <si>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</si>
  <si>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</si>
  <si>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</si>
  <si>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</si>
  <si>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</si>
  <si>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</si>
  <si>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</si>
  <si>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</si>
  <si>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</si>
  <si>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</si>
  <si>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</si>
  <si>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</si>
  <si>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</si>
  <si>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</si>
  <si>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</si>
  <si>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</si>
  <si>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</si>
  <si>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</si>
  <si>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</si>
  <si>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</si>
  <si>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</si>
  <si>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</si>
  <si>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</si>
  <si>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</si>
  <si>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</si>
  <si>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</si>
  <si>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</si>
  <si>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</si>
  <si>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</si>
  <si>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</si>
  <si>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</si>
  <si>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</si>
  <si>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</si>
  <si>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</si>
  <si>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</si>
  <si>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</si>
  <si>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</si>
  <si>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</si>
  <si>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</si>
  <si>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</si>
  <si>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</si>
  <si>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</si>
  <si>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</si>
  <si>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</si>
  <si>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</si>
  <si>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</si>
  <si>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</si>
  <si>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</si>
  <si>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</si>
  <si>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</si>
  <si>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</si>
  <si>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</si>
  <si>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</si>
  <si>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</si>
  <si>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</si>
  <si>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</si>
  <si>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</si>
  <si>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</si>
  <si>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</si>
  <si>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</si>
  <si>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</si>
  <si>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</si>
  <si>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</si>
  <si>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</si>
  <si>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</si>
  <si>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</si>
  <si>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</si>
  <si>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</si>
  <si>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</si>
  <si>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</si>
  <si>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</si>
  <si>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</si>
  <si>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</si>
  <si>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</si>
  <si>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</si>
  <si>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</si>
  <si>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</si>
  <si>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</si>
  <si>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</si>
  <si>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</si>
  <si>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</si>
  <si>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</si>
  <si>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</si>
  <si>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</si>
  <si>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</si>
  <si>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</si>
  <si>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</si>
  <si>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</si>
  <si>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</si>
  <si>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</si>
  <si>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</si>
  <si>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</si>
  <si>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</si>
  <si>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</si>
  <si>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</si>
  <si>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</si>
  <si>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</si>
  <si>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</si>
  <si>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</si>
  <si>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</si>
  <si>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</si>
  <si>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</si>
  <si>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</si>
  <si>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</si>
  <si>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</si>
  <si>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</si>
  <si>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</si>
  <si>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</si>
  <si>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</si>
  <si>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</si>
  <si>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</si>
  <si>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</si>
  <si>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</si>
  <si>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</si>
  <si>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</si>
  <si>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</si>
  <si>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</si>
  <si>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</si>
  <si>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</si>
  <si>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</si>
  <si>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</si>
  <si>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</si>
  <si>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</si>
  <si>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</si>
  <si>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</si>
  <si>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</si>
  <si>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</si>
  <si>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</si>
  <si>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</si>
  <si>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</si>
  <si>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</si>
  <si>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</si>
  <si>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</si>
  <si>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</si>
  <si>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</si>
  <si>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</si>
  <si>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</si>
  <si>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</si>
  <si>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</si>
  <si>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</si>
  <si>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</si>
  <si>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</si>
  <si>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</si>
  <si>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</si>
  <si>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</si>
  <si>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</si>
  <si>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</si>
  <si>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</si>
  <si>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</si>
  <si>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</si>
  <si>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</si>
  <si>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</si>
  <si>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</si>
  <si>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</si>
  <si>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</si>
  <si>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</si>
  <si>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</si>
  <si>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</si>
  <si>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</si>
  <si>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</si>
  <si>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</si>
  <si>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</si>
  <si>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</si>
  <si>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</si>
  <si>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</si>
  <si>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</si>
  <si>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</si>
  <si>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</si>
  <si>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</si>
  <si>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</si>
  <si>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</si>
  <si>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</si>
  <si>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</si>
  <si>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</si>
  <si>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</si>
  <si>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</si>
  <si>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</si>
  <si>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</si>
  <si>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</si>
  <si>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</si>
  <si>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</si>
  <si>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</si>
  <si>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</si>
  <si>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</si>
  <si>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</si>
  <si>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</si>
  <si>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</si>
  <si>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</si>
  <si>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</si>
  <si>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</si>
  <si>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</si>
  <si>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</si>
  <si>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</si>
  <si>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</si>
  <si>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</si>
  <si>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</si>
  <si>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</si>
  <si>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</si>
  <si>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</si>
  <si>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</si>
  <si>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</si>
  <si>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</si>
  <si>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</si>
  <si>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</si>
  <si>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</si>
  <si>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</si>
  <si>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</si>
  <si>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</si>
  <si>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</si>
  <si>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</si>
  <si>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</si>
  <si>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</si>
  <si>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</si>
  <si>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</si>
  <si>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</si>
  <si>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</si>
  <si>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</si>
  <si>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</si>
  <si>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</si>
  <si>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</si>
  <si>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</si>
  <si>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</si>
  <si>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</si>
  <si>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</si>
  <si>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</si>
  <si>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</si>
  <si>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</si>
  <si>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</si>
  <si>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</si>
  <si>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</si>
  <si>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</si>
  <si>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</si>
  <si>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</si>
  <si>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</si>
  <si>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</si>
  <si>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</si>
  <si>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</si>
  <si>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</si>
  <si>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</si>
  <si>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</si>
  <si>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</si>
  <si>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</si>
  <si>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</si>
  <si>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</si>
  <si>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</si>
  <si>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</si>
  <si>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</si>
  <si>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</si>
  <si>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</si>
  <si>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</si>
  <si>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</si>
  <si>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</si>
  <si>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</si>
  <si>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</si>
  <si>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</si>
  <si>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</si>
  <si>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</si>
  <si>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</si>
  <si>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</si>
  <si>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</si>
  <si>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</si>
  <si>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</si>
  <si>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</si>
  <si>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</si>
  <si>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</si>
  <si>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</si>
  <si>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</si>
  <si>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</si>
  <si>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</si>
  <si>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</si>
  <si>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</si>
  <si>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</si>
  <si>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</si>
  <si>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</si>
  <si>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</si>
  <si>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</si>
  <si>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</si>
  <si>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</si>
  <si>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</si>
  <si>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</si>
  <si>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</si>
  <si>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</si>
  <si>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</si>
  <si>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</si>
  <si>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</si>
  <si>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</si>
  <si>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</si>
  <si>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</si>
  <si>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</si>
  <si>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</si>
  <si>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</si>
  <si>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</si>
  <si>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</si>
  <si>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</si>
  <si>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</si>
  <si>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</si>
  <si>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</si>
  <si>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</si>
  <si>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</si>
  <si>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</si>
  <si>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</si>
  <si>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</si>
  <si>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</si>
  <si>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</si>
  <si>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</si>
  <si>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</si>
  <si>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</si>
  <si>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</si>
  <si>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</si>
  <si>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</si>
  <si>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</si>
  <si>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</si>
  <si>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</si>
  <si>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</si>
  <si>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</si>
  <si>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</si>
  <si>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</si>
  <si>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</si>
  <si>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</si>
  <si>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</si>
  <si>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</si>
  <si>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</si>
  <si>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</si>
  <si>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</si>
  <si>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</si>
  <si>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</si>
  <si>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</si>
  <si>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</si>
  <si>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</si>
  <si>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</si>
  <si>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</si>
  <si>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</si>
  <si>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</si>
  <si>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</si>
  <si>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</si>
  <si>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</si>
  <si>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</si>
  <si>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</si>
  <si>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</si>
  <si>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</si>
  <si>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</si>
  <si>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</si>
  <si>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</si>
  <si>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</si>
  <si>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</si>
  <si>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</si>
  <si>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</si>
  <si>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</si>
  <si>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</si>
  <si>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</si>
  <si>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</si>
  <si>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</si>
  <si>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</si>
  <si>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</si>
  <si>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</si>
  <si>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</si>
  <si>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</si>
  <si>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</si>
  <si>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</si>
  <si>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</si>
  <si>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</si>
  <si>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</si>
  <si>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</si>
  <si>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</si>
  <si>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</si>
  <si>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</si>
  <si>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</si>
  <si>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</si>
  <si>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</si>
  <si>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</si>
  <si>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</si>
  <si>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</si>
  <si>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</si>
  <si>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</si>
  <si>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</si>
  <si>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</si>
  <si>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</si>
  <si>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</si>
  <si>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</si>
  <si>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</si>
  <si>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</si>
  <si>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</si>
  <si>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</si>
  <si>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</si>
  <si>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</si>
  <si>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</si>
  <si>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</si>
  <si>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</si>
  <si>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</si>
  <si>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</si>
  <si>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</si>
  <si>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</si>
  <si>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</si>
  <si>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</si>
  <si>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</si>
  <si>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</si>
  <si>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</si>
  <si>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</si>
  <si>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</si>
  <si>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</si>
  <si>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</si>
  <si>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</si>
  <si>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</si>
  <si>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</si>
  <si>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</si>
  <si>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</si>
  <si>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</si>
  <si>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</si>
  <si>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</si>
  <si>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</si>
  <si>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</si>
  <si>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</si>
  <si>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</si>
  <si>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</si>
  <si>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</si>
  <si>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</si>
  <si>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</si>
  <si>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</si>
  <si>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</si>
  <si>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</si>
  <si>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</si>
  <si>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</si>
  <si>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</si>
  <si>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</si>
  <si>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</si>
  <si>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</si>
  <si>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</si>
  <si>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</si>
  <si>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</si>
  <si>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</si>
  <si>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</si>
  <si>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</si>
  <si>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</si>
  <si>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</si>
  <si>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</si>
  <si>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</si>
  <si>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</si>
  <si>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</si>
  <si>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</si>
  <si>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</si>
  <si>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</si>
  <si>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</si>
  <si>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</si>
  <si>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</si>
  <si>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</si>
  <si>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</si>
  <si>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</si>
  <si>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</si>
  <si>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</si>
  <si>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</si>
  <si>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</si>
  <si>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</si>
  <si>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</si>
  <si>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</si>
  <si>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</si>
  <si>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</si>
  <si>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</si>
  <si>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</si>
  <si>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</si>
  <si>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</si>
  <si>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</si>
  <si>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</si>
  <si>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</si>
  <si>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</si>
  <si>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</si>
  <si>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</si>
  <si>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</si>
  <si>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</si>
  <si>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</si>
  <si>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</si>
  <si>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</si>
  <si>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</si>
  <si>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</si>
  <si>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</si>
  <si>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</si>
  <si>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</si>
  <si>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</si>
  <si>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</si>
  <si>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</si>
  <si>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</si>
  <si>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</si>
  <si>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</si>
  <si>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</si>
  <si>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</si>
  <si>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</si>
  <si>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</si>
  <si>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</si>
  <si>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</si>
  <si>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</si>
  <si>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</si>
  <si>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</si>
  <si>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</si>
  <si>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</si>
  <si>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</si>
  <si>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</si>
  <si>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</si>
  <si>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</si>
  <si>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</si>
  <si>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</si>
  <si>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</si>
  <si>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</si>
  <si>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</si>
  <si>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</si>
  <si>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</si>
  <si>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</si>
  <si>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</si>
  <si>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</si>
  <si>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</si>
  <si>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</si>
  <si>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</si>
  <si>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</si>
  <si>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</si>
  <si>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</si>
  <si>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</si>
  <si>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</si>
  <si>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</si>
  <si>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</si>
  <si>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</si>
  <si>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</si>
  <si>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</si>
  <si>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</si>
  <si>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</si>
  <si>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</si>
  <si>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</si>
  <si>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</si>
  <si>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</si>
  <si>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</si>
  <si>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</si>
  <si>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</si>
  <si>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</si>
  <si>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</si>
  <si>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</si>
  <si>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</si>
  <si>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</si>
  <si>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</si>
  <si>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</si>
  <si>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</si>
  <si>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</si>
  <si>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</si>
  <si>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</si>
  <si>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</si>
  <si>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</si>
  <si>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</si>
  <si>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</si>
  <si>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</si>
  <si>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</si>
  <si>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</si>
  <si>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</si>
  <si>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</si>
  <si>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</si>
  <si>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</si>
  <si>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</si>
  <si>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</si>
  <si>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</si>
  <si>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</si>
  <si>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</si>
  <si>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</si>
  <si>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</si>
  <si>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</si>
  <si>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</si>
  <si>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</si>
  <si>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</si>
  <si>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</si>
  <si>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</si>
  <si>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</si>
  <si>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</si>
  <si>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</si>
  <si>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</si>
  <si>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</si>
  <si>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</si>
  <si>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</si>
  <si>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</si>
  <si>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</si>
  <si>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</si>
  <si>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</si>
  <si>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</si>
  <si>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</si>
  <si>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</si>
  <si>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</si>
  <si>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</si>
  <si>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</si>
  <si>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</si>
  <si>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</si>
  <si>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</si>
  <si>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</si>
  <si>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</si>
  <si>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</si>
  <si>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</si>
  <si>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</si>
  <si>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</si>
  <si>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</si>
  <si>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</si>
  <si>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</si>
  <si>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</si>
  <si>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</si>
  <si>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</si>
  <si>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</si>
  <si>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</si>
  <si>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</si>
  <si>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</si>
  <si>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</si>
  <si>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</si>
  <si>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</si>
  <si>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</si>
  <si>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</si>
  <si>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</si>
  <si>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</si>
  <si>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</si>
  <si>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</si>
  <si>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</si>
  <si>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</si>
  <si>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</si>
  <si>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</si>
  <si>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</si>
  <si>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</si>
  <si>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</si>
  <si>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</si>
  <si>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</si>
  <si>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</si>
  <si>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</si>
  <si>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</si>
  <si>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</si>
  <si>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</si>
  <si>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</si>
  <si>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</si>
  <si>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</si>
  <si>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</si>
  <si>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</si>
  <si>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</si>
  <si>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</si>
  <si>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</si>
  <si>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</si>
  <si>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</si>
  <si>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</si>
  <si>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</si>
  <si>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</si>
  <si>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</si>
  <si>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</si>
  <si>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</si>
  <si>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</si>
  <si>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</si>
  <si>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</si>
  <si>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</si>
  <si>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</si>
  <si>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</si>
  <si>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</si>
  <si>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</si>
  <si>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</si>
  <si>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</si>
  <si>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</si>
  <si>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</si>
  <si>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</si>
  <si>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</si>
  <si>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</si>
  <si>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</si>
  <si>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</si>
  <si>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</si>
  <si>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</si>
  <si>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</si>
  <si>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</si>
  <si>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</si>
  <si>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</si>
  <si>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</si>
  <si>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</si>
  <si>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</si>
  <si>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</si>
  <si>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</si>
  <si>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</si>
  <si>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</si>
  <si>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</si>
  <si>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</si>
  <si>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</si>
  <si>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</si>
  <si>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</si>
  <si>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</si>
  <si>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</si>
  <si>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</si>
  <si>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</si>
  <si>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</si>
  <si>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</si>
  <si>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</si>
  <si>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</si>
  <si>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</si>
  <si>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</si>
  <si>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</si>
  <si>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</si>
  <si>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</si>
  <si>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</si>
  <si>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</si>
  <si>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</si>
  <si>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</si>
  <si>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</si>
  <si>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</si>
  <si>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</si>
  <si>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</si>
  <si>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</si>
  <si>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</si>
  <si>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</si>
  <si>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</si>
  <si>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</si>
  <si>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</si>
  <si>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</si>
  <si>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</si>
  <si>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</si>
  <si>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</si>
  <si>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</si>
  <si>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</si>
  <si>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</si>
  <si>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</si>
  <si>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</si>
  <si>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</si>
  <si>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</si>
  <si>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</si>
  <si>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</si>
  <si>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</si>
  <si>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</si>
  <si>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</si>
  <si>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</si>
  <si>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</si>
  <si>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</si>
  <si>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</si>
  <si>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</si>
  <si>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</si>
  <si>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</si>
  <si>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</si>
  <si>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</si>
  <si>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</si>
  <si>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</si>
  <si>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</si>
  <si>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</si>
  <si>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</si>
  <si>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</si>
  <si>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</si>
  <si>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</si>
  <si>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</si>
  <si>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</si>
  <si>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</si>
  <si>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</si>
  <si>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</si>
  <si>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</si>
  <si>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</si>
  <si>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</si>
  <si>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</si>
  <si>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</si>
  <si>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</si>
  <si>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</si>
  <si>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</si>
  <si>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</si>
  <si>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</si>
  <si>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</si>
  <si>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</si>
  <si>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</si>
  <si>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</si>
  <si>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</si>
  <si>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</si>
  <si>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</si>
  <si>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</si>
  <si>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</si>
  <si>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</si>
  <si>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</si>
  <si>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</si>
  <si>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</si>
  <si>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</si>
  <si>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</si>
  <si>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</si>
  <si>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</si>
  <si>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</si>
  <si>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</si>
  <si>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</si>
  <si>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</si>
  <si>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</si>
  <si>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</si>
  <si>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</si>
  <si>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</si>
  <si>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</si>
  <si>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</si>
  <si>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</si>
  <si>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</si>
  <si>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</si>
  <si>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</si>
  <si>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</si>
  <si>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</si>
  <si>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</si>
  <si>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</si>
  <si>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</si>
  <si>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</si>
  <si>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</si>
  <si>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</si>
  <si>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</si>
  <si>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</si>
  <si>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</si>
  <si>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</si>
  <si>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</si>
  <si>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</si>
  <si>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</si>
  <si>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</si>
  <si>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</si>
  <si>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</si>
  <si>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</si>
  <si>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</si>
  <si>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</si>
  <si>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</si>
  <si>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</si>
  <si>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</si>
  <si>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</si>
  <si>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</si>
  <si>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</si>
  <si>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</si>
  <si>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</si>
  <si>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</si>
  <si>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</si>
  <si>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</si>
  <si>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왜건 락킹핀 작동불량
(선체 CUP과 위치오류 발생 추정)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</si>
  <si>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</si>
  <si>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</si>
  <si>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</si>
  <si>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</si>
  <si>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</si>
  <si>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</si>
  <si>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</si>
  <si>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</si>
  <si>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</si>
  <si>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</si>
  <si>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</si>
  <si>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</si>
  <si>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</si>
  <si>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</si>
  <si>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</si>
  <si>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</si>
  <si>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</si>
  <si>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</si>
  <si>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</si>
  <si>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</si>
  <si>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</si>
  <si>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</si>
  <si>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</si>
  <si>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</si>
  <si>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</si>
  <si>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</si>
  <si>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</si>
  <si>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</si>
  <si>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</si>
  <si>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</si>
  <si>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</si>
  <si>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</si>
  <si>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</si>
  <si>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</si>
  <si>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</si>
  <si>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</si>
  <si>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</si>
  <si>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</si>
  <si>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</si>
  <si>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</si>
  <si>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</si>
  <si>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</si>
  <si>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</si>
  <si>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</si>
  <si>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</si>
  <si>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</si>
  <si>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</si>
  <si>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</si>
  <si>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</si>
  <si>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</si>
  <si>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</si>
  <si>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</si>
  <si>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</si>
  <si>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</si>
  <si>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</si>
  <si>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</si>
  <si>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</si>
  <si>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</si>
  <si>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</si>
  <si>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</si>
  <si>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</si>
  <si>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PC</t>
    <phoneticPr fontId="2" type="noConversion"/>
  </si>
  <si>
    <t>조립</t>
    <phoneticPr fontId="2" type="noConversion"/>
  </si>
  <si>
    <t>이광형</t>
    <phoneticPr fontId="2" type="noConversion"/>
  </si>
  <si>
    <t>범양(최기추)</t>
    <phoneticPr fontId="2" type="noConversion"/>
  </si>
  <si>
    <t>-</t>
    <phoneticPr fontId="2" type="noConversion"/>
  </si>
  <si>
    <t>34주 긴급지원</t>
    <phoneticPr fontId="2" type="noConversion"/>
  </si>
  <si>
    <t>SN2688</t>
    <phoneticPr fontId="2" type="noConversion"/>
  </si>
  <si>
    <t>PV</t>
    <phoneticPr fontId="2" type="noConversion"/>
  </si>
  <si>
    <t>포장</t>
    <phoneticPr fontId="2" type="noConversion"/>
  </si>
  <si>
    <t>송영국</t>
    <phoneticPr fontId="2" type="noConversion"/>
  </si>
  <si>
    <t>HIO(1)</t>
    <phoneticPr fontId="2" type="noConversion"/>
  </si>
  <si>
    <t>35주</t>
    <phoneticPr fontId="2" type="noConversion"/>
  </si>
  <si>
    <t>HIO(2)</t>
    <phoneticPr fontId="2" type="noConversion"/>
  </si>
  <si>
    <t>9/1 ~ 9/2</t>
    <phoneticPr fontId="2" type="noConversion"/>
  </si>
  <si>
    <t>9/3 ~ 9/4</t>
    <phoneticPr fontId="2" type="noConversion"/>
  </si>
  <si>
    <t>W308</t>
    <phoneticPr fontId="2" type="noConversion"/>
  </si>
  <si>
    <t>HT</t>
    <phoneticPr fontId="2" type="noConversion"/>
  </si>
  <si>
    <t>개선사항</t>
    <phoneticPr fontId="2" type="noConversion"/>
  </si>
  <si>
    <t>계약사항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</si>
  <si>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</si>
  <si>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</si>
  <si>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</si>
  <si>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</si>
  <si>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</si>
  <si>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</si>
  <si>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</si>
  <si>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</si>
  <si>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</si>
  <si>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</si>
  <si>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</si>
  <si>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</si>
  <si>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</si>
  <si>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</si>
  <si>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</si>
  <si>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</si>
  <si>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</si>
  <si>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</si>
  <si>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</si>
  <si>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</si>
  <si>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</si>
  <si>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</si>
  <si>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</si>
  <si>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</si>
  <si>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진해해군</t>
    <phoneticPr fontId="2" type="noConversion"/>
  </si>
  <si>
    <t>작동 시 굉음 발생. 시운전 출항 (오전7시)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</si>
  <si>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</si>
  <si>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</si>
  <si>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</si>
  <si>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</si>
  <si>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</si>
  <si>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</si>
  <si>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</si>
  <si>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</si>
  <si>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</si>
  <si>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</si>
  <si>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우신(1)</t>
    <phoneticPr fontId="2" type="noConversion"/>
  </si>
  <si>
    <t>천상욱</t>
    <phoneticPr fontId="2" type="noConversion"/>
  </si>
  <si>
    <t>박성용 , 서한교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</si>
  <si>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</si>
  <si>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</si>
  <si>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</si>
  <si>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</si>
  <si>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검사 입회 (오후1시30분) / 오전 자체테스트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</si>
  <si>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</si>
  <si>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</si>
  <si>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</si>
  <si>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</si>
  <si>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드라이브 모터 시트 현장 실측</t>
    <phoneticPr fontId="2" type="noConversion"/>
  </si>
  <si>
    <t>HOC</t>
    <phoneticPr fontId="2" type="noConversion"/>
  </si>
  <si>
    <t>RCS</t>
    <phoneticPr fontId="2" type="noConversion"/>
  </si>
  <si>
    <t>무상</t>
    <phoneticPr fontId="2" type="noConversion"/>
  </si>
  <si>
    <t>일정확인필요 (~9/23)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</si>
  <si>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</si>
  <si>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</si>
  <si>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</si>
  <si>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</si>
  <si>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</si>
  <si>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</si>
  <si>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</si>
  <si>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</si>
  <si>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</si>
  <si>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</si>
  <si>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</si>
  <si>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</si>
  <si>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</si>
  <si>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</si>
  <si>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</si>
  <si>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김유신, 천상욱</t>
    <phoneticPr fontId="2" type="noConversion"/>
  </si>
  <si>
    <t>RB</t>
    <phoneticPr fontId="2" type="noConversion"/>
  </si>
  <si>
    <t>보트 시트 설치</t>
    <phoneticPr fontId="2" type="noConversion"/>
  </si>
  <si>
    <t>우신(2)</t>
    <phoneticPr fontId="2" type="noConversion"/>
  </si>
  <si>
    <t>무상</t>
    <phoneticPr fontId="2" type="noConversion"/>
  </si>
  <si>
    <t>승조원 교육 (9명 참석) 잠수함공장 5층 소교육장 / 09:30 ~ 이론 / 실기 (오후)</t>
    <phoneticPr fontId="2" type="noConversion"/>
  </si>
  <si>
    <t>평가 검사</t>
    <phoneticPr fontId="2" type="noConversion"/>
  </si>
  <si>
    <t>0160</t>
    <phoneticPr fontId="2" type="noConversion"/>
  </si>
  <si>
    <t>화요일 진행 사항 보고 결정</t>
    <phoneticPr fontId="2" type="noConversion"/>
  </si>
  <si>
    <t>자재 현황 확인 후 결정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</si>
</sst>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8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13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7" fillId="0" borderId="1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10"/>
  <sheetViews>
    <sheetView showGridLines="0" tabSelected="1" topLeftCell="B643" zoomScaleNormal="100" workbookViewId="0">
      <selection activeCell="H649" sqref="H649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13" t="s">
        <v>3261</v>
      </c>
      <c r="B1" s="813"/>
      <c r="C1" s="813"/>
      <c r="D1" s="813"/>
      <c r="E1" s="813"/>
      <c r="F1" s="813"/>
      <c r="G1" s="813"/>
      <c r="H1" s="813"/>
      <c r="I1" s="813"/>
      <c r="J1" s="813"/>
      <c r="K1" s="813"/>
      <c r="L1" s="813"/>
      <c r="M1" s="813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14"/>
      <c r="Q22" s="815"/>
      <c r="R22" s="815"/>
      <c r="S22" s="815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14"/>
      <c r="Q27" s="815"/>
      <c r="R27" s="815"/>
      <c r="S27" s="815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14"/>
      <c r="Q36" s="815"/>
      <c r="R36" s="815"/>
      <c r="S36" s="815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14"/>
      <c r="Q37" s="815"/>
      <c r="R37" s="815"/>
      <c r="S37" s="815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14"/>
      <c r="Q40" s="815"/>
      <c r="R40" s="815"/>
      <c r="S40" s="815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14"/>
      <c r="Q41" s="815"/>
      <c r="R41" s="815"/>
      <c r="S41" s="815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14" t="s">
        <v>4390</v>
      </c>
      <c r="Q43" s="815"/>
      <c r="R43" s="815"/>
      <c r="S43" s="815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14"/>
      <c r="Q61" s="815"/>
      <c r="R61" s="815"/>
      <c r="S61" s="815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14"/>
      <c r="Q64" s="815"/>
      <c r="R64" s="815"/>
      <c r="S64" s="815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14"/>
      <c r="Q67" s="815"/>
      <c r="R67" s="815"/>
      <c r="S67" s="815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14"/>
      <c r="Q74" s="815"/>
      <c r="R74" s="815"/>
      <c r="S74" s="815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14"/>
      <c r="Q83" s="815"/>
      <c r="R83" s="815"/>
      <c r="S83" s="815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14"/>
      <c r="Q85" s="815"/>
      <c r="R85" s="815"/>
      <c r="S85" s="815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14" t="s">
        <v>4390</v>
      </c>
      <c r="Q93" s="815"/>
      <c r="R93" s="815"/>
      <c r="S93" s="815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18"/>
      <c r="Q169" s="819"/>
      <c r="R169" s="819"/>
      <c r="S169" s="81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16" t="s">
        <v>4688</v>
      </c>
      <c r="Q182" s="817"/>
      <c r="R182" s="817"/>
      <c r="S182" s="81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20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21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21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22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20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21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21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9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10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11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3" t="s">
        <v>78</v>
      </c>
      <c r="F609" s="793" t="s">
        <v>6666</v>
      </c>
      <c r="G609" s="16" t="s">
        <v>207</v>
      </c>
      <c r="H609" s="799" t="s">
        <v>6867</v>
      </c>
      <c r="I609" s="793"/>
      <c r="J609" s="799" t="s">
        <v>641</v>
      </c>
      <c r="K609" s="125"/>
      <c r="L609" s="16" t="s">
        <v>6287</v>
      </c>
      <c r="M609" s="8">
        <v>2</v>
      </c>
      <c r="N609" s="456"/>
      <c r="O609" s="473" t="s">
        <v>6962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7018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1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6970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8"/>
      <c r="O614" s="430"/>
      <c r="P614" s="793"/>
    </row>
    <row r="615" spans="1:17" s="17" customFormat="1" ht="33" customHeight="1">
      <c r="A615" s="791"/>
      <c r="B615" s="399">
        <v>46263</v>
      </c>
      <c r="C615" s="3" t="s">
        <v>6971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6977</v>
      </c>
      <c r="I615" s="453" t="s">
        <v>6973</v>
      </c>
      <c r="J615" s="454" t="s">
        <v>686</v>
      </c>
      <c r="K615" s="136" t="s">
        <v>15</v>
      </c>
      <c r="L615" s="459" t="s">
        <v>6974</v>
      </c>
      <c r="M615" s="455">
        <v>3</v>
      </c>
      <c r="N615" s="798"/>
      <c r="O615" s="430"/>
      <c r="P615" s="793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6970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6971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6978</v>
      </c>
      <c r="I618" s="453" t="s">
        <v>6973</v>
      </c>
      <c r="J618" s="454" t="s">
        <v>686</v>
      </c>
      <c r="K618" s="136" t="s">
        <v>15</v>
      </c>
      <c r="L618" s="459" t="s">
        <v>6974</v>
      </c>
      <c r="M618" s="455">
        <v>3</v>
      </c>
      <c r="N618" s="31"/>
      <c r="O618" s="430" t="s">
        <v>7004</v>
      </c>
      <c r="P618" s="31"/>
    </row>
    <row r="619" spans="1:17" s="17" customFormat="1" ht="33" customHeight="1">
      <c r="A619" s="791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6983</v>
      </c>
      <c r="I619" s="453" t="s">
        <v>6984</v>
      </c>
      <c r="J619" s="458" t="s">
        <v>7015</v>
      </c>
      <c r="K619" s="136" t="s">
        <v>6985</v>
      </c>
      <c r="L619" s="459" t="s">
        <v>6959</v>
      </c>
      <c r="M619" s="455">
        <v>6</v>
      </c>
      <c r="N619" s="793"/>
      <c r="O619" s="430" t="s">
        <v>7016</v>
      </c>
      <c r="P619" s="793"/>
    </row>
    <row r="620" spans="1:17" s="17" customFormat="1" ht="33" customHeight="1">
      <c r="A620" s="791"/>
      <c r="B620" s="399">
        <v>46265</v>
      </c>
      <c r="C620" s="4" t="s">
        <v>6707</v>
      </c>
      <c r="D620" s="4" t="s">
        <v>25</v>
      </c>
      <c r="E620" s="793" t="s">
        <v>6895</v>
      </c>
      <c r="F620" s="793" t="s">
        <v>6075</v>
      </c>
      <c r="G620" s="16" t="s">
        <v>145</v>
      </c>
      <c r="H620" s="453" t="s">
        <v>7006</v>
      </c>
      <c r="I620" s="453" t="s">
        <v>7007</v>
      </c>
      <c r="J620" s="458"/>
      <c r="K620" s="136"/>
      <c r="L620" s="459" t="s">
        <v>7008</v>
      </c>
      <c r="M620" s="455">
        <v>1</v>
      </c>
      <c r="N620" s="793"/>
      <c r="O620" s="430"/>
      <c r="P620" s="793"/>
    </row>
    <row r="621" spans="1:17" s="17" customFormat="1" ht="33" customHeight="1">
      <c r="A621" s="791"/>
      <c r="B621" s="399">
        <v>46265</v>
      </c>
      <c r="C621" s="4" t="s">
        <v>6707</v>
      </c>
      <c r="D621" s="4" t="s">
        <v>25</v>
      </c>
      <c r="E621" s="793" t="s">
        <v>6709</v>
      </c>
      <c r="F621" s="793">
        <v>7065</v>
      </c>
      <c r="G621" s="16" t="s">
        <v>145</v>
      </c>
      <c r="H621" s="799" t="s">
        <v>6706</v>
      </c>
      <c r="I621" s="793" t="s">
        <v>6312</v>
      </c>
      <c r="J621" s="793"/>
      <c r="K621" s="277" t="s">
        <v>209</v>
      </c>
      <c r="L621" s="16"/>
      <c r="M621" s="8">
        <v>1</v>
      </c>
      <c r="N621" s="793"/>
      <c r="O621" s="430"/>
      <c r="P621" s="793"/>
    </row>
    <row r="622" spans="1:17" s="17" customFormat="1" ht="33" customHeight="1">
      <c r="A622" s="791"/>
      <c r="B622" s="399">
        <v>46265</v>
      </c>
      <c r="C622" s="4" t="s">
        <v>138</v>
      </c>
      <c r="D622" s="4" t="s">
        <v>7012</v>
      </c>
      <c r="E622" s="793" t="s">
        <v>6965</v>
      </c>
      <c r="F622" s="793" t="s">
        <v>7011</v>
      </c>
      <c r="G622" s="16" t="s">
        <v>7009</v>
      </c>
      <c r="H622" s="799" t="s">
        <v>7010</v>
      </c>
      <c r="I622" s="793" t="s">
        <v>7013</v>
      </c>
      <c r="J622" s="793" t="s">
        <v>5606</v>
      </c>
      <c r="K622" s="277" t="s">
        <v>7014</v>
      </c>
      <c r="L622" s="16" t="s">
        <v>6287</v>
      </c>
      <c r="M622" s="8">
        <v>3</v>
      </c>
      <c r="N622" s="793"/>
      <c r="O622" s="430" t="s">
        <v>7017</v>
      </c>
      <c r="P622" s="793"/>
    </row>
    <row r="623" spans="1:17" s="17" customFormat="1" ht="33" customHeight="1">
      <c r="A623" s="801"/>
      <c r="B623" s="399">
        <v>46266</v>
      </c>
      <c r="C623" s="3" t="s">
        <v>21</v>
      </c>
      <c r="D623" s="3" t="s">
        <v>14</v>
      </c>
      <c r="E623" s="454" t="s">
        <v>7057</v>
      </c>
      <c r="F623" s="454" t="s">
        <v>3415</v>
      </c>
      <c r="G623" s="459" t="s">
        <v>23</v>
      </c>
      <c r="H623" s="808" t="s">
        <v>7050</v>
      </c>
      <c r="I623" s="805"/>
      <c r="J623" s="805" t="s">
        <v>7055</v>
      </c>
      <c r="K623" s="277" t="s">
        <v>15</v>
      </c>
      <c r="L623" s="16" t="s">
        <v>7056</v>
      </c>
      <c r="M623" s="8">
        <v>2</v>
      </c>
      <c r="N623" s="805"/>
      <c r="O623" s="430"/>
      <c r="P623" s="805"/>
    </row>
    <row r="624" spans="1:17" s="17" customFormat="1" ht="33" customHeight="1">
      <c r="A624" s="595"/>
      <c r="B624" s="399">
        <v>46266</v>
      </c>
      <c r="C624" s="3" t="s">
        <v>6971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6979</v>
      </c>
      <c r="I624" s="453" t="s">
        <v>6973</v>
      </c>
      <c r="J624" s="454" t="s">
        <v>686</v>
      </c>
      <c r="K624" s="136" t="s">
        <v>15</v>
      </c>
      <c r="L624" s="459" t="s">
        <v>6974</v>
      </c>
      <c r="M624" s="455">
        <v>3</v>
      </c>
      <c r="N624" s="31"/>
      <c r="O624" s="430" t="s">
        <v>7004</v>
      </c>
      <c r="P624" s="31"/>
    </row>
    <row r="625" spans="1:16" s="17" customFormat="1" ht="33" customHeight="1">
      <c r="A625" s="801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7058</v>
      </c>
      <c r="H625" s="453" t="s">
        <v>7059</v>
      </c>
      <c r="I625" s="453" t="s">
        <v>1690</v>
      </c>
      <c r="J625" s="454" t="s">
        <v>316</v>
      </c>
      <c r="K625" s="136" t="s">
        <v>1356</v>
      </c>
      <c r="L625" s="459" t="s">
        <v>7060</v>
      </c>
      <c r="M625" s="455">
        <v>2</v>
      </c>
      <c r="N625" s="805"/>
      <c r="O625" s="430"/>
      <c r="P625" s="805"/>
    </row>
    <row r="626" spans="1:16" s="17" customFormat="1" ht="33" customHeight="1">
      <c r="A626" s="791"/>
      <c r="B626" s="399">
        <v>46266</v>
      </c>
      <c r="C626" s="4" t="s">
        <v>21</v>
      </c>
      <c r="D626" s="4" t="s">
        <v>17</v>
      </c>
      <c r="E626" s="793" t="s">
        <v>78</v>
      </c>
      <c r="F626" s="793">
        <v>7060</v>
      </c>
      <c r="G626" s="16" t="s">
        <v>36</v>
      </c>
      <c r="H626" s="799" t="s">
        <v>7051</v>
      </c>
      <c r="I626" s="793" t="s">
        <v>6842</v>
      </c>
      <c r="J626" s="793"/>
      <c r="K626" s="125" t="s">
        <v>15</v>
      </c>
      <c r="L626" s="16">
        <v>9080</v>
      </c>
      <c r="M626" s="8">
        <v>2</v>
      </c>
      <c r="N626" s="793"/>
      <c r="O626" s="431"/>
      <c r="P626" s="793"/>
    </row>
    <row r="627" spans="1:16" s="17" customFormat="1" ht="33" customHeight="1">
      <c r="A627" s="791"/>
      <c r="B627" s="399">
        <v>46266</v>
      </c>
      <c r="C627" s="4" t="s">
        <v>21</v>
      </c>
      <c r="D627" s="4" t="s">
        <v>14</v>
      </c>
      <c r="E627" s="793" t="s">
        <v>140</v>
      </c>
      <c r="F627" s="793" t="s">
        <v>2959</v>
      </c>
      <c r="G627" s="16" t="s">
        <v>6982</v>
      </c>
      <c r="H627" s="799" t="s">
        <v>6949</v>
      </c>
      <c r="I627" s="793" t="s">
        <v>6998</v>
      </c>
      <c r="J627" s="793" t="s">
        <v>686</v>
      </c>
      <c r="K627" s="125" t="s">
        <v>15</v>
      </c>
      <c r="L627" s="16" t="s">
        <v>6287</v>
      </c>
      <c r="M627" s="8">
        <v>2</v>
      </c>
      <c r="N627" s="793"/>
      <c r="O627" s="430" t="s">
        <v>6116</v>
      </c>
      <c r="P627" s="793"/>
    </row>
    <row r="628" spans="1:16" s="17" customFormat="1" ht="33" customHeight="1">
      <c r="A628" s="801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8" t="s">
        <v>7062</v>
      </c>
      <c r="I628" s="805" t="s">
        <v>7061</v>
      </c>
      <c r="J628" s="805"/>
      <c r="K628" s="125" t="s">
        <v>1356</v>
      </c>
      <c r="L628" s="16">
        <v>9080</v>
      </c>
      <c r="M628" s="8">
        <v>2</v>
      </c>
      <c r="N628" s="805"/>
      <c r="O628" s="430"/>
      <c r="P628" s="805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7063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91"/>
      <c r="B630" s="399">
        <v>46267</v>
      </c>
      <c r="C630" s="4" t="s">
        <v>21</v>
      </c>
      <c r="D630" s="4" t="s">
        <v>14</v>
      </c>
      <c r="E630" s="793" t="s">
        <v>140</v>
      </c>
      <c r="F630" s="793" t="s">
        <v>2959</v>
      </c>
      <c r="G630" s="16" t="s">
        <v>143</v>
      </c>
      <c r="H630" s="799" t="s">
        <v>6949</v>
      </c>
      <c r="I630" s="793"/>
      <c r="J630" s="793" t="s">
        <v>641</v>
      </c>
      <c r="K630" s="125" t="s">
        <v>15</v>
      </c>
      <c r="L630" s="16" t="s">
        <v>6287</v>
      </c>
      <c r="M630" s="8">
        <v>2</v>
      </c>
      <c r="N630" s="798"/>
      <c r="O630" s="430" t="s">
        <v>6999</v>
      </c>
      <c r="P630" s="793"/>
    </row>
    <row r="631" spans="1:16" s="17" customFormat="1" ht="33" customHeight="1">
      <c r="A631" s="791"/>
      <c r="B631" s="399">
        <v>46267</v>
      </c>
      <c r="C631" s="3" t="s">
        <v>6971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6972</v>
      </c>
      <c r="I631" s="453" t="s">
        <v>6973</v>
      </c>
      <c r="J631" s="454" t="s">
        <v>686</v>
      </c>
      <c r="K631" s="136" t="s">
        <v>15</v>
      </c>
      <c r="L631" s="459" t="s">
        <v>6974</v>
      </c>
      <c r="M631" s="455">
        <v>3</v>
      </c>
      <c r="N631" s="798"/>
      <c r="O631" s="430" t="s">
        <v>7004</v>
      </c>
      <c r="P631" s="793"/>
    </row>
    <row r="632" spans="1:16" s="17" customFormat="1" ht="33" customHeight="1">
      <c r="A632" s="791"/>
      <c r="B632" s="399">
        <v>46268</v>
      </c>
      <c r="C632" s="4" t="s">
        <v>6707</v>
      </c>
      <c r="D632" s="4" t="s">
        <v>25</v>
      </c>
      <c r="E632" s="793" t="s">
        <v>6709</v>
      </c>
      <c r="F632" s="793">
        <v>7065</v>
      </c>
      <c r="G632" s="16" t="s">
        <v>145</v>
      </c>
      <c r="H632" s="799" t="s">
        <v>6706</v>
      </c>
      <c r="I632" s="793" t="s">
        <v>6312</v>
      </c>
      <c r="J632" s="793"/>
      <c r="K632" s="277" t="s">
        <v>209</v>
      </c>
      <c r="L632" s="16">
        <v>9080</v>
      </c>
      <c r="M632" s="8">
        <v>1</v>
      </c>
      <c r="N632" s="798"/>
      <c r="O632" s="430"/>
      <c r="P632" s="793"/>
    </row>
    <row r="633" spans="1:16" s="17" customFormat="1" ht="33" customHeight="1">
      <c r="A633" s="791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6992</v>
      </c>
      <c r="I633" s="453" t="s">
        <v>126</v>
      </c>
      <c r="J633" s="454" t="s">
        <v>6991</v>
      </c>
      <c r="K633" s="136" t="s">
        <v>15</v>
      </c>
      <c r="L633" s="459" t="s">
        <v>4525</v>
      </c>
      <c r="M633" s="455">
        <v>2</v>
      </c>
      <c r="N633" s="798"/>
      <c r="O633" s="430" t="s">
        <v>5899</v>
      </c>
      <c r="P633" s="793"/>
    </row>
    <row r="634" spans="1:16" s="17" customFormat="1" ht="33" customHeight="1">
      <c r="A634" s="801"/>
      <c r="B634" s="399">
        <v>46268</v>
      </c>
      <c r="C634" s="4" t="s">
        <v>21</v>
      </c>
      <c r="D634" s="4" t="s">
        <v>14</v>
      </c>
      <c r="E634" s="805" t="s">
        <v>140</v>
      </c>
      <c r="F634" s="805" t="s">
        <v>2959</v>
      </c>
      <c r="G634" s="16" t="s">
        <v>143</v>
      </c>
      <c r="H634" s="808" t="s">
        <v>6949</v>
      </c>
      <c r="I634" s="805"/>
      <c r="J634" s="805" t="s">
        <v>641</v>
      </c>
      <c r="K634" s="125" t="s">
        <v>15</v>
      </c>
      <c r="L634" s="16" t="s">
        <v>6287</v>
      </c>
      <c r="M634" s="8">
        <v>2</v>
      </c>
      <c r="N634" s="807"/>
      <c r="O634" s="430" t="s">
        <v>7064</v>
      </c>
      <c r="P634" s="805"/>
    </row>
    <row r="635" spans="1:16" s="17" customFormat="1" ht="33" customHeight="1">
      <c r="A635" s="791"/>
      <c r="B635" s="399">
        <v>46268</v>
      </c>
      <c r="C635" s="4" t="s">
        <v>21</v>
      </c>
      <c r="D635" s="4" t="s">
        <v>14</v>
      </c>
      <c r="E635" s="793" t="s">
        <v>140</v>
      </c>
      <c r="F635" s="793" t="s">
        <v>2959</v>
      </c>
      <c r="G635" s="16" t="s">
        <v>6981</v>
      </c>
      <c r="H635" s="799" t="s">
        <v>6949</v>
      </c>
      <c r="I635" s="793"/>
      <c r="J635" s="793" t="s">
        <v>7000</v>
      </c>
      <c r="K635" s="125" t="s">
        <v>15</v>
      </c>
      <c r="L635" s="16" t="s">
        <v>6287</v>
      </c>
      <c r="M635" s="8">
        <v>3</v>
      </c>
      <c r="N635" s="798"/>
      <c r="O635" s="430" t="s">
        <v>7001</v>
      </c>
      <c r="P635" s="793"/>
    </row>
    <row r="636" spans="1:16" s="17" customFormat="1" ht="33" customHeight="1">
      <c r="A636" s="791"/>
      <c r="B636" s="399">
        <v>46268</v>
      </c>
      <c r="C636" s="3" t="s">
        <v>6971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6980</v>
      </c>
      <c r="I636" s="453" t="s">
        <v>6973</v>
      </c>
      <c r="J636" s="454" t="s">
        <v>686</v>
      </c>
      <c r="K636" s="136" t="s">
        <v>15</v>
      </c>
      <c r="L636" s="459" t="s">
        <v>6974</v>
      </c>
      <c r="M636" s="455">
        <v>3</v>
      </c>
      <c r="N636" s="798"/>
      <c r="O636" s="430" t="s">
        <v>7004</v>
      </c>
      <c r="P636" s="793"/>
    </row>
    <row r="637" spans="1:16" s="17" customFormat="1" ht="33" customHeight="1">
      <c r="A637" s="801"/>
      <c r="B637" s="399">
        <v>46269</v>
      </c>
      <c r="C637" s="3" t="s">
        <v>21</v>
      </c>
      <c r="D637" s="3" t="s">
        <v>14</v>
      </c>
      <c r="E637" s="454" t="s">
        <v>7057</v>
      </c>
      <c r="F637" s="454" t="s">
        <v>3415</v>
      </c>
      <c r="G637" s="459" t="s">
        <v>23</v>
      </c>
      <c r="H637" s="808" t="s">
        <v>7073</v>
      </c>
      <c r="I637" s="805"/>
      <c r="J637" s="805" t="s">
        <v>7074</v>
      </c>
      <c r="K637" s="277" t="s">
        <v>15</v>
      </c>
      <c r="L637" s="16" t="s">
        <v>4550</v>
      </c>
      <c r="M637" s="8">
        <v>1</v>
      </c>
      <c r="N637" s="807"/>
      <c r="O637" s="430"/>
      <c r="P637" s="805"/>
    </row>
    <row r="638" spans="1:16" s="17" customFormat="1" ht="33" customHeight="1">
      <c r="A638" s="791"/>
      <c r="B638" s="399">
        <v>46269</v>
      </c>
      <c r="C638" s="4" t="s">
        <v>6707</v>
      </c>
      <c r="D638" s="4" t="s">
        <v>25</v>
      </c>
      <c r="E638" s="793" t="s">
        <v>6709</v>
      </c>
      <c r="F638" s="793">
        <v>7065</v>
      </c>
      <c r="G638" s="16" t="s">
        <v>145</v>
      </c>
      <c r="H638" s="799" t="s">
        <v>6706</v>
      </c>
      <c r="I638" s="793" t="s">
        <v>6312</v>
      </c>
      <c r="J638" s="793"/>
      <c r="K638" s="277" t="s">
        <v>209</v>
      </c>
      <c r="L638" s="16">
        <v>9080</v>
      </c>
      <c r="M638" s="8">
        <v>1</v>
      </c>
      <c r="N638" s="798" t="s">
        <v>7065</v>
      </c>
      <c r="O638" s="430"/>
      <c r="P638" s="793"/>
    </row>
    <row r="639" spans="1:16" s="17" customFormat="1" ht="33" customHeight="1">
      <c r="A639" s="791"/>
      <c r="B639" s="399">
        <v>46269</v>
      </c>
      <c r="C639" s="3" t="s">
        <v>21</v>
      </c>
      <c r="D639" s="3" t="s">
        <v>6993</v>
      </c>
      <c r="E639" s="454" t="s">
        <v>6994</v>
      </c>
      <c r="F639" s="453" t="s">
        <v>6997</v>
      </c>
      <c r="G639" s="459" t="s">
        <v>6995</v>
      </c>
      <c r="H639" s="453" t="s">
        <v>6996</v>
      </c>
      <c r="I639" s="453" t="s">
        <v>126</v>
      </c>
      <c r="J639" s="454" t="s">
        <v>6991</v>
      </c>
      <c r="K639" s="136" t="s">
        <v>15</v>
      </c>
      <c r="L639" s="459" t="s">
        <v>4525</v>
      </c>
      <c r="M639" s="455">
        <v>2</v>
      </c>
      <c r="N639" s="798"/>
      <c r="O639" s="430" t="s">
        <v>5899</v>
      </c>
      <c r="P639" s="793"/>
    </row>
    <row r="640" spans="1:16" s="17" customFormat="1" ht="33" customHeight="1">
      <c r="A640" s="791"/>
      <c r="B640" s="399">
        <v>46269</v>
      </c>
      <c r="C640" s="3" t="s">
        <v>6971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6975</v>
      </c>
      <c r="I640" s="453" t="s">
        <v>6973</v>
      </c>
      <c r="J640" s="454" t="s">
        <v>686</v>
      </c>
      <c r="K640" s="136" t="s">
        <v>15</v>
      </c>
      <c r="L640" s="459" t="s">
        <v>6974</v>
      </c>
      <c r="M640" s="455">
        <v>3</v>
      </c>
      <c r="N640" s="798"/>
      <c r="O640" s="430" t="s">
        <v>7004</v>
      </c>
      <c r="P640" s="793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7003</v>
      </c>
      <c r="I641" s="454" t="s">
        <v>7002</v>
      </c>
      <c r="J641" s="793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6999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6971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6976</v>
      </c>
      <c r="I643" s="453" t="s">
        <v>6973</v>
      </c>
      <c r="J643" s="454" t="s">
        <v>686</v>
      </c>
      <c r="K643" s="136" t="s">
        <v>15</v>
      </c>
      <c r="L643" s="459" t="s">
        <v>6974</v>
      </c>
      <c r="M643" s="455">
        <v>3</v>
      </c>
      <c r="N643" s="31"/>
      <c r="O643" s="430" t="s">
        <v>7004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801"/>
      <c r="B646" s="399">
        <v>46272</v>
      </c>
      <c r="C646" s="4" t="s">
        <v>7095</v>
      </c>
      <c r="D646" s="4" t="s">
        <v>17</v>
      </c>
      <c r="E646" s="808" t="s">
        <v>7096</v>
      </c>
      <c r="F646" s="805" t="s">
        <v>7097</v>
      </c>
      <c r="G646" s="16" t="s">
        <v>7098</v>
      </c>
      <c r="H646" s="808" t="s">
        <v>7099</v>
      </c>
      <c r="I646" s="805"/>
      <c r="J646" s="805" t="s">
        <v>7100</v>
      </c>
      <c r="K646" s="125" t="s">
        <v>7101</v>
      </c>
      <c r="L646" s="16" t="s">
        <v>7102</v>
      </c>
      <c r="M646" s="8">
        <v>2</v>
      </c>
      <c r="N646" s="807"/>
      <c r="O646" s="428" t="s">
        <v>7103</v>
      </c>
      <c r="P646" s="805"/>
    </row>
    <row r="647" spans="1:16" s="17" customFormat="1" ht="33" customHeight="1">
      <c r="A647" s="801"/>
      <c r="B647" s="399">
        <v>46272</v>
      </c>
      <c r="C647" s="4" t="s">
        <v>6707</v>
      </c>
      <c r="D647" s="4" t="s">
        <v>25</v>
      </c>
      <c r="E647" s="805" t="s">
        <v>6709</v>
      </c>
      <c r="F647" s="805">
        <v>7065</v>
      </c>
      <c r="G647" s="16" t="s">
        <v>145</v>
      </c>
      <c r="H647" s="808" t="s">
        <v>6706</v>
      </c>
      <c r="I647" s="805" t="s">
        <v>6312</v>
      </c>
      <c r="J647" s="805"/>
      <c r="K647" s="277" t="s">
        <v>209</v>
      </c>
      <c r="L647" s="16">
        <v>9080</v>
      </c>
      <c r="M647" s="8">
        <v>1</v>
      </c>
      <c r="N647" s="807"/>
      <c r="O647" s="428"/>
      <c r="P647" s="805"/>
    </row>
    <row r="648" spans="1:16" s="17" customFormat="1" ht="33" customHeight="1">
      <c r="A648" s="801"/>
      <c r="B648" s="399">
        <v>46272</v>
      </c>
      <c r="C648" s="4" t="s">
        <v>21</v>
      </c>
      <c r="D648" s="4" t="s">
        <v>14</v>
      </c>
      <c r="E648" s="805" t="s">
        <v>140</v>
      </c>
      <c r="F648" s="805" t="s">
        <v>2959</v>
      </c>
      <c r="G648" s="16" t="s">
        <v>143</v>
      </c>
      <c r="H648" s="808" t="s">
        <v>6949</v>
      </c>
      <c r="I648" s="805" t="s">
        <v>7105</v>
      </c>
      <c r="J648" s="805" t="s">
        <v>7104</v>
      </c>
      <c r="K648" s="125" t="s">
        <v>15</v>
      </c>
      <c r="L648" s="16" t="s">
        <v>6287</v>
      </c>
      <c r="M648" s="8">
        <v>2</v>
      </c>
      <c r="N648" s="807"/>
      <c r="O648" s="428" t="s">
        <v>7107</v>
      </c>
      <c r="P648" s="805"/>
    </row>
    <row r="649" spans="1:16" s="17" customFormat="1" ht="33" customHeight="1">
      <c r="A649" s="801"/>
      <c r="B649" s="399">
        <v>46273</v>
      </c>
      <c r="C649" s="4" t="s">
        <v>21</v>
      </c>
      <c r="D649" s="4" t="s">
        <v>14</v>
      </c>
      <c r="E649" s="805" t="s">
        <v>140</v>
      </c>
      <c r="F649" s="805" t="s">
        <v>2959</v>
      </c>
      <c r="G649" s="16" t="s">
        <v>143</v>
      </c>
      <c r="H649" s="808" t="s">
        <v>6949</v>
      </c>
      <c r="I649" s="805" t="s">
        <v>7105</v>
      </c>
      <c r="J649" s="805" t="s">
        <v>7106</v>
      </c>
      <c r="K649" s="125" t="s">
        <v>15</v>
      </c>
      <c r="L649" s="16" t="s">
        <v>6287</v>
      </c>
      <c r="M649" s="8">
        <v>2</v>
      </c>
      <c r="N649" s="807"/>
      <c r="O649" s="428" t="s">
        <v>7108</v>
      </c>
      <c r="P649" s="805"/>
    </row>
    <row r="650" spans="1:16" s="17" customFormat="1" ht="33" customHeight="1">
      <c r="A650" s="801"/>
      <c r="B650" s="399">
        <v>46273</v>
      </c>
      <c r="C650" s="4" t="s">
        <v>21</v>
      </c>
      <c r="D650" s="4" t="s">
        <v>14</v>
      </c>
      <c r="E650" s="805" t="s">
        <v>107</v>
      </c>
      <c r="F650" s="805" t="s">
        <v>2959</v>
      </c>
      <c r="G650" s="16" t="s">
        <v>7075</v>
      </c>
      <c r="H650" s="808" t="s">
        <v>7077</v>
      </c>
      <c r="I650" s="805"/>
      <c r="J650" s="805" t="s">
        <v>641</v>
      </c>
      <c r="K650" s="125" t="s">
        <v>15</v>
      </c>
      <c r="L650" s="16" t="s">
        <v>6287</v>
      </c>
      <c r="M650" s="8">
        <v>2</v>
      </c>
      <c r="N650" s="807"/>
      <c r="O650" s="428" t="s">
        <v>7110</v>
      </c>
      <c r="P650" s="805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801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8" t="s">
        <v>7069</v>
      </c>
      <c r="I652" s="808" t="s">
        <v>7109</v>
      </c>
      <c r="J652" s="805" t="s">
        <v>68</v>
      </c>
      <c r="K652" s="125" t="s">
        <v>1356</v>
      </c>
      <c r="L652" s="16" t="s">
        <v>33</v>
      </c>
      <c r="M652" s="8">
        <v>4</v>
      </c>
      <c r="N652" s="805"/>
      <c r="O652" s="428"/>
      <c r="P652" s="805"/>
    </row>
    <row r="653" spans="1:16" s="17" customFormat="1" ht="33" customHeight="1">
      <c r="A653" s="801"/>
      <c r="B653" s="399">
        <v>46274</v>
      </c>
      <c r="C653" s="4" t="s">
        <v>6707</v>
      </c>
      <c r="D653" s="4" t="s">
        <v>25</v>
      </c>
      <c r="E653" s="805" t="s">
        <v>6709</v>
      </c>
      <c r="F653" s="805">
        <v>7065</v>
      </c>
      <c r="G653" s="16" t="s">
        <v>145</v>
      </c>
      <c r="H653" s="808" t="s">
        <v>6706</v>
      </c>
      <c r="I653" s="805" t="s">
        <v>6312</v>
      </c>
      <c r="J653" s="805"/>
      <c r="K653" s="277" t="s">
        <v>209</v>
      </c>
      <c r="L653" s="16">
        <v>9080</v>
      </c>
      <c r="M653" s="8">
        <v>1</v>
      </c>
      <c r="N653" s="805"/>
      <c r="O653" s="428"/>
      <c r="P653" s="805"/>
    </row>
    <row r="654" spans="1:16" s="17" customFormat="1" ht="33" customHeight="1">
      <c r="A654" s="801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8" t="s">
        <v>7070</v>
      </c>
      <c r="I654" s="805" t="s">
        <v>7071</v>
      </c>
      <c r="J654" s="808" t="s">
        <v>7072</v>
      </c>
      <c r="K654" s="125" t="s">
        <v>1356</v>
      </c>
      <c r="L654" s="16" t="s">
        <v>33</v>
      </c>
      <c r="M654" s="8">
        <v>5</v>
      </c>
      <c r="N654" s="807"/>
      <c r="O654" s="1112" t="s">
        <v>7118</v>
      </c>
      <c r="P654" s="805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91"/>
      <c r="B656" s="399">
        <v>46274</v>
      </c>
      <c r="C656" s="4" t="s">
        <v>21</v>
      </c>
      <c r="D656" s="4" t="s">
        <v>6986</v>
      </c>
      <c r="E656" s="793" t="s">
        <v>6987</v>
      </c>
      <c r="F656" s="793" t="s">
        <v>6988</v>
      </c>
      <c r="G656" s="16" t="s">
        <v>205</v>
      </c>
      <c r="H656" s="799" t="s">
        <v>6990</v>
      </c>
      <c r="I656" s="793"/>
      <c r="J656" s="793" t="s">
        <v>6989</v>
      </c>
      <c r="K656" s="125" t="s">
        <v>15</v>
      </c>
      <c r="L656" s="16" t="s">
        <v>4550</v>
      </c>
      <c r="M656" s="8">
        <v>1</v>
      </c>
      <c r="N656" s="798"/>
      <c r="O656" s="428"/>
      <c r="P656" s="793"/>
    </row>
    <row r="657" spans="1:16" s="17" customFormat="1" ht="33" customHeight="1">
      <c r="A657" s="801"/>
      <c r="B657" s="399">
        <v>46274</v>
      </c>
      <c r="C657" s="4" t="s">
        <v>21</v>
      </c>
      <c r="D657" s="4" t="s">
        <v>14</v>
      </c>
      <c r="E657" s="805" t="s">
        <v>107</v>
      </c>
      <c r="F657" s="808" t="s">
        <v>6745</v>
      </c>
      <c r="G657" s="16" t="s">
        <v>376</v>
      </c>
      <c r="H657" s="808" t="s">
        <v>7115</v>
      </c>
      <c r="I657" s="805" t="s">
        <v>7080</v>
      </c>
      <c r="J657" s="808"/>
      <c r="K657" s="125" t="s">
        <v>15</v>
      </c>
      <c r="L657" s="16" t="s">
        <v>7081</v>
      </c>
      <c r="M657" s="8">
        <v>2</v>
      </c>
      <c r="N657" s="807"/>
      <c r="O657" s="428"/>
      <c r="P657" s="805"/>
    </row>
    <row r="658" spans="1:16" s="17" customFormat="1" ht="33" customHeight="1">
      <c r="A658" s="801"/>
      <c r="B658" s="399">
        <v>46274</v>
      </c>
      <c r="C658" s="4" t="s">
        <v>21</v>
      </c>
      <c r="D658" s="4" t="s">
        <v>14</v>
      </c>
      <c r="E658" s="805" t="s">
        <v>107</v>
      </c>
      <c r="F658" s="805" t="s">
        <v>2959</v>
      </c>
      <c r="G658" s="16" t="s">
        <v>7075</v>
      </c>
      <c r="H658" s="808" t="s">
        <v>7076</v>
      </c>
      <c r="I658" s="805" t="s">
        <v>7105</v>
      </c>
      <c r="J658" s="805" t="s">
        <v>7078</v>
      </c>
      <c r="K658" s="125" t="s">
        <v>15</v>
      </c>
      <c r="L658" s="16" t="s">
        <v>7081</v>
      </c>
      <c r="M658" s="8">
        <v>2</v>
      </c>
      <c r="N658" s="807"/>
      <c r="O658" s="428" t="s">
        <v>7079</v>
      </c>
      <c r="P658" s="805"/>
    </row>
    <row r="659" spans="1:16" s="17" customFormat="1" ht="33" customHeight="1">
      <c r="A659" s="801"/>
      <c r="B659" s="399">
        <v>46274</v>
      </c>
      <c r="C659" s="4" t="s">
        <v>21</v>
      </c>
      <c r="D659" s="4" t="s">
        <v>14</v>
      </c>
      <c r="E659" s="805" t="s">
        <v>107</v>
      </c>
      <c r="F659" s="805" t="s">
        <v>2959</v>
      </c>
      <c r="G659" s="16" t="s">
        <v>7091</v>
      </c>
      <c r="H659" s="808" t="s">
        <v>7116</v>
      </c>
      <c r="I659" s="805" t="s">
        <v>7105</v>
      </c>
      <c r="J659" s="805" t="s">
        <v>1300</v>
      </c>
      <c r="K659" s="125" t="s">
        <v>15</v>
      </c>
      <c r="L659" s="16" t="s">
        <v>7117</v>
      </c>
      <c r="M659" s="8">
        <v>2</v>
      </c>
      <c r="N659" s="807"/>
      <c r="O659" s="428" t="s">
        <v>7079</v>
      </c>
      <c r="P659" s="805"/>
    </row>
    <row r="660" spans="1:16" s="17" customFormat="1" ht="33" customHeight="1">
      <c r="A660" s="791"/>
      <c r="B660" s="399">
        <v>46275</v>
      </c>
      <c r="C660" s="4" t="s">
        <v>21</v>
      </c>
      <c r="D660" s="4" t="s">
        <v>14</v>
      </c>
      <c r="E660" s="805" t="s">
        <v>107</v>
      </c>
      <c r="F660" s="805" t="s">
        <v>2959</v>
      </c>
      <c r="G660" s="16" t="s">
        <v>7086</v>
      </c>
      <c r="H660" s="799" t="s">
        <v>7090</v>
      </c>
      <c r="I660" s="793"/>
      <c r="J660" s="793" t="s">
        <v>7087</v>
      </c>
      <c r="K660" s="125" t="s">
        <v>7088</v>
      </c>
      <c r="L660" s="16" t="s">
        <v>7089</v>
      </c>
      <c r="M660" s="8">
        <v>1</v>
      </c>
      <c r="N660" s="798"/>
      <c r="O660" s="428" t="s">
        <v>5909</v>
      </c>
      <c r="P660" s="793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6952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/>
      <c r="O661" s="428"/>
      <c r="P661" s="31"/>
    </row>
    <row r="662" spans="1:16" s="17" customFormat="1" ht="33" customHeight="1">
      <c r="A662" s="801"/>
      <c r="B662" s="399">
        <v>46275</v>
      </c>
      <c r="C662" s="4" t="s">
        <v>6707</v>
      </c>
      <c r="D662" s="4" t="s">
        <v>25</v>
      </c>
      <c r="E662" s="805" t="s">
        <v>6709</v>
      </c>
      <c r="F662" s="805">
        <v>7065</v>
      </c>
      <c r="G662" s="16" t="s">
        <v>145</v>
      </c>
      <c r="H662" s="808" t="s">
        <v>6706</v>
      </c>
      <c r="I662" s="805" t="s">
        <v>6312</v>
      </c>
      <c r="J662" s="805"/>
      <c r="K662" s="277" t="s">
        <v>209</v>
      </c>
      <c r="L662" s="16">
        <v>9080</v>
      </c>
      <c r="M662" s="8">
        <v>1</v>
      </c>
      <c r="N662" s="807"/>
      <c r="O662" s="428"/>
      <c r="P662" s="805"/>
    </row>
    <row r="663" spans="1:16" s="17" customFormat="1" ht="33" customHeight="1">
      <c r="A663" s="801"/>
      <c r="B663" s="399">
        <v>46276</v>
      </c>
      <c r="C663" s="4" t="s">
        <v>21</v>
      </c>
      <c r="D663" s="4" t="s">
        <v>17</v>
      </c>
      <c r="E663" s="805" t="s">
        <v>7066</v>
      </c>
      <c r="F663" s="805">
        <v>7060</v>
      </c>
      <c r="G663" s="16" t="s">
        <v>36</v>
      </c>
      <c r="H663" s="808" t="s">
        <v>7067</v>
      </c>
      <c r="I663" s="805" t="s">
        <v>7068</v>
      </c>
      <c r="J663" s="805"/>
      <c r="K663" s="125" t="s">
        <v>15</v>
      </c>
      <c r="L663" s="16" t="s">
        <v>7063</v>
      </c>
      <c r="M663" s="8">
        <v>1</v>
      </c>
      <c r="N663" s="807"/>
      <c r="O663" s="428"/>
      <c r="P663" s="805"/>
    </row>
    <row r="664" spans="1:16" s="17" customFormat="1" ht="33" customHeight="1">
      <c r="A664" s="791"/>
      <c r="B664" s="399">
        <v>46276</v>
      </c>
      <c r="C664" s="4" t="s">
        <v>21</v>
      </c>
      <c r="D664" s="4" t="s">
        <v>14</v>
      </c>
      <c r="E664" s="805" t="s">
        <v>1787</v>
      </c>
      <c r="F664" s="805" t="s">
        <v>2978</v>
      </c>
      <c r="G664" s="16" t="s">
        <v>7111</v>
      </c>
      <c r="H664" s="799" t="s">
        <v>7112</v>
      </c>
      <c r="I664" s="805"/>
      <c r="J664" s="793" t="s">
        <v>7113</v>
      </c>
      <c r="K664" s="125" t="s">
        <v>7114</v>
      </c>
      <c r="L664" s="16" t="s">
        <v>7102</v>
      </c>
      <c r="M664" s="8">
        <v>2</v>
      </c>
      <c r="N664" s="798"/>
      <c r="O664" s="1112" t="s">
        <v>7119</v>
      </c>
      <c r="P664" s="793"/>
    </row>
    <row r="665" spans="1:16" s="17" customFormat="1" ht="33" customHeight="1">
      <c r="A665" s="801"/>
      <c r="B665" s="399">
        <v>46276</v>
      </c>
      <c r="C665" s="4" t="s">
        <v>21</v>
      </c>
      <c r="D665" s="4" t="s">
        <v>14</v>
      </c>
      <c r="E665" s="805" t="s">
        <v>7052</v>
      </c>
      <c r="F665" s="808" t="s">
        <v>7053</v>
      </c>
      <c r="G665" s="16" t="s">
        <v>67</v>
      </c>
      <c r="H665" s="808" t="s">
        <v>4109</v>
      </c>
      <c r="I665" s="805"/>
      <c r="J665" s="805" t="s">
        <v>6989</v>
      </c>
      <c r="K665" s="125" t="s">
        <v>15</v>
      </c>
      <c r="L665" s="16" t="s">
        <v>4550</v>
      </c>
      <c r="M665" s="8">
        <v>1</v>
      </c>
      <c r="N665" s="807"/>
      <c r="O665" s="430"/>
      <c r="P665" s="805"/>
    </row>
    <row r="666" spans="1:16" s="17" customFormat="1" ht="33" customHeight="1">
      <c r="A666" s="595"/>
      <c r="B666" s="399">
        <v>46276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6952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422"/>
      <c r="O666" s="430"/>
      <c r="P666" s="31"/>
    </row>
    <row r="667" spans="1:16" s="17" customFormat="1" ht="33" customHeight="1">
      <c r="A667" s="596"/>
      <c r="B667" s="399">
        <v>46277</v>
      </c>
      <c r="C667" s="4" t="s">
        <v>6948</v>
      </c>
      <c r="D667" s="4" t="s">
        <v>6934</v>
      </c>
      <c r="E667" s="31" t="s">
        <v>6950</v>
      </c>
      <c r="F667" s="31">
        <v>7064</v>
      </c>
      <c r="G667" s="16" t="s">
        <v>6951</v>
      </c>
      <c r="H667" s="193" t="s">
        <v>7005</v>
      </c>
      <c r="I667" s="31" t="s">
        <v>6932</v>
      </c>
      <c r="J667" s="31" t="s">
        <v>6953</v>
      </c>
      <c r="K667" s="125" t="s">
        <v>6939</v>
      </c>
      <c r="L667" s="16" t="s">
        <v>6954</v>
      </c>
      <c r="M667" s="8">
        <v>4</v>
      </c>
      <c r="N667" s="31"/>
      <c r="O667" s="432"/>
      <c r="P667" s="31"/>
    </row>
    <row r="668" spans="1:16" s="17" customFormat="1" ht="33" customHeight="1">
      <c r="A668" s="322" t="s">
        <v>0</v>
      </c>
      <c r="B668" s="323" t="s">
        <v>1</v>
      </c>
      <c r="C668" s="322" t="s">
        <v>2</v>
      </c>
      <c r="D668" s="322" t="s">
        <v>3</v>
      </c>
      <c r="E668" s="322" t="s">
        <v>4</v>
      </c>
      <c r="F668" s="322" t="s">
        <v>5</v>
      </c>
      <c r="G668" s="322" t="s">
        <v>6</v>
      </c>
      <c r="H668" s="324" t="s">
        <v>7</v>
      </c>
      <c r="I668" s="322" t="s">
        <v>8</v>
      </c>
      <c r="J668" s="322" t="s">
        <v>9</v>
      </c>
      <c r="K668" s="325" t="s">
        <v>10</v>
      </c>
      <c r="L668" s="326" t="s">
        <v>11</v>
      </c>
      <c r="M668" s="322" t="s">
        <v>12</v>
      </c>
      <c r="N668" s="327" t="s">
        <v>13</v>
      </c>
      <c r="O668" s="427" t="s">
        <v>63</v>
      </c>
      <c r="P668" s="322" t="s">
        <v>123</v>
      </c>
    </row>
    <row r="669" spans="1:16" s="17" customFormat="1" ht="33" customHeight="1">
      <c r="A669" s="594" t="s">
        <v>6764</v>
      </c>
      <c r="B669" s="399">
        <v>46279</v>
      </c>
      <c r="C669" s="4" t="s">
        <v>7082</v>
      </c>
      <c r="D669" s="4" t="s">
        <v>7083</v>
      </c>
      <c r="E669" s="31" t="s">
        <v>107</v>
      </c>
      <c r="F669" s="31" t="s">
        <v>7084</v>
      </c>
      <c r="G669" s="16" t="s">
        <v>1721</v>
      </c>
      <c r="H669" s="193" t="s">
        <v>7085</v>
      </c>
      <c r="I669" s="31"/>
      <c r="J669" s="31"/>
      <c r="K669" s="125"/>
      <c r="L669" s="16"/>
      <c r="M669" s="8"/>
      <c r="N669" s="31"/>
      <c r="O669" s="431"/>
      <c r="P669" s="31"/>
    </row>
    <row r="670" spans="1:16" s="17" customFormat="1" ht="33" customHeight="1">
      <c r="A670" s="595"/>
      <c r="B670" s="399">
        <v>46280</v>
      </c>
      <c r="C670" s="4" t="s">
        <v>29</v>
      </c>
      <c r="D670" s="4" t="s">
        <v>17</v>
      </c>
      <c r="E670" s="805" t="s">
        <v>78</v>
      </c>
      <c r="F670" s="805" t="s">
        <v>6936</v>
      </c>
      <c r="G670" s="16" t="s">
        <v>1470</v>
      </c>
      <c r="H670" s="808" t="s">
        <v>6941</v>
      </c>
      <c r="I670" s="805" t="s">
        <v>1690</v>
      </c>
      <c r="J670" s="808"/>
      <c r="K670" s="125" t="s">
        <v>15</v>
      </c>
      <c r="L670" s="16" t="s">
        <v>6938</v>
      </c>
      <c r="M670" s="8">
        <v>1</v>
      </c>
      <c r="N670" s="31"/>
      <c r="O670" s="431"/>
      <c r="P670" s="31"/>
    </row>
    <row r="671" spans="1:16" s="17" customFormat="1" ht="33" customHeight="1">
      <c r="A671" s="595"/>
      <c r="B671" s="399">
        <v>46281</v>
      </c>
      <c r="C671" s="4"/>
      <c r="D671" s="4"/>
      <c r="E671" s="31"/>
      <c r="F671" s="31"/>
      <c r="G671" s="16"/>
      <c r="H671" s="193"/>
      <c r="I671" s="31"/>
      <c r="J671" s="193"/>
      <c r="K671" s="125"/>
      <c r="L671" s="16"/>
      <c r="M671" s="8"/>
      <c r="N671" s="422"/>
      <c r="O671" s="430"/>
      <c r="P671" s="31"/>
    </row>
    <row r="672" spans="1:16" s="17" customFormat="1" ht="33" customHeight="1">
      <c r="A672" s="595"/>
      <c r="B672" s="399">
        <v>46282</v>
      </c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>
      <c r="A673" s="595"/>
      <c r="B673" s="399">
        <v>46283</v>
      </c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/>
      <c r="P673" s="31"/>
    </row>
    <row r="674" spans="1:16" s="17" customFormat="1" ht="33" customHeight="1">
      <c r="A674" s="596"/>
      <c r="B674" s="399">
        <v>46284</v>
      </c>
      <c r="C674" s="4"/>
      <c r="D674" s="4"/>
      <c r="E674" s="291"/>
      <c r="F674" s="31"/>
      <c r="G674" s="16"/>
      <c r="H674" s="193"/>
      <c r="I674" s="31"/>
      <c r="J674" s="31"/>
      <c r="K674" s="125"/>
      <c r="L674" s="16"/>
      <c r="M674" s="8"/>
      <c r="N674" s="31"/>
      <c r="O674" s="432"/>
      <c r="P674" s="31"/>
    </row>
    <row r="675" spans="1:16" s="17" customFormat="1" ht="33" customHeight="1">
      <c r="A675" s="322" t="s">
        <v>0</v>
      </c>
      <c r="B675" s="323" t="s">
        <v>1</v>
      </c>
      <c r="C675" s="322" t="s">
        <v>2</v>
      </c>
      <c r="D675" s="322" t="s">
        <v>3</v>
      </c>
      <c r="E675" s="322" t="s">
        <v>4</v>
      </c>
      <c r="F675" s="322" t="s">
        <v>5</v>
      </c>
      <c r="G675" s="322" t="s">
        <v>6</v>
      </c>
      <c r="H675" s="324" t="s">
        <v>7</v>
      </c>
      <c r="I675" s="322" t="s">
        <v>8</v>
      </c>
      <c r="J675" s="322" t="s">
        <v>9</v>
      </c>
      <c r="K675" s="325" t="s">
        <v>10</v>
      </c>
      <c r="L675" s="326" t="s">
        <v>11</v>
      </c>
      <c r="M675" s="322" t="s">
        <v>12</v>
      </c>
      <c r="N675" s="327" t="s">
        <v>13</v>
      </c>
      <c r="O675" s="427" t="s">
        <v>63</v>
      </c>
      <c r="P675" s="322" t="s">
        <v>123</v>
      </c>
    </row>
    <row r="676" spans="1:16" s="17" customFormat="1" ht="33" customHeight="1">
      <c r="A676" s="594" t="s">
        <v>6765</v>
      </c>
      <c r="B676" s="399">
        <v>46286</v>
      </c>
      <c r="C676" s="4" t="s">
        <v>6963</v>
      </c>
      <c r="D676" s="4" t="s">
        <v>6964</v>
      </c>
      <c r="E676" s="31" t="s">
        <v>6965</v>
      </c>
      <c r="F676" s="31" t="s">
        <v>6966</v>
      </c>
      <c r="G676" s="16" t="s">
        <v>6967</v>
      </c>
      <c r="H676" s="193" t="s">
        <v>6968</v>
      </c>
      <c r="I676" s="31"/>
      <c r="J676" s="31"/>
      <c r="K676" s="125" t="s">
        <v>6969</v>
      </c>
      <c r="L676" s="16"/>
      <c r="M676" s="8"/>
      <c r="N676" s="31"/>
      <c r="O676" s="431"/>
      <c r="P676" s="31"/>
    </row>
    <row r="677" spans="1:16" s="17" customFormat="1" ht="33" customHeight="1">
      <c r="A677" s="801"/>
      <c r="B677" s="399">
        <v>46286</v>
      </c>
      <c r="C677" s="4" t="s">
        <v>7082</v>
      </c>
      <c r="D677" s="4" t="s">
        <v>7083</v>
      </c>
      <c r="E677" s="805" t="s">
        <v>7091</v>
      </c>
      <c r="F677" s="805">
        <v>7062</v>
      </c>
      <c r="G677" s="16" t="s">
        <v>7092</v>
      </c>
      <c r="H677" s="808" t="s">
        <v>1314</v>
      </c>
      <c r="I677" s="805"/>
      <c r="J677" s="805" t="s">
        <v>6989</v>
      </c>
      <c r="K677" s="125" t="s">
        <v>7093</v>
      </c>
      <c r="L677" s="16" t="s">
        <v>4550</v>
      </c>
      <c r="M677" s="8">
        <v>1</v>
      </c>
      <c r="N677" s="805"/>
      <c r="O677" s="431" t="s">
        <v>7094</v>
      </c>
      <c r="P677" s="805"/>
    </row>
    <row r="678" spans="1:16" s="17" customFormat="1" ht="33" customHeight="1">
      <c r="A678" s="595"/>
      <c r="B678" s="399">
        <v>46287</v>
      </c>
      <c r="C678" s="4"/>
      <c r="D678" s="4"/>
      <c r="E678" s="291"/>
      <c r="F678" s="31"/>
      <c r="G678" s="16"/>
      <c r="H678" s="193"/>
      <c r="I678" s="31"/>
      <c r="J678" s="31"/>
      <c r="K678" s="125"/>
      <c r="L678" s="16"/>
      <c r="M678" s="8"/>
      <c r="N678" s="31"/>
      <c r="O678" s="431"/>
      <c r="P678" s="31"/>
    </row>
    <row r="679" spans="1:16" s="17" customFormat="1" ht="33" customHeight="1">
      <c r="A679" s="595"/>
      <c r="B679" s="399">
        <v>46288</v>
      </c>
      <c r="C679" s="4"/>
      <c r="D679" s="4"/>
      <c r="E679" s="31"/>
      <c r="F679" s="31"/>
      <c r="G679" s="16"/>
      <c r="H679" s="193"/>
      <c r="I679" s="31"/>
      <c r="J679" s="193"/>
      <c r="K679" s="125"/>
      <c r="L679" s="16"/>
      <c r="M679" s="8"/>
      <c r="N679" s="422"/>
      <c r="O679" s="430"/>
      <c r="P679" s="31"/>
    </row>
    <row r="680" spans="1:16" s="17" customFormat="1" ht="33" customHeight="1">
      <c r="A680" s="595"/>
      <c r="B680" s="399">
        <v>46289</v>
      </c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>
      <c r="A681" s="595"/>
      <c r="B681" s="399">
        <v>46290</v>
      </c>
      <c r="C681" s="4"/>
      <c r="D681" s="4"/>
      <c r="E681" s="31"/>
      <c r="F681" s="31"/>
      <c r="G681" s="16"/>
      <c r="H681" s="193"/>
      <c r="I681" s="31"/>
      <c r="J681" s="193"/>
      <c r="K681" s="125"/>
      <c r="L681" s="16"/>
      <c r="M681" s="8"/>
      <c r="N681" s="422"/>
      <c r="O681" s="430" t="s">
        <v>6766</v>
      </c>
      <c r="P681" s="31"/>
    </row>
    <row r="682" spans="1:16" s="17" customFormat="1" ht="33" customHeight="1">
      <c r="A682" s="596"/>
      <c r="B682" s="399">
        <v>46291</v>
      </c>
      <c r="C682" s="4"/>
      <c r="D682" s="4"/>
      <c r="E682" s="291"/>
      <c r="F682" s="31"/>
      <c r="G682" s="16"/>
      <c r="H682" s="193"/>
      <c r="I682" s="31"/>
      <c r="J682" s="31"/>
      <c r="K682" s="125"/>
      <c r="L682" s="16"/>
      <c r="M682" s="8"/>
      <c r="N682" s="31"/>
      <c r="O682" s="432"/>
      <c r="P682" s="31"/>
    </row>
    <row r="683" spans="1:16" s="17" customFormat="1" ht="33" customHeight="1">
      <c r="A683" s="322" t="s">
        <v>0</v>
      </c>
      <c r="B683" s="323" t="s">
        <v>1</v>
      </c>
      <c r="C683" s="322" t="s">
        <v>2</v>
      </c>
      <c r="D683" s="322" t="s">
        <v>3</v>
      </c>
      <c r="E683" s="322" t="s">
        <v>4</v>
      </c>
      <c r="F683" s="322" t="s">
        <v>5</v>
      </c>
      <c r="G683" s="322" t="s">
        <v>6</v>
      </c>
      <c r="H683" s="324" t="s">
        <v>7</v>
      </c>
      <c r="I683" s="322" t="s">
        <v>8</v>
      </c>
      <c r="J683" s="322" t="s">
        <v>9</v>
      </c>
      <c r="K683" s="325" t="s">
        <v>10</v>
      </c>
      <c r="L683" s="326" t="s">
        <v>11</v>
      </c>
      <c r="M683" s="322" t="s">
        <v>12</v>
      </c>
      <c r="N683" s="327" t="s">
        <v>13</v>
      </c>
      <c r="O683" s="427" t="s">
        <v>63</v>
      </c>
      <c r="P683" s="322" t="s">
        <v>123</v>
      </c>
    </row>
    <row r="684" spans="1:16" s="17" customFormat="1" ht="33" customHeight="1">
      <c r="A684" s="594"/>
      <c r="B684" s="399">
        <v>46293</v>
      </c>
      <c r="C684" s="4"/>
      <c r="D684" s="4"/>
      <c r="E684" s="31"/>
      <c r="F684" s="31"/>
      <c r="G684" s="16"/>
      <c r="H684" s="193"/>
      <c r="I684" s="31"/>
      <c r="J684" s="31"/>
      <c r="K684" s="125"/>
      <c r="L684" s="16"/>
      <c r="M684" s="8"/>
      <c r="N684" s="31"/>
      <c r="O684" s="431" t="s">
        <v>7054</v>
      </c>
      <c r="P684" s="31"/>
    </row>
    <row r="685" spans="1:16" s="17" customFormat="1" ht="33" customHeight="1">
      <c r="A685" s="595"/>
      <c r="B685" s="399">
        <v>46294</v>
      </c>
      <c r="C685" s="4"/>
      <c r="D685" s="4"/>
      <c r="E685" s="291"/>
      <c r="F685" s="31"/>
      <c r="G685" s="16"/>
      <c r="H685" s="193"/>
      <c r="I685" s="31"/>
      <c r="J685" s="31"/>
      <c r="K685" s="125"/>
      <c r="L685" s="16"/>
      <c r="M685" s="8"/>
      <c r="N685" s="31"/>
      <c r="O685" s="431"/>
      <c r="P685" s="31"/>
    </row>
    <row r="686" spans="1:16" s="17" customFormat="1" ht="33" customHeight="1">
      <c r="A686" s="595"/>
      <c r="B686" s="399">
        <v>46295</v>
      </c>
      <c r="C686" s="4"/>
      <c r="D686" s="4"/>
      <c r="E686" s="31"/>
      <c r="F686" s="31"/>
      <c r="G686" s="16"/>
      <c r="H686" s="193"/>
      <c r="I686" s="31"/>
      <c r="J686" s="193"/>
      <c r="K686" s="125"/>
      <c r="L686" s="16"/>
      <c r="M686" s="8"/>
      <c r="N686" s="422"/>
      <c r="O686" s="430"/>
      <c r="P686" s="31"/>
    </row>
    <row r="687" spans="1:16" s="17" customFormat="1" ht="33" customHeight="1">
      <c r="A687" s="595"/>
      <c r="B687" s="399">
        <v>46296</v>
      </c>
      <c r="C687" s="4"/>
      <c r="D687" s="4"/>
      <c r="E687" s="31"/>
      <c r="F687" s="31"/>
      <c r="G687" s="16"/>
      <c r="H687" s="193"/>
      <c r="I687" s="31"/>
      <c r="J687" s="193"/>
      <c r="K687" s="125"/>
      <c r="L687" s="16"/>
      <c r="M687" s="8"/>
      <c r="N687" s="422"/>
      <c r="O687" s="430"/>
      <c r="P687" s="31"/>
    </row>
    <row r="688" spans="1:16" s="17" customFormat="1" ht="33" customHeight="1">
      <c r="A688" s="595"/>
      <c r="B688" s="399">
        <v>46297</v>
      </c>
      <c r="C688" s="4"/>
      <c r="D688" s="4"/>
      <c r="E688" s="31"/>
      <c r="F688" s="31"/>
      <c r="G688" s="16"/>
      <c r="H688" s="193"/>
      <c r="I688" s="31"/>
      <c r="J688" s="193"/>
      <c r="K688" s="125"/>
      <c r="L688" s="16"/>
      <c r="M688" s="8"/>
      <c r="N688" s="422"/>
      <c r="O688" s="430"/>
      <c r="P688" s="31"/>
    </row>
    <row r="689" spans="1:16" s="17" customFormat="1" ht="33" customHeight="1">
      <c r="A689" s="596"/>
      <c r="B689" s="399">
        <v>46298</v>
      </c>
      <c r="C689" s="4"/>
      <c r="D689" s="4"/>
      <c r="E689" s="291"/>
      <c r="F689" s="31"/>
      <c r="G689" s="16"/>
      <c r="H689" s="193"/>
      <c r="I689" s="31"/>
      <c r="J689" s="31"/>
      <c r="K689" s="125"/>
      <c r="L689" s="16"/>
      <c r="M689" s="8"/>
      <c r="N689" s="31"/>
      <c r="O689" s="432"/>
      <c r="P689" s="31"/>
    </row>
    <row r="690" spans="1:16" s="17" customFormat="1" ht="33" customHeight="1">
      <c r="A690" s="322" t="s">
        <v>0</v>
      </c>
      <c r="B690" s="323" t="s">
        <v>1</v>
      </c>
      <c r="C690" s="322" t="s">
        <v>2</v>
      </c>
      <c r="D690" s="322" t="s">
        <v>3</v>
      </c>
      <c r="E690" s="322" t="s">
        <v>4</v>
      </c>
      <c r="F690" s="322" t="s">
        <v>5</v>
      </c>
      <c r="G690" s="322" t="s">
        <v>6</v>
      </c>
      <c r="H690" s="324" t="s">
        <v>7</v>
      </c>
      <c r="I690" s="322" t="s">
        <v>8</v>
      </c>
      <c r="J690" s="322" t="s">
        <v>9</v>
      </c>
      <c r="K690" s="325" t="s">
        <v>10</v>
      </c>
      <c r="L690" s="326" t="s">
        <v>11</v>
      </c>
      <c r="M690" s="322" t="s">
        <v>12</v>
      </c>
      <c r="N690" s="327" t="s">
        <v>13</v>
      </c>
      <c r="O690" s="427" t="s">
        <v>63</v>
      </c>
      <c r="P690" s="322" t="s">
        <v>123</v>
      </c>
    </row>
    <row r="691" spans="1:16" s="17" customFormat="1" ht="33" customHeight="1">
      <c r="A691" s="594"/>
      <c r="B691" s="399">
        <v>46300</v>
      </c>
      <c r="C691" s="4"/>
      <c r="D691" s="4"/>
      <c r="E691" s="31"/>
      <c r="F691" s="31"/>
      <c r="G691" s="16"/>
      <c r="H691" s="193"/>
      <c r="I691" s="31"/>
      <c r="J691" s="31"/>
      <c r="K691" s="125"/>
      <c r="L691" s="16"/>
      <c r="M691" s="8"/>
      <c r="N691" s="31"/>
      <c r="O691" s="431"/>
      <c r="P691" s="31"/>
    </row>
    <row r="692" spans="1:16" s="17" customFormat="1" ht="33" customHeight="1">
      <c r="A692" s="595"/>
      <c r="B692" s="399">
        <v>46301</v>
      </c>
      <c r="C692" s="4"/>
      <c r="D692" s="4"/>
      <c r="E692" s="291"/>
      <c r="F692" s="31"/>
      <c r="G692" s="16"/>
      <c r="H692" s="193"/>
      <c r="I692" s="31"/>
      <c r="J692" s="31"/>
      <c r="K692" s="125"/>
      <c r="L692" s="16"/>
      <c r="M692" s="8"/>
      <c r="N692" s="31"/>
      <c r="O692" s="431"/>
      <c r="P692" s="31"/>
    </row>
    <row r="693" spans="1:16" s="17" customFormat="1" ht="33" customHeight="1">
      <c r="A693" s="595"/>
      <c r="B693" s="399">
        <v>46302</v>
      </c>
      <c r="C693" s="4"/>
      <c r="D693" s="4"/>
      <c r="E693" s="31"/>
      <c r="F693" s="31"/>
      <c r="G693" s="16"/>
      <c r="H693" s="193"/>
      <c r="I693" s="31"/>
      <c r="J693" s="193"/>
      <c r="K693" s="125"/>
      <c r="L693" s="16"/>
      <c r="M693" s="8"/>
      <c r="N693" s="422"/>
      <c r="O693" s="430"/>
      <c r="P693" s="31"/>
    </row>
    <row r="694" spans="1:16" s="17" customFormat="1" ht="33" customHeight="1">
      <c r="A694" s="595"/>
      <c r="B694" s="399">
        <v>46303</v>
      </c>
      <c r="C694" s="4"/>
      <c r="D694" s="4"/>
      <c r="E694" s="31"/>
      <c r="F694" s="31"/>
      <c r="G694" s="16"/>
      <c r="H694" s="193"/>
      <c r="I694" s="31"/>
      <c r="J694" s="193"/>
      <c r="K694" s="125"/>
      <c r="L694" s="16"/>
      <c r="M694" s="8"/>
      <c r="N694" s="422"/>
      <c r="O694" s="430"/>
      <c r="P694" s="31"/>
    </row>
    <row r="695" spans="1:16" s="17" customFormat="1" ht="33" customHeight="1">
      <c r="A695" s="595"/>
      <c r="B695" s="399">
        <v>46304</v>
      </c>
      <c r="C695" s="4"/>
      <c r="D695" s="4"/>
      <c r="E695" s="31"/>
      <c r="F695" s="31"/>
      <c r="G695" s="16"/>
      <c r="H695" s="193"/>
      <c r="I695" s="31"/>
      <c r="J695" s="193"/>
      <c r="K695" s="125"/>
      <c r="L695" s="16"/>
      <c r="M695" s="8"/>
      <c r="N695" s="422"/>
      <c r="O695" s="430"/>
      <c r="P695" s="31"/>
    </row>
    <row r="696" spans="1:16" s="17" customFormat="1" ht="33" customHeight="1">
      <c r="A696" s="596"/>
      <c r="B696" s="399">
        <v>46305</v>
      </c>
      <c r="C696" s="4"/>
      <c r="D696" s="4"/>
      <c r="E696" s="291"/>
      <c r="F696" s="31"/>
      <c r="G696" s="16"/>
      <c r="H696" s="193"/>
      <c r="I696" s="31"/>
      <c r="J696" s="31"/>
      <c r="K696" s="125"/>
      <c r="L696" s="16"/>
      <c r="M696" s="8"/>
      <c r="N696" s="31"/>
      <c r="O696" s="432"/>
      <c r="P696" s="31"/>
    </row>
    <row r="697" spans="1:16" s="17" customFormat="1" ht="33" customHeight="1">
      <c r="A697" s="322" t="s">
        <v>0</v>
      </c>
      <c r="B697" s="323" t="s">
        <v>1</v>
      </c>
      <c r="C697" s="322" t="s">
        <v>2</v>
      </c>
      <c r="D697" s="322" t="s">
        <v>3</v>
      </c>
      <c r="E697" s="322" t="s">
        <v>4</v>
      </c>
      <c r="F697" s="322" t="s">
        <v>5</v>
      </c>
      <c r="G697" s="322" t="s">
        <v>6</v>
      </c>
      <c r="H697" s="324" t="s">
        <v>7</v>
      </c>
      <c r="I697" s="322" t="s">
        <v>8</v>
      </c>
      <c r="J697" s="322" t="s">
        <v>9</v>
      </c>
      <c r="K697" s="325" t="s">
        <v>10</v>
      </c>
      <c r="L697" s="326" t="s">
        <v>11</v>
      </c>
      <c r="M697" s="322" t="s">
        <v>12</v>
      </c>
      <c r="N697" s="327" t="s">
        <v>13</v>
      </c>
      <c r="O697" s="427" t="s">
        <v>63</v>
      </c>
      <c r="P697" s="322" t="s">
        <v>123</v>
      </c>
    </row>
    <row r="698" spans="1:16" s="17" customFormat="1" ht="33" customHeight="1">
      <c r="A698" s="594"/>
      <c r="B698" s="399">
        <v>46307</v>
      </c>
      <c r="C698" s="4"/>
      <c r="D698" s="4"/>
      <c r="E698" s="31"/>
      <c r="F698" s="31"/>
      <c r="G698" s="16"/>
      <c r="H698" s="193"/>
      <c r="I698" s="31"/>
      <c r="J698" s="31"/>
      <c r="K698" s="125"/>
      <c r="L698" s="16"/>
      <c r="M698" s="8"/>
      <c r="N698" s="31"/>
      <c r="O698" s="431"/>
      <c r="P698" s="31"/>
    </row>
    <row r="699" spans="1:16" s="17" customFormat="1" ht="33" customHeight="1">
      <c r="A699" s="595"/>
      <c r="B699" s="399">
        <v>46308</v>
      </c>
      <c r="C699" s="4"/>
      <c r="D699" s="4"/>
      <c r="E699" s="291"/>
      <c r="F699" s="31"/>
      <c r="G699" s="16"/>
      <c r="H699" s="193"/>
      <c r="I699" s="31"/>
      <c r="J699" s="31"/>
      <c r="K699" s="125"/>
      <c r="L699" s="16"/>
      <c r="M699" s="8"/>
      <c r="N699" s="31"/>
      <c r="O699" s="431"/>
      <c r="P699" s="31"/>
    </row>
    <row r="700" spans="1:16" s="17" customFormat="1" ht="33" customHeight="1">
      <c r="A700" s="595"/>
      <c r="B700" s="399">
        <v>46309</v>
      </c>
      <c r="C700" s="4"/>
      <c r="D700" s="4"/>
      <c r="E700" s="31"/>
      <c r="F700" s="31"/>
      <c r="G700" s="16"/>
      <c r="H700" s="193"/>
      <c r="I700" s="31"/>
      <c r="J700" s="193"/>
      <c r="K700" s="125"/>
      <c r="L700" s="16"/>
      <c r="M700" s="8"/>
      <c r="N700" s="422"/>
      <c r="O700" s="430"/>
      <c r="P700" s="31"/>
    </row>
    <row r="701" spans="1:16" s="17" customFormat="1" ht="33" customHeight="1">
      <c r="A701" s="595"/>
      <c r="B701" s="399">
        <v>46310</v>
      </c>
      <c r="C701" s="4"/>
      <c r="D701" s="4"/>
      <c r="E701" s="31"/>
      <c r="F701" s="31"/>
      <c r="G701" s="16"/>
      <c r="H701" s="193"/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46311</v>
      </c>
      <c r="C702" s="4"/>
      <c r="D702" s="4"/>
      <c r="E702" s="31"/>
      <c r="F702" s="31"/>
      <c r="G702" s="16"/>
      <c r="H702" s="193"/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69">
        <v>46312</v>
      </c>
      <c r="C703" s="4"/>
      <c r="D703" s="4"/>
      <c r="E703" s="291"/>
      <c r="F703" s="31"/>
      <c r="G703" s="16"/>
      <c r="H703" s="193"/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800"/>
      <c r="B705" s="399">
        <v>46314</v>
      </c>
      <c r="C705" s="4"/>
      <c r="D705" s="4"/>
      <c r="E705" s="805"/>
      <c r="F705" s="805"/>
      <c r="G705" s="16"/>
      <c r="H705" s="808"/>
      <c r="I705" s="805"/>
      <c r="J705" s="805"/>
      <c r="K705" s="125"/>
      <c r="L705" s="16"/>
      <c r="M705" s="8"/>
      <c r="N705" s="805"/>
      <c r="O705" s="431"/>
      <c r="P705" s="805"/>
    </row>
    <row r="706" spans="1:16" s="17" customFormat="1" ht="33" customHeight="1">
      <c r="A706" s="801"/>
      <c r="B706" s="399">
        <v>46315</v>
      </c>
      <c r="C706" s="4"/>
      <c r="D706" s="4"/>
      <c r="E706" s="291"/>
      <c r="F706" s="805"/>
      <c r="G706" s="16"/>
      <c r="H706" s="808"/>
      <c r="I706" s="805"/>
      <c r="J706" s="805"/>
      <c r="K706" s="125"/>
      <c r="L706" s="16"/>
      <c r="M706" s="8"/>
      <c r="N706" s="805"/>
      <c r="O706" s="431"/>
      <c r="P706" s="805"/>
    </row>
    <row r="707" spans="1:16" s="17" customFormat="1" ht="33" customHeight="1">
      <c r="A707" s="801"/>
      <c r="B707" s="399">
        <v>46316</v>
      </c>
      <c r="C707" s="4"/>
      <c r="D707" s="4"/>
      <c r="E707" s="805"/>
      <c r="F707" s="805"/>
      <c r="G707" s="16"/>
      <c r="H707" s="808"/>
      <c r="I707" s="805"/>
      <c r="J707" s="808"/>
      <c r="K707" s="125"/>
      <c r="L707" s="16"/>
      <c r="M707" s="8"/>
      <c r="N707" s="807"/>
      <c r="O707" s="430"/>
      <c r="P707" s="805"/>
    </row>
    <row r="708" spans="1:16" s="17" customFormat="1" ht="33" customHeight="1">
      <c r="A708" s="801"/>
      <c r="B708" s="399">
        <v>46317</v>
      </c>
      <c r="C708" s="4"/>
      <c r="D708" s="4"/>
      <c r="E708" s="805"/>
      <c r="F708" s="805"/>
      <c r="G708" s="16"/>
      <c r="H708" s="808"/>
      <c r="I708" s="805"/>
      <c r="J708" s="808"/>
      <c r="K708" s="125"/>
      <c r="L708" s="16"/>
      <c r="M708" s="8"/>
      <c r="N708" s="807"/>
      <c r="O708" s="430"/>
      <c r="P708" s="805"/>
    </row>
    <row r="709" spans="1:16" s="17" customFormat="1" ht="33" customHeight="1">
      <c r="A709" s="801"/>
      <c r="B709" s="399">
        <v>46318</v>
      </c>
      <c r="C709" s="4"/>
      <c r="D709" s="4"/>
      <c r="E709" s="805"/>
      <c r="F709" s="805"/>
      <c r="G709" s="16"/>
      <c r="H709" s="808"/>
      <c r="I709" s="805"/>
      <c r="J709" s="808"/>
      <c r="K709" s="125"/>
      <c r="L709" s="16"/>
      <c r="M709" s="8"/>
      <c r="N709" s="807"/>
      <c r="O709" s="430"/>
      <c r="P709" s="805"/>
    </row>
    <row r="710" spans="1:16" s="17" customFormat="1" ht="33" customHeight="1">
      <c r="A710" s="802"/>
      <c r="B710" s="369">
        <v>46319</v>
      </c>
      <c r="C710" s="4"/>
      <c r="D710" s="4"/>
      <c r="E710" s="291"/>
      <c r="F710" s="805"/>
      <c r="G710" s="16"/>
      <c r="H710" s="808"/>
      <c r="I710" s="805"/>
      <c r="J710" s="805"/>
      <c r="K710" s="125"/>
      <c r="L710" s="16"/>
      <c r="M710" s="8"/>
      <c r="N710" s="805"/>
      <c r="O710" s="432"/>
      <c r="P710" s="805"/>
    </row>
  </sheetData>
  <mergeCells count="19">
    <mergeCell ref="P182:S182"/>
    <mergeCell ref="P169:S169"/>
    <mergeCell ref="P67:S67"/>
    <mergeCell ref="P74:S74"/>
    <mergeCell ref="A570:A572"/>
    <mergeCell ref="A548:A551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8" scale="74" fitToHeight="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645"/>
  <sheetViews>
    <sheetView zoomScaleNormal="100" zoomScaleSheetLayoutView="115" workbookViewId="0">
      <pane ySplit="2" topLeftCell="A1532" activePane="bottomLeft" state="frozen"/>
      <selection pane="bottomLeft" activeCell="I1615" sqref="I1615:I162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67" t="s">
        <v>161</v>
      </c>
      <c r="B1" s="967" t="s">
        <v>162</v>
      </c>
      <c r="C1" s="965" t="s">
        <v>1</v>
      </c>
      <c r="D1" s="965" t="s">
        <v>2</v>
      </c>
      <c r="E1" s="965" t="s">
        <v>3</v>
      </c>
      <c r="F1" s="27" t="s">
        <v>54</v>
      </c>
      <c r="G1" s="965" t="s">
        <v>5</v>
      </c>
      <c r="H1" s="965" t="s">
        <v>6</v>
      </c>
      <c r="I1" s="965" t="s">
        <v>7</v>
      </c>
      <c r="J1" s="965" t="s">
        <v>55</v>
      </c>
      <c r="K1" s="969" t="s">
        <v>483</v>
      </c>
      <c r="L1" s="971" t="s">
        <v>56</v>
      </c>
      <c r="M1" s="963" t="s">
        <v>57</v>
      </c>
      <c r="N1" s="965" t="s">
        <v>58</v>
      </c>
    </row>
    <row r="2" spans="1:14" hidden="1">
      <c r="A2" s="968"/>
      <c r="B2" s="968"/>
      <c r="C2" s="966"/>
      <c r="D2" s="966"/>
      <c r="E2" s="966"/>
      <c r="F2" s="28" t="s">
        <v>59</v>
      </c>
      <c r="G2" s="966"/>
      <c r="H2" s="966"/>
      <c r="I2" s="966"/>
      <c r="J2" s="966"/>
      <c r="K2" s="970"/>
      <c r="L2" s="972"/>
      <c r="M2" s="964"/>
      <c r="N2" s="966"/>
    </row>
    <row r="3" spans="1:14" ht="27" hidden="1">
      <c r="A3" s="55">
        <v>1</v>
      </c>
      <c r="B3" s="946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947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948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95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96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946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947"/>
      <c r="C9" s="973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947"/>
      <c r="C10" s="974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947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947"/>
      <c r="C12" s="973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947"/>
      <c r="C13" s="975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947"/>
      <c r="C14" s="974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947"/>
      <c r="C15" s="973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947"/>
      <c r="C16" s="974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948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95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96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946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948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59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60"/>
    </row>
    <row r="24" spans="1:17" ht="27" hidden="1">
      <c r="A24" s="55">
        <v>4</v>
      </c>
      <c r="B24" s="946" t="s">
        <v>21</v>
      </c>
      <c r="C24" s="953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34" t="s">
        <v>85</v>
      </c>
      <c r="K24" s="949" t="s">
        <v>41</v>
      </c>
      <c r="L24" s="6" t="s">
        <v>15</v>
      </c>
      <c r="M24" s="976">
        <v>180000</v>
      </c>
      <c r="N24" s="45" t="s">
        <v>194</v>
      </c>
    </row>
    <row r="25" spans="1:17" ht="27" hidden="1">
      <c r="A25" s="55">
        <v>4</v>
      </c>
      <c r="B25" s="947"/>
      <c r="C25" s="955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35"/>
      <c r="K25" s="950"/>
      <c r="L25" s="6" t="s">
        <v>15</v>
      </c>
      <c r="M25" s="977"/>
      <c r="N25" s="45" t="s">
        <v>194</v>
      </c>
    </row>
    <row r="26" spans="1:17" hidden="1">
      <c r="A26" s="55">
        <v>4</v>
      </c>
      <c r="B26" s="947"/>
      <c r="C26" s="953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3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948"/>
      <c r="C27" s="955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3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946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947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947"/>
      <c r="C32" s="953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947"/>
      <c r="C33" s="955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948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946" t="s">
        <v>20</v>
      </c>
      <c r="C35" s="953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948"/>
      <c r="C36" s="955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946" t="s">
        <v>20</v>
      </c>
      <c r="C37" s="953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948"/>
      <c r="C38" s="955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98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983"/>
      <c r="C40" s="953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983"/>
      <c r="C41" s="955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98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940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941"/>
      <c r="C45" s="940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941"/>
      <c r="C46" s="98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942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97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98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98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97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97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97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946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947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948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940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941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942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946" t="s">
        <v>64</v>
      </c>
      <c r="C67" s="953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49" t="s">
        <v>435</v>
      </c>
      <c r="L67" s="6" t="s">
        <v>436</v>
      </c>
      <c r="M67" s="976">
        <v>750000</v>
      </c>
      <c r="N67" s="45" t="s">
        <v>446</v>
      </c>
    </row>
    <row r="68" spans="1:15" ht="27" hidden="1">
      <c r="A68" s="55">
        <v>19</v>
      </c>
      <c r="B68" s="947"/>
      <c r="C68" s="95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50"/>
      <c r="L68" s="6" t="s">
        <v>411</v>
      </c>
      <c r="M68" s="977"/>
      <c r="N68" s="45" t="s">
        <v>445</v>
      </c>
    </row>
    <row r="69" spans="1:15" hidden="1">
      <c r="A69" s="55">
        <v>19</v>
      </c>
      <c r="B69" s="947"/>
      <c r="C69" s="955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947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948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946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947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947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947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948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946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947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948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946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948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946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947"/>
      <c r="C83" s="953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947"/>
      <c r="C84" s="955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947"/>
      <c r="C85" s="953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947"/>
      <c r="C86" s="955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947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947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948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946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948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946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947"/>
      <c r="C93" s="953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947"/>
      <c r="C94" s="95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947"/>
      <c r="C95" s="955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947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948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946" t="s">
        <v>21</v>
      </c>
      <c r="C99" s="953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947"/>
      <c r="C100" s="955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947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947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948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946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947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947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948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946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948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914" t="s">
        <v>658</v>
      </c>
      <c r="C110" s="914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939"/>
      <c r="C111" s="961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939"/>
      <c r="C112" s="962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961"/>
      <c r="C113" s="961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962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939"/>
      <c r="C115" s="914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915"/>
      <c r="C116" s="961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946" t="s">
        <v>20</v>
      </c>
      <c r="C117" s="956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34" t="s">
        <v>168</v>
      </c>
      <c r="K117" s="949" t="s">
        <v>645</v>
      </c>
      <c r="L117" s="57" t="s">
        <v>209</v>
      </c>
      <c r="M117" s="936">
        <f>250000*5</f>
        <v>1250000</v>
      </c>
      <c r="N117" s="946" t="s">
        <v>121</v>
      </c>
    </row>
    <row r="118" spans="1:14" hidden="1">
      <c r="A118" s="101">
        <v>28</v>
      </c>
      <c r="B118" s="947"/>
      <c r="C118" s="95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58"/>
      <c r="K118" s="957"/>
      <c r="L118" s="57" t="s">
        <v>209</v>
      </c>
      <c r="M118" s="937"/>
      <c r="N118" s="947"/>
    </row>
    <row r="119" spans="1:14" hidden="1">
      <c r="A119" s="101">
        <v>28</v>
      </c>
      <c r="B119" s="947"/>
      <c r="C119" s="95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35"/>
      <c r="K119" s="950"/>
      <c r="L119" s="57" t="s">
        <v>209</v>
      </c>
      <c r="M119" s="938"/>
      <c r="N119" s="948"/>
    </row>
    <row r="120" spans="1:14" hidden="1">
      <c r="A120" s="101">
        <v>28</v>
      </c>
      <c r="B120" s="948"/>
      <c r="C120" s="955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914" t="s">
        <v>307</v>
      </c>
      <c r="C122" s="914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939"/>
      <c r="C123" s="939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4" t="s">
        <v>664</v>
      </c>
      <c r="K123" s="940" t="s">
        <v>707</v>
      </c>
      <c r="L123" s="110" t="s">
        <v>324</v>
      </c>
      <c r="M123" s="943" t="s">
        <v>708</v>
      </c>
      <c r="N123" s="110"/>
    </row>
    <row r="124" spans="1:14" hidden="1">
      <c r="A124" s="55">
        <v>29</v>
      </c>
      <c r="B124" s="939"/>
      <c r="C124" s="939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39"/>
      <c r="K124" s="941"/>
      <c r="L124" s="110" t="s">
        <v>324</v>
      </c>
      <c r="M124" s="944"/>
      <c r="N124" s="110"/>
    </row>
    <row r="125" spans="1:14" hidden="1">
      <c r="A125" s="55">
        <v>29</v>
      </c>
      <c r="B125" s="939"/>
      <c r="C125" s="939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5"/>
      <c r="K125" s="942"/>
      <c r="L125" s="110" t="s">
        <v>324</v>
      </c>
      <c r="M125" s="945"/>
      <c r="N125" s="110"/>
    </row>
    <row r="126" spans="1:14" hidden="1">
      <c r="A126" s="55">
        <v>29</v>
      </c>
      <c r="B126" s="915"/>
      <c r="C126" s="915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914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939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939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939"/>
      <c r="C130" s="914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939"/>
      <c r="C131" s="915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939"/>
      <c r="C132" s="914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939"/>
      <c r="C133" s="915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915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946" t="s">
        <v>618</v>
      </c>
      <c r="C135" s="953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947"/>
      <c r="C136" s="95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947"/>
      <c r="C137" s="95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948"/>
      <c r="C138" s="955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946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947"/>
      <c r="C140" s="953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947"/>
      <c r="C141" s="955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46" t="s">
        <v>735</v>
      </c>
    </row>
    <row r="142" spans="1:14" hidden="1">
      <c r="A142" s="55">
        <v>30</v>
      </c>
      <c r="B142" s="948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48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946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948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946" t="s">
        <v>20</v>
      </c>
      <c r="C146" s="953" t="s">
        <v>869</v>
      </c>
      <c r="D146" s="949" t="s">
        <v>19</v>
      </c>
      <c r="E146" s="951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948"/>
      <c r="C147" s="955"/>
      <c r="D147" s="950"/>
      <c r="E147" s="952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946" t="s">
        <v>123</v>
      </c>
      <c r="C148" s="953" t="s">
        <v>782</v>
      </c>
      <c r="D148" s="949" t="s">
        <v>19</v>
      </c>
      <c r="E148" s="951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948"/>
      <c r="C149" s="955"/>
      <c r="D149" s="950"/>
      <c r="E149" s="952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946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947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948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946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46" t="s">
        <v>247</v>
      </c>
    </row>
    <row r="154" spans="1:14" ht="27" hidden="1">
      <c r="A154" s="55">
        <v>34</v>
      </c>
      <c r="B154" s="947"/>
      <c r="C154" s="953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47"/>
    </row>
    <row r="155" spans="1:14" ht="27" hidden="1">
      <c r="A155" s="55">
        <v>34</v>
      </c>
      <c r="B155" s="947"/>
      <c r="C155" s="955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48"/>
    </row>
    <row r="156" spans="1:14" ht="27" hidden="1">
      <c r="A156" s="55">
        <v>34</v>
      </c>
      <c r="B156" s="947"/>
      <c r="C156" s="953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46" t="s">
        <v>825</v>
      </c>
    </row>
    <row r="157" spans="1:14" ht="27" hidden="1">
      <c r="A157" s="55">
        <v>34</v>
      </c>
      <c r="B157" s="947"/>
      <c r="C157" s="955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47"/>
    </row>
    <row r="158" spans="1:14" ht="27" hidden="1">
      <c r="A158" s="55">
        <v>34</v>
      </c>
      <c r="B158" s="947"/>
      <c r="C158" s="953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47"/>
    </row>
    <row r="159" spans="1:14" ht="27" hidden="1">
      <c r="A159" s="55">
        <v>34</v>
      </c>
      <c r="B159" s="947"/>
      <c r="C159" s="955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47"/>
    </row>
    <row r="160" spans="1:14" ht="27" hidden="1">
      <c r="A160" s="55">
        <v>34</v>
      </c>
      <c r="B160" s="947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47"/>
    </row>
    <row r="161" spans="1:15" ht="27" hidden="1">
      <c r="A161" s="55">
        <v>34</v>
      </c>
      <c r="B161" s="947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48"/>
    </row>
    <row r="162" spans="1:15" ht="27" hidden="1">
      <c r="A162" s="55">
        <v>34</v>
      </c>
      <c r="B162" s="948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946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947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947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948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872" t="s">
        <v>849</v>
      </c>
      <c r="C167" s="88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873"/>
      <c r="C168" s="88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873"/>
      <c r="C169" s="88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874"/>
      <c r="C170" s="88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872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873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873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873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874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hidden="1">
      <c r="A176" s="55">
        <v>36</v>
      </c>
      <c r="B176" s="872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hidden="1">
      <c r="A177" s="55">
        <v>36</v>
      </c>
      <c r="B177" s="873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873"/>
      <c r="C178" s="88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874"/>
      <c r="C179" s="88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872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873"/>
      <c r="C181" s="953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34" t="s">
        <v>838</v>
      </c>
      <c r="K181" s="949" t="s">
        <v>985</v>
      </c>
      <c r="L181" s="6" t="s">
        <v>910</v>
      </c>
      <c r="M181" s="936">
        <f>180000+200000+200000</f>
        <v>580000</v>
      </c>
      <c r="N181" s="45" t="s">
        <v>806</v>
      </c>
    </row>
    <row r="182" spans="1:14" hidden="1">
      <c r="A182" s="55">
        <v>36</v>
      </c>
      <c r="B182" s="873"/>
      <c r="C182" s="95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35"/>
      <c r="K182" s="950"/>
      <c r="L182" s="6" t="s">
        <v>911</v>
      </c>
      <c r="M182" s="938"/>
      <c r="N182" s="45" t="s">
        <v>806</v>
      </c>
    </row>
    <row r="183" spans="1:14" hidden="1">
      <c r="A183" s="55">
        <v>36</v>
      </c>
      <c r="B183" s="873"/>
      <c r="C183" s="955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874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hidden="1">
      <c r="A185" s="55">
        <v>37</v>
      </c>
      <c r="B185" s="872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hidden="1">
      <c r="A186" s="55">
        <v>37</v>
      </c>
      <c r="B186" s="873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873"/>
      <c r="C187" s="88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874"/>
      <c r="C188" s="88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872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873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874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872" t="s">
        <v>939</v>
      </c>
      <c r="C192" s="88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873"/>
      <c r="C193" s="88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hidden="1">
      <c r="A194" s="55">
        <v>38</v>
      </c>
      <c r="B194" s="874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872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873"/>
      <c r="C196" s="953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873"/>
      <c r="C197" s="955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873"/>
      <c r="C198" s="953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874"/>
      <c r="C199" s="955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872" t="s">
        <v>20</v>
      </c>
      <c r="C200" s="88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873"/>
      <c r="C201" s="88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hidden="1" customHeight="1">
      <c r="A202" s="55">
        <v>39</v>
      </c>
      <c r="B202" s="873"/>
      <c r="C202" s="88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hidden="1">
      <c r="A203" s="55">
        <v>39</v>
      </c>
      <c r="B203" s="874"/>
      <c r="C203" s="88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872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873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874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872" t="s">
        <v>20</v>
      </c>
      <c r="C207" s="88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873"/>
      <c r="C208" s="88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hidden="1">
      <c r="A209" s="55">
        <v>41</v>
      </c>
      <c r="B209" s="874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872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874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872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hidden="1">
      <c r="A213" s="55">
        <v>42</v>
      </c>
      <c r="B213" s="873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hidden="1">
      <c r="A214" s="55">
        <v>42</v>
      </c>
      <c r="B214" s="874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872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873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874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872" t="s">
        <v>20</v>
      </c>
      <c r="C218" s="88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873"/>
      <c r="C219" s="88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hidden="1">
      <c r="A220" s="55">
        <v>43</v>
      </c>
      <c r="B220" s="874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872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873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874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872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hidden="1">
      <c r="A225" s="55">
        <v>44</v>
      </c>
      <c r="B225" s="873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46" t="s">
        <v>247</v>
      </c>
    </row>
    <row r="226" spans="1:14" hidden="1">
      <c r="A226" s="55">
        <v>44</v>
      </c>
      <c r="B226" s="873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47"/>
    </row>
    <row r="227" spans="1:14" hidden="1">
      <c r="A227" s="55">
        <v>44</v>
      </c>
      <c r="B227" s="874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48"/>
    </row>
    <row r="228" spans="1:14" hidden="1">
      <c r="A228" s="55">
        <v>44</v>
      </c>
      <c r="B228" s="872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874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872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hidden="1">
      <c r="A231" s="55">
        <v>45</v>
      </c>
      <c r="B231" s="873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hidden="1">
      <c r="A232" s="55">
        <v>45</v>
      </c>
      <c r="B232" s="873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hidden="1">
      <c r="A233" s="55">
        <v>45</v>
      </c>
      <c r="B233" s="874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872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874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872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hidden="1">
      <c r="A237" s="55">
        <v>46</v>
      </c>
      <c r="B237" s="873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hidden="1">
      <c r="A238" s="55">
        <v>46</v>
      </c>
      <c r="B238" s="874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872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hidden="1">
      <c r="A241" s="55">
        <v>46</v>
      </c>
      <c r="B241" s="873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874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872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874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872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874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872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873"/>
      <c r="C249" s="88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46" t="s">
        <v>247</v>
      </c>
    </row>
    <row r="250" spans="1:14" hidden="1">
      <c r="A250" s="55">
        <v>48</v>
      </c>
      <c r="B250" s="874"/>
      <c r="C250" s="88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48"/>
    </row>
    <row r="251" spans="1:14" hidden="1">
      <c r="A251" s="55">
        <v>48</v>
      </c>
      <c r="B251" s="872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873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873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874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872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873"/>
      <c r="C256" s="88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46" t="s">
        <v>247</v>
      </c>
    </row>
    <row r="257" spans="1:14" hidden="1">
      <c r="A257" s="55">
        <v>49</v>
      </c>
      <c r="B257" s="874"/>
      <c r="C257" s="88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48"/>
    </row>
    <row r="258" spans="1:14" ht="40.5" hidden="1">
      <c r="A258" s="55">
        <v>49</v>
      </c>
      <c r="B258" s="872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874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985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986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70" t="s">
        <v>1103</v>
      </c>
    </row>
    <row r="262" spans="1:14" ht="25.5" hidden="1">
      <c r="A262" s="132">
        <v>49</v>
      </c>
      <c r="B262" s="987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71"/>
    </row>
    <row r="263" spans="1:14" ht="16.5" hidden="1" customHeight="1">
      <c r="A263" s="55">
        <v>50</v>
      </c>
      <c r="B263" s="872" t="s">
        <v>20</v>
      </c>
      <c r="C263" s="88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873"/>
      <c r="C264" s="88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873"/>
      <c r="C265" s="88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873"/>
      <c r="C266" s="88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874"/>
      <c r="C267" s="88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985" t="s">
        <v>658</v>
      </c>
      <c r="C268" s="870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986"/>
      <c r="C269" s="880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987"/>
      <c r="C270" s="871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872" t="s">
        <v>20</v>
      </c>
      <c r="C271" s="88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873"/>
      <c r="C272" s="88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873"/>
      <c r="C273" s="88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873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873"/>
      <c r="C275" s="88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873"/>
      <c r="C276" s="88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874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992" t="s">
        <v>1196</v>
      </c>
      <c r="B278" s="993"/>
      <c r="C278" s="993"/>
      <c r="D278" s="993"/>
      <c r="E278" s="993"/>
      <c r="F278" s="993"/>
      <c r="G278" s="993"/>
      <c r="H278" s="993"/>
      <c r="I278" s="993"/>
      <c r="J278" s="993"/>
      <c r="K278" s="993"/>
      <c r="L278" s="993"/>
      <c r="M278" s="993"/>
      <c r="N278" s="994"/>
    </row>
    <row r="279" spans="1:15" ht="16.5" hidden="1" customHeight="1">
      <c r="A279" s="55">
        <v>1</v>
      </c>
      <c r="B279" s="872" t="s">
        <v>20</v>
      </c>
      <c r="C279" s="88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874"/>
      <c r="C280" s="88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872" t="s">
        <v>64</v>
      </c>
      <c r="C281" s="88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873"/>
      <c r="C282" s="88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873"/>
      <c r="C283" s="88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34" t="s">
        <v>1174</v>
      </c>
      <c r="K283" s="990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873"/>
      <c r="C284" s="88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35"/>
      <c r="K284" s="991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873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874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995" t="s">
        <v>123</v>
      </c>
      <c r="C287" s="870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996"/>
      <c r="C288" s="871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985" t="s">
        <v>64</v>
      </c>
      <c r="C289" s="870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986"/>
      <c r="C290" s="98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986"/>
      <c r="C291" s="98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70" t="s">
        <v>638</v>
      </c>
      <c r="K291" s="924" t="s">
        <v>671</v>
      </c>
      <c r="L291" s="148" t="s">
        <v>309</v>
      </c>
      <c r="M291" s="854" t="s">
        <v>672</v>
      </c>
      <c r="N291" s="148" t="s">
        <v>723</v>
      </c>
    </row>
    <row r="292" spans="1:15" hidden="1">
      <c r="A292" s="55">
        <v>2</v>
      </c>
      <c r="B292" s="986"/>
      <c r="C292" s="98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71"/>
      <c r="K292" s="925"/>
      <c r="L292" s="148" t="s">
        <v>309</v>
      </c>
      <c r="M292" s="855"/>
      <c r="N292" s="148" t="s">
        <v>723</v>
      </c>
    </row>
    <row r="293" spans="1:15" hidden="1">
      <c r="A293" s="55">
        <v>2</v>
      </c>
      <c r="B293" s="986"/>
      <c r="C293" s="98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986"/>
      <c r="C294" s="871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987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872" t="s">
        <v>20</v>
      </c>
      <c r="C296" s="88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873"/>
      <c r="C297" s="88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874"/>
      <c r="C298" s="88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872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873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874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872" t="s">
        <v>20</v>
      </c>
      <c r="C302" s="88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873"/>
      <c r="C303" s="88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873"/>
      <c r="C304" s="88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873"/>
      <c r="C305" s="88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874"/>
      <c r="C306" s="88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872" t="s">
        <v>20</v>
      </c>
      <c r="C308" s="88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874"/>
      <c r="C309" s="88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872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873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874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985" t="s">
        <v>307</v>
      </c>
      <c r="C313" s="870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987"/>
      <c r="C314" s="871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872" t="s">
        <v>20</v>
      </c>
      <c r="C316" s="88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873"/>
      <c r="C317" s="88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874"/>
      <c r="C318" s="88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872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873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874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872" t="s">
        <v>20</v>
      </c>
      <c r="C322" s="88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874"/>
      <c r="C323" s="88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872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873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873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873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874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872" t="s">
        <v>20</v>
      </c>
      <c r="C329" s="88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873"/>
      <c r="C330" s="88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874"/>
      <c r="C331" s="88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872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874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872" t="s">
        <v>20</v>
      </c>
      <c r="C334" s="88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873"/>
      <c r="C335" s="88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873"/>
      <c r="C336" s="88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874"/>
      <c r="C337" s="88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872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873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873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874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872" t="s">
        <v>20</v>
      </c>
      <c r="C342" s="88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873"/>
      <c r="C343" s="88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874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872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873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873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873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873"/>
      <c r="C349" s="953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874"/>
      <c r="C350" s="955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985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986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986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986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987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985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986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986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987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872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873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874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872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873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873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873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873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874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872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873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873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hidden="1">
      <c r="A372" s="55">
        <v>14</v>
      </c>
      <c r="B372" s="874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872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874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985" t="s">
        <v>307</v>
      </c>
      <c r="C375" s="128" t="s">
        <v>1531</v>
      </c>
      <c r="D375" s="870" t="s">
        <v>306</v>
      </c>
      <c r="E375" s="870" t="s">
        <v>322</v>
      </c>
      <c r="F375" s="870" t="s">
        <v>307</v>
      </c>
      <c r="G375" s="868">
        <v>4266</v>
      </c>
      <c r="H375" s="870" t="s">
        <v>640</v>
      </c>
      <c r="I375" s="868" t="s">
        <v>1533</v>
      </c>
      <c r="J375" s="870" t="s">
        <v>1534</v>
      </c>
      <c r="K375" s="997" t="s">
        <v>692</v>
      </c>
      <c r="L375" s="870" t="s">
        <v>324</v>
      </c>
      <c r="M375" s="854" t="s">
        <v>1535</v>
      </c>
      <c r="N375" s="870" t="s">
        <v>425</v>
      </c>
    </row>
    <row r="376" spans="1:19" hidden="1">
      <c r="A376" s="199" t="s">
        <v>1539</v>
      </c>
      <c r="B376" s="986"/>
      <c r="C376" s="129" t="s">
        <v>1532</v>
      </c>
      <c r="D376" s="871"/>
      <c r="E376" s="871"/>
      <c r="F376" s="871"/>
      <c r="G376" s="869"/>
      <c r="H376" s="871"/>
      <c r="I376" s="869"/>
      <c r="J376" s="871"/>
      <c r="K376" s="998"/>
      <c r="L376" s="871"/>
      <c r="M376" s="855"/>
      <c r="N376" s="871"/>
    </row>
    <row r="377" spans="1:19" hidden="1">
      <c r="A377" s="199" t="s">
        <v>1539</v>
      </c>
      <c r="B377" s="986"/>
      <c r="C377" s="128" t="s">
        <v>1536</v>
      </c>
      <c r="D377" s="870" t="s">
        <v>306</v>
      </c>
      <c r="E377" s="870" t="s">
        <v>322</v>
      </c>
      <c r="F377" s="870" t="s">
        <v>307</v>
      </c>
      <c r="G377" s="868">
        <v>3306</v>
      </c>
      <c r="H377" s="870" t="s">
        <v>1153</v>
      </c>
      <c r="I377" s="868" t="s">
        <v>1538</v>
      </c>
      <c r="J377" s="870" t="s">
        <v>1534</v>
      </c>
      <c r="K377" s="997" t="s">
        <v>692</v>
      </c>
      <c r="L377" s="870" t="s">
        <v>324</v>
      </c>
      <c r="M377" s="854" t="s">
        <v>1535</v>
      </c>
      <c r="N377" s="870" t="s">
        <v>425</v>
      </c>
    </row>
    <row r="378" spans="1:19" hidden="1">
      <c r="A378" s="199" t="s">
        <v>1539</v>
      </c>
      <c r="B378" s="987"/>
      <c r="C378" s="129" t="s">
        <v>1537</v>
      </c>
      <c r="D378" s="871"/>
      <c r="E378" s="871"/>
      <c r="F378" s="871"/>
      <c r="G378" s="869"/>
      <c r="H378" s="871"/>
      <c r="I378" s="869"/>
      <c r="J378" s="871"/>
      <c r="K378" s="998"/>
      <c r="L378" s="871"/>
      <c r="M378" s="855"/>
      <c r="N378" s="871"/>
    </row>
    <row r="379" spans="1:19" ht="27" hidden="1" customHeight="1">
      <c r="A379" s="123">
        <v>15</v>
      </c>
      <c r="B379" s="872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873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hidden="1" customHeight="1">
      <c r="A381" s="123">
        <v>15</v>
      </c>
      <c r="B381" s="873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874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872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874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872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873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873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874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872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873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873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874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872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873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874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872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873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873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873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873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873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874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864" t="s">
        <v>1782</v>
      </c>
      <c r="C403" s="226" t="s">
        <v>1748</v>
      </c>
      <c r="D403" s="922" t="s">
        <v>306</v>
      </c>
      <c r="E403" s="922" t="s">
        <v>322</v>
      </c>
      <c r="F403" s="922" t="s">
        <v>307</v>
      </c>
      <c r="G403" s="928">
        <v>3306</v>
      </c>
      <c r="H403" s="922" t="s">
        <v>1153</v>
      </c>
      <c r="I403" s="928" t="s">
        <v>1749</v>
      </c>
      <c r="J403" s="922" t="s">
        <v>664</v>
      </c>
      <c r="K403" s="999" t="s">
        <v>1288</v>
      </c>
      <c r="L403" s="922" t="s">
        <v>324</v>
      </c>
      <c r="M403" s="926" t="s">
        <v>1750</v>
      </c>
      <c r="N403" s="922" t="s">
        <v>665</v>
      </c>
    </row>
    <row r="404" spans="1:14" hidden="1">
      <c r="A404" s="123">
        <v>18</v>
      </c>
      <c r="B404" s="865"/>
      <c r="C404" s="226" t="s">
        <v>1751</v>
      </c>
      <c r="D404" s="923"/>
      <c r="E404" s="923"/>
      <c r="F404" s="923"/>
      <c r="G404" s="929"/>
      <c r="H404" s="923"/>
      <c r="I404" s="929"/>
      <c r="J404" s="923"/>
      <c r="K404" s="1000"/>
      <c r="L404" s="923"/>
      <c r="M404" s="927"/>
      <c r="N404" s="923"/>
    </row>
    <row r="405" spans="1:14" ht="22.5" hidden="1">
      <c r="A405" s="123">
        <v>18</v>
      </c>
      <c r="B405" s="86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865"/>
      <c r="C406" s="226" t="s">
        <v>1755</v>
      </c>
      <c r="D406" s="922" t="s">
        <v>306</v>
      </c>
      <c r="E406" s="922" t="s">
        <v>322</v>
      </c>
      <c r="F406" s="922" t="s">
        <v>307</v>
      </c>
      <c r="G406" s="928" t="s">
        <v>1756</v>
      </c>
      <c r="H406" s="922" t="s">
        <v>347</v>
      </c>
      <c r="I406" s="928" t="s">
        <v>1154</v>
      </c>
      <c r="J406" s="922" t="s">
        <v>664</v>
      </c>
      <c r="K406" s="922" t="s">
        <v>1757</v>
      </c>
      <c r="L406" s="922" t="s">
        <v>324</v>
      </c>
      <c r="M406" s="926" t="s">
        <v>1758</v>
      </c>
      <c r="N406" s="922" t="s">
        <v>665</v>
      </c>
    </row>
    <row r="407" spans="1:14" hidden="1">
      <c r="A407" s="123">
        <v>18</v>
      </c>
      <c r="B407" s="865"/>
      <c r="C407" s="226" t="s">
        <v>1759</v>
      </c>
      <c r="D407" s="923"/>
      <c r="E407" s="923"/>
      <c r="F407" s="923"/>
      <c r="G407" s="929"/>
      <c r="H407" s="923"/>
      <c r="I407" s="929"/>
      <c r="J407" s="923"/>
      <c r="K407" s="923"/>
      <c r="L407" s="923"/>
      <c r="M407" s="927"/>
      <c r="N407" s="923"/>
    </row>
    <row r="408" spans="1:14" ht="16.5" hidden="1" customHeight="1">
      <c r="A408" s="123">
        <v>18</v>
      </c>
      <c r="B408" s="865"/>
      <c r="C408" s="228" t="s">
        <v>1760</v>
      </c>
      <c r="D408" s="922" t="s">
        <v>306</v>
      </c>
      <c r="E408" s="922" t="s">
        <v>322</v>
      </c>
      <c r="F408" s="922" t="s">
        <v>307</v>
      </c>
      <c r="G408" s="928" t="s">
        <v>1761</v>
      </c>
      <c r="H408" s="922" t="s">
        <v>329</v>
      </c>
      <c r="I408" s="928" t="s">
        <v>1762</v>
      </c>
      <c r="J408" s="922" t="s">
        <v>664</v>
      </c>
      <c r="K408" s="922" t="s">
        <v>1763</v>
      </c>
      <c r="L408" s="922" t="s">
        <v>324</v>
      </c>
      <c r="M408" s="926" t="s">
        <v>1764</v>
      </c>
      <c r="N408" s="922" t="s">
        <v>1765</v>
      </c>
    </row>
    <row r="409" spans="1:14" hidden="1">
      <c r="A409" s="123">
        <v>18</v>
      </c>
      <c r="B409" s="866"/>
      <c r="C409" s="226" t="s">
        <v>1766</v>
      </c>
      <c r="D409" s="923"/>
      <c r="E409" s="923"/>
      <c r="F409" s="923"/>
      <c r="G409" s="929"/>
      <c r="H409" s="923"/>
      <c r="I409" s="929"/>
      <c r="J409" s="923"/>
      <c r="K409" s="923"/>
      <c r="L409" s="923"/>
      <c r="M409" s="927"/>
      <c r="N409" s="923"/>
    </row>
    <row r="410" spans="1:14" ht="16.5" hidden="1" customHeight="1">
      <c r="A410" s="123">
        <v>18</v>
      </c>
      <c r="B410" s="864" t="s">
        <v>253</v>
      </c>
      <c r="C410" s="930" t="s">
        <v>1767</v>
      </c>
      <c r="D410" s="922" t="s">
        <v>311</v>
      </c>
      <c r="E410" s="922" t="s">
        <v>320</v>
      </c>
      <c r="F410" s="922" t="s">
        <v>709</v>
      </c>
      <c r="G410" s="922" t="s">
        <v>1768</v>
      </c>
      <c r="H410" s="930" t="s">
        <v>1769</v>
      </c>
      <c r="I410" s="227" t="s">
        <v>1770</v>
      </c>
      <c r="J410" s="922"/>
      <c r="K410" s="932" t="s">
        <v>1771</v>
      </c>
      <c r="L410" s="922" t="s">
        <v>309</v>
      </c>
      <c r="M410" s="926" t="s">
        <v>1764</v>
      </c>
      <c r="N410" s="922" t="s">
        <v>1772</v>
      </c>
    </row>
    <row r="411" spans="1:14" hidden="1">
      <c r="A411" s="123">
        <v>18</v>
      </c>
      <c r="B411" s="865"/>
      <c r="C411" s="931"/>
      <c r="D411" s="923"/>
      <c r="E411" s="923"/>
      <c r="F411" s="923"/>
      <c r="G411" s="923"/>
      <c r="H411" s="931"/>
      <c r="I411" s="227" t="s">
        <v>1773</v>
      </c>
      <c r="J411" s="923"/>
      <c r="K411" s="933"/>
      <c r="L411" s="923"/>
      <c r="M411" s="927"/>
      <c r="N411" s="923"/>
    </row>
    <row r="412" spans="1:14" ht="22.5" hidden="1">
      <c r="A412" s="123">
        <v>18</v>
      </c>
      <c r="B412" s="86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865"/>
      <c r="C413" s="930" t="s">
        <v>1776</v>
      </c>
      <c r="D413" s="930" t="s">
        <v>700</v>
      </c>
      <c r="E413" s="922" t="s">
        <v>675</v>
      </c>
      <c r="F413" s="930" t="s">
        <v>1777</v>
      </c>
      <c r="G413" s="930" t="s">
        <v>1778</v>
      </c>
      <c r="H413" s="930" t="s">
        <v>662</v>
      </c>
      <c r="I413" s="227" t="s">
        <v>1779</v>
      </c>
      <c r="J413" s="922" t="s">
        <v>638</v>
      </c>
      <c r="K413" s="922" t="s">
        <v>731</v>
      </c>
      <c r="L413" s="922" t="s">
        <v>309</v>
      </c>
      <c r="M413" s="926" t="s">
        <v>1780</v>
      </c>
      <c r="N413" s="922" t="s">
        <v>1781</v>
      </c>
    </row>
    <row r="414" spans="1:14" hidden="1">
      <c r="A414" s="123">
        <v>18</v>
      </c>
      <c r="B414" s="866"/>
      <c r="C414" s="931"/>
      <c r="D414" s="931"/>
      <c r="E414" s="923"/>
      <c r="F414" s="931"/>
      <c r="G414" s="931"/>
      <c r="H414" s="931"/>
      <c r="I414" s="26"/>
      <c r="J414" s="923"/>
      <c r="K414" s="923"/>
      <c r="L414" s="923"/>
      <c r="M414" s="927"/>
      <c r="N414" s="923"/>
    </row>
    <row r="415" spans="1:14" ht="16.5" hidden="1" customHeight="1">
      <c r="A415" s="123">
        <v>19</v>
      </c>
      <c r="B415" s="864" t="s">
        <v>20</v>
      </c>
      <c r="C415" s="148" t="s">
        <v>1794</v>
      </c>
      <c r="D415" s="870" t="s">
        <v>306</v>
      </c>
      <c r="E415" s="870" t="s">
        <v>322</v>
      </c>
      <c r="F415" s="870" t="s">
        <v>307</v>
      </c>
      <c r="G415" s="868" t="s">
        <v>1796</v>
      </c>
      <c r="H415" s="870" t="s">
        <v>1797</v>
      </c>
      <c r="I415" s="868" t="s">
        <v>1792</v>
      </c>
      <c r="J415" s="870" t="s">
        <v>664</v>
      </c>
      <c r="K415" s="148" t="s">
        <v>1520</v>
      </c>
      <c r="L415" s="870" t="s">
        <v>324</v>
      </c>
      <c r="M415" s="854" t="s">
        <v>1799</v>
      </c>
      <c r="N415" s="870" t="s">
        <v>665</v>
      </c>
    </row>
    <row r="416" spans="1:14" hidden="1">
      <c r="A416" s="123">
        <v>19</v>
      </c>
      <c r="B416" s="865"/>
      <c r="C416" s="148" t="s">
        <v>1795</v>
      </c>
      <c r="D416" s="871"/>
      <c r="E416" s="871"/>
      <c r="F416" s="871"/>
      <c r="G416" s="869"/>
      <c r="H416" s="871"/>
      <c r="I416" s="869"/>
      <c r="J416" s="871"/>
      <c r="K416" s="148" t="s">
        <v>1798</v>
      </c>
      <c r="L416" s="871"/>
      <c r="M416" s="855"/>
      <c r="N416" s="871"/>
    </row>
    <row r="417" spans="1:14" hidden="1">
      <c r="A417" s="123">
        <v>19</v>
      </c>
      <c r="B417" s="865"/>
      <c r="C417" s="148" t="s">
        <v>1800</v>
      </c>
      <c r="D417" s="870" t="s">
        <v>306</v>
      </c>
      <c r="E417" s="870" t="s">
        <v>322</v>
      </c>
      <c r="F417" s="870" t="s">
        <v>307</v>
      </c>
      <c r="G417" s="868" t="s">
        <v>1801</v>
      </c>
      <c r="H417" s="870" t="s">
        <v>1802</v>
      </c>
      <c r="I417" s="868" t="s">
        <v>1803</v>
      </c>
      <c r="J417" s="870" t="s">
        <v>664</v>
      </c>
      <c r="K417" s="924" t="s">
        <v>1155</v>
      </c>
      <c r="L417" s="870" t="s">
        <v>324</v>
      </c>
      <c r="M417" s="854" t="s">
        <v>1804</v>
      </c>
      <c r="N417" s="870" t="s">
        <v>665</v>
      </c>
    </row>
    <row r="418" spans="1:14" hidden="1">
      <c r="A418" s="123">
        <v>19</v>
      </c>
      <c r="B418" s="866"/>
      <c r="C418" s="148" t="s">
        <v>1795</v>
      </c>
      <c r="D418" s="871"/>
      <c r="E418" s="871"/>
      <c r="F418" s="871"/>
      <c r="G418" s="869"/>
      <c r="H418" s="871"/>
      <c r="I418" s="869"/>
      <c r="J418" s="871"/>
      <c r="K418" s="925"/>
      <c r="L418" s="871"/>
      <c r="M418" s="855"/>
      <c r="N418" s="871"/>
    </row>
    <row r="419" spans="1:14" ht="16.5" hidden="1" customHeight="1">
      <c r="A419" s="123">
        <v>19</v>
      </c>
      <c r="B419" s="864" t="s">
        <v>21</v>
      </c>
      <c r="C419" s="914" t="s">
        <v>1805</v>
      </c>
      <c r="D419" s="914" t="s">
        <v>700</v>
      </c>
      <c r="E419" s="870" t="s">
        <v>675</v>
      </c>
      <c r="F419" s="914" t="s">
        <v>1806</v>
      </c>
      <c r="G419" s="914" t="s">
        <v>1807</v>
      </c>
      <c r="H419" s="914" t="s">
        <v>662</v>
      </c>
      <c r="I419" s="868" t="s">
        <v>1808</v>
      </c>
      <c r="J419" s="870"/>
      <c r="K419" s="916" t="s">
        <v>1809</v>
      </c>
      <c r="L419" s="870" t="s">
        <v>309</v>
      </c>
      <c r="M419" s="854" t="s">
        <v>1810</v>
      </c>
      <c r="N419" s="149" t="s">
        <v>1811</v>
      </c>
    </row>
    <row r="420" spans="1:14" hidden="1">
      <c r="A420" s="123">
        <v>19</v>
      </c>
      <c r="B420" s="865"/>
      <c r="C420" s="915"/>
      <c r="D420" s="915"/>
      <c r="E420" s="871"/>
      <c r="F420" s="915"/>
      <c r="G420" s="915"/>
      <c r="H420" s="915"/>
      <c r="I420" s="869"/>
      <c r="J420" s="871"/>
      <c r="K420" s="917"/>
      <c r="L420" s="871"/>
      <c r="M420" s="855"/>
      <c r="N420" s="149" t="s">
        <v>1812</v>
      </c>
    </row>
    <row r="421" spans="1:14" hidden="1">
      <c r="A421" s="123">
        <v>19</v>
      </c>
      <c r="B421" s="865"/>
      <c r="C421" s="918" t="s">
        <v>1813</v>
      </c>
      <c r="D421" s="914" t="s">
        <v>700</v>
      </c>
      <c r="E421" s="870" t="s">
        <v>320</v>
      </c>
      <c r="F421" s="870" t="s">
        <v>337</v>
      </c>
      <c r="G421" s="914" t="s">
        <v>353</v>
      </c>
      <c r="H421" s="914" t="s">
        <v>1814</v>
      </c>
      <c r="I421" s="868" t="s">
        <v>1815</v>
      </c>
      <c r="J421" s="870" t="s">
        <v>638</v>
      </c>
      <c r="K421" s="920" t="s">
        <v>692</v>
      </c>
      <c r="L421" s="870" t="s">
        <v>309</v>
      </c>
      <c r="M421" s="854" t="s">
        <v>1816</v>
      </c>
      <c r="N421" s="148" t="s">
        <v>1817</v>
      </c>
    </row>
    <row r="422" spans="1:14" hidden="1">
      <c r="A422" s="123">
        <v>19</v>
      </c>
      <c r="B422" s="865"/>
      <c r="C422" s="919"/>
      <c r="D422" s="915"/>
      <c r="E422" s="871"/>
      <c r="F422" s="871"/>
      <c r="G422" s="915"/>
      <c r="H422" s="915"/>
      <c r="I422" s="869"/>
      <c r="J422" s="871"/>
      <c r="K422" s="921"/>
      <c r="L422" s="871"/>
      <c r="M422" s="855"/>
      <c r="N422" s="148" t="s">
        <v>1818</v>
      </c>
    </row>
    <row r="423" spans="1:14" hidden="1">
      <c r="A423" s="123">
        <v>19</v>
      </c>
      <c r="B423" s="86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865"/>
      <c r="C424" s="914" t="s">
        <v>1820</v>
      </c>
      <c r="D424" s="914" t="s">
        <v>700</v>
      </c>
      <c r="E424" s="870" t="s">
        <v>320</v>
      </c>
      <c r="F424" s="870" t="s">
        <v>709</v>
      </c>
      <c r="G424" s="870" t="s">
        <v>1768</v>
      </c>
      <c r="H424" s="914" t="s">
        <v>1821</v>
      </c>
      <c r="I424" s="149" t="s">
        <v>1822</v>
      </c>
      <c r="J424" s="870" t="s">
        <v>638</v>
      </c>
      <c r="K424" s="870" t="s">
        <v>692</v>
      </c>
      <c r="L424" s="870" t="s">
        <v>309</v>
      </c>
      <c r="M424" s="854" t="s">
        <v>1535</v>
      </c>
      <c r="N424" s="868" t="s">
        <v>1824</v>
      </c>
    </row>
    <row r="425" spans="1:14" hidden="1">
      <c r="A425" s="123">
        <v>19</v>
      </c>
      <c r="B425" s="865"/>
      <c r="C425" s="915"/>
      <c r="D425" s="915"/>
      <c r="E425" s="871"/>
      <c r="F425" s="871"/>
      <c r="G425" s="871"/>
      <c r="H425" s="915"/>
      <c r="I425" s="149" t="s">
        <v>1823</v>
      </c>
      <c r="J425" s="871"/>
      <c r="K425" s="871"/>
      <c r="L425" s="871"/>
      <c r="M425" s="855"/>
      <c r="N425" s="869"/>
    </row>
    <row r="426" spans="1:14" hidden="1">
      <c r="A426" s="123">
        <v>19</v>
      </c>
      <c r="B426" s="86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86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86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86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86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86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86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86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86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86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86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86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86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86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86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86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86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86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86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86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86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86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86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86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86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86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864" t="s">
        <v>2078</v>
      </c>
      <c r="C452" s="243" t="s">
        <v>1906</v>
      </c>
      <c r="D452" s="894" t="s">
        <v>306</v>
      </c>
      <c r="E452" s="894" t="s">
        <v>322</v>
      </c>
      <c r="F452" s="894" t="s">
        <v>307</v>
      </c>
      <c r="G452" s="894">
        <v>3306</v>
      </c>
      <c r="H452" s="894" t="s">
        <v>1153</v>
      </c>
      <c r="I452" s="894" t="s">
        <v>1907</v>
      </c>
      <c r="J452" s="894" t="s">
        <v>1111</v>
      </c>
      <c r="K452" s="894" t="s">
        <v>692</v>
      </c>
      <c r="L452" s="894" t="s">
        <v>324</v>
      </c>
      <c r="M452" s="892" t="s">
        <v>1908</v>
      </c>
      <c r="N452" s="894" t="s">
        <v>665</v>
      </c>
    </row>
    <row r="453" spans="1:14" hidden="1">
      <c r="A453" s="123">
        <v>23</v>
      </c>
      <c r="B453" s="865"/>
      <c r="C453" s="243" t="s">
        <v>1909</v>
      </c>
      <c r="D453" s="895"/>
      <c r="E453" s="895"/>
      <c r="F453" s="895"/>
      <c r="G453" s="895"/>
      <c r="H453" s="895"/>
      <c r="I453" s="895"/>
      <c r="J453" s="895"/>
      <c r="K453" s="895"/>
      <c r="L453" s="895"/>
      <c r="M453" s="893"/>
      <c r="N453" s="895"/>
    </row>
    <row r="454" spans="1:14" hidden="1">
      <c r="A454" s="123">
        <v>23</v>
      </c>
      <c r="B454" s="865"/>
      <c r="C454" s="243" t="s">
        <v>1910</v>
      </c>
      <c r="D454" s="894" t="s">
        <v>306</v>
      </c>
      <c r="E454" s="894" t="s">
        <v>322</v>
      </c>
      <c r="F454" s="894" t="s">
        <v>307</v>
      </c>
      <c r="G454" s="896" t="s">
        <v>1418</v>
      </c>
      <c r="H454" s="894" t="s">
        <v>1911</v>
      </c>
      <c r="I454" s="896" t="s">
        <v>1154</v>
      </c>
      <c r="J454" s="894" t="s">
        <v>664</v>
      </c>
      <c r="K454" s="910" t="s">
        <v>1763</v>
      </c>
      <c r="L454" s="894" t="s">
        <v>324</v>
      </c>
      <c r="M454" s="892" t="s">
        <v>1535</v>
      </c>
      <c r="N454" s="894" t="s">
        <v>665</v>
      </c>
    </row>
    <row r="455" spans="1:14" hidden="1">
      <c r="A455" s="123">
        <v>23</v>
      </c>
      <c r="B455" s="865"/>
      <c r="C455" s="243" t="s">
        <v>1909</v>
      </c>
      <c r="D455" s="895"/>
      <c r="E455" s="895"/>
      <c r="F455" s="895"/>
      <c r="G455" s="897"/>
      <c r="H455" s="895"/>
      <c r="I455" s="897"/>
      <c r="J455" s="895"/>
      <c r="K455" s="911"/>
      <c r="L455" s="895"/>
      <c r="M455" s="893"/>
      <c r="N455" s="895"/>
    </row>
    <row r="456" spans="1:14" hidden="1">
      <c r="A456" s="123">
        <v>23</v>
      </c>
      <c r="B456" s="86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865"/>
      <c r="C457" s="243" t="s">
        <v>1917</v>
      </c>
      <c r="D457" s="894" t="s">
        <v>306</v>
      </c>
      <c r="E457" s="894" t="s">
        <v>322</v>
      </c>
      <c r="F457" s="894" t="s">
        <v>307</v>
      </c>
      <c r="G457" s="896">
        <v>4267</v>
      </c>
      <c r="H457" s="894" t="s">
        <v>640</v>
      </c>
      <c r="I457" s="896" t="s">
        <v>1154</v>
      </c>
      <c r="J457" s="894" t="s">
        <v>664</v>
      </c>
      <c r="K457" s="910" t="s">
        <v>1763</v>
      </c>
      <c r="L457" s="894" t="s">
        <v>324</v>
      </c>
      <c r="M457" s="892" t="s">
        <v>1535</v>
      </c>
      <c r="N457" s="894" t="s">
        <v>665</v>
      </c>
    </row>
    <row r="458" spans="1:14" hidden="1">
      <c r="A458" s="123">
        <v>23</v>
      </c>
      <c r="B458" s="865"/>
      <c r="C458" s="243" t="s">
        <v>1918</v>
      </c>
      <c r="D458" s="895"/>
      <c r="E458" s="895"/>
      <c r="F458" s="895"/>
      <c r="G458" s="897"/>
      <c r="H458" s="895"/>
      <c r="I458" s="897"/>
      <c r="J458" s="895"/>
      <c r="K458" s="911"/>
      <c r="L458" s="895"/>
      <c r="M458" s="893"/>
      <c r="N458" s="895"/>
    </row>
    <row r="459" spans="1:14" hidden="1">
      <c r="A459" s="123">
        <v>23</v>
      </c>
      <c r="B459" s="865"/>
      <c r="C459" s="243" t="s">
        <v>1917</v>
      </c>
      <c r="D459" s="894" t="s">
        <v>306</v>
      </c>
      <c r="E459" s="894" t="s">
        <v>322</v>
      </c>
      <c r="F459" s="894" t="s">
        <v>307</v>
      </c>
      <c r="G459" s="896" t="s">
        <v>1919</v>
      </c>
      <c r="H459" s="894" t="s">
        <v>662</v>
      </c>
      <c r="I459" s="896" t="s">
        <v>1920</v>
      </c>
      <c r="J459" s="894" t="s">
        <v>349</v>
      </c>
      <c r="K459" s="912" t="s">
        <v>1916</v>
      </c>
      <c r="L459" s="894" t="s">
        <v>324</v>
      </c>
      <c r="M459" s="892" t="s">
        <v>1535</v>
      </c>
      <c r="N459" s="894" t="s">
        <v>425</v>
      </c>
    </row>
    <row r="460" spans="1:14" hidden="1">
      <c r="A460" s="123">
        <v>23</v>
      </c>
      <c r="B460" s="866"/>
      <c r="C460" s="244" t="s">
        <v>1918</v>
      </c>
      <c r="D460" s="895"/>
      <c r="E460" s="895"/>
      <c r="F460" s="895"/>
      <c r="G460" s="897"/>
      <c r="H460" s="895"/>
      <c r="I460" s="897"/>
      <c r="J460" s="895"/>
      <c r="K460" s="913"/>
      <c r="L460" s="895"/>
      <c r="M460" s="893"/>
      <c r="N460" s="895"/>
    </row>
    <row r="461" spans="1:14" hidden="1">
      <c r="A461" s="123">
        <v>23</v>
      </c>
      <c r="B461" s="86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865"/>
      <c r="C462" s="894" t="s">
        <v>1921</v>
      </c>
      <c r="D462" s="894" t="s">
        <v>311</v>
      </c>
      <c r="E462" s="894" t="s">
        <v>675</v>
      </c>
      <c r="F462" s="894" t="s">
        <v>1926</v>
      </c>
      <c r="G462" s="894" t="s">
        <v>1927</v>
      </c>
      <c r="H462" s="1001" t="s">
        <v>347</v>
      </c>
      <c r="I462" s="242" t="s">
        <v>1928</v>
      </c>
      <c r="J462" s="894"/>
      <c r="K462" s="896" t="s">
        <v>1924</v>
      </c>
      <c r="L462" s="894" t="s">
        <v>309</v>
      </c>
      <c r="M462" s="892" t="s">
        <v>1828</v>
      </c>
      <c r="N462" s="896" t="s">
        <v>1925</v>
      </c>
    </row>
    <row r="463" spans="1:14" hidden="1">
      <c r="A463" s="123">
        <v>23</v>
      </c>
      <c r="B463" s="865"/>
      <c r="C463" s="895"/>
      <c r="D463" s="895"/>
      <c r="E463" s="895"/>
      <c r="F463" s="895"/>
      <c r="G463" s="895"/>
      <c r="H463" s="1002"/>
      <c r="I463" s="242" t="s">
        <v>1929</v>
      </c>
      <c r="J463" s="895"/>
      <c r="K463" s="897"/>
      <c r="L463" s="895"/>
      <c r="M463" s="893"/>
      <c r="N463" s="897"/>
    </row>
    <row r="464" spans="1:14" ht="24" hidden="1">
      <c r="A464" s="123">
        <v>23</v>
      </c>
      <c r="B464" s="86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86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86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86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86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86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86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86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86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86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86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86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86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86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86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86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86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86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86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86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86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86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86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86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86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86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86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86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86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86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86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86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86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86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86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86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86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86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86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86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86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86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86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86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86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86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86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86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86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86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86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86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86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86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86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86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86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86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86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86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86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86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86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86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86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86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86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86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86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86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86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86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86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86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86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86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86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86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86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86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86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86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86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86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86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86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86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86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86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86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86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86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86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86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86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86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86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86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86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86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86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86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86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86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86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86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88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88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88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88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88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88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86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86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88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88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88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88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86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86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86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86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86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86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86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86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86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86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86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86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86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86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86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86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86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86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86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86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86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86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88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88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88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86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86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86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86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86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86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86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86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86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86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907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908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908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908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909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86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86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86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86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86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86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86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86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86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86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86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86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86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86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86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86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86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86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86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86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86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86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86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86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86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86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86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86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86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86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86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86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86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86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86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86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86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86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86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86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906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86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86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86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86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86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86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86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86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86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86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86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86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86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865"/>
      <c r="C687" s="148" t="s">
        <v>2726</v>
      </c>
      <c r="D687" s="870" t="s">
        <v>306</v>
      </c>
      <c r="E687" s="870" t="s">
        <v>322</v>
      </c>
      <c r="F687" s="870" t="s">
        <v>307</v>
      </c>
      <c r="G687" s="868" t="s">
        <v>2719</v>
      </c>
      <c r="H687" s="870" t="s">
        <v>1047</v>
      </c>
      <c r="I687" s="868" t="s">
        <v>704</v>
      </c>
      <c r="J687" s="870" t="s">
        <v>664</v>
      </c>
      <c r="K687" s="902" t="s">
        <v>1763</v>
      </c>
      <c r="L687" s="870"/>
      <c r="M687" s="854" t="s">
        <v>458</v>
      </c>
      <c r="N687" s="870" t="s">
        <v>665</v>
      </c>
    </row>
    <row r="688" spans="1:14" hidden="1">
      <c r="A688" s="123">
        <v>8</v>
      </c>
      <c r="B688" s="865"/>
      <c r="C688" s="148" t="s">
        <v>2727</v>
      </c>
      <c r="D688" s="871"/>
      <c r="E688" s="871"/>
      <c r="F688" s="871"/>
      <c r="G688" s="869"/>
      <c r="H688" s="871"/>
      <c r="I688" s="869"/>
      <c r="J688" s="871"/>
      <c r="K688" s="903"/>
      <c r="L688" s="871"/>
      <c r="M688" s="855"/>
      <c r="N688" s="871"/>
    </row>
    <row r="689" spans="1:14" hidden="1">
      <c r="A689" s="123">
        <v>8</v>
      </c>
      <c r="B689" s="86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865"/>
      <c r="C690" s="148" t="s">
        <v>2730</v>
      </c>
      <c r="D690" s="870" t="s">
        <v>306</v>
      </c>
      <c r="E690" s="870" t="s">
        <v>322</v>
      </c>
      <c r="F690" s="870" t="s">
        <v>307</v>
      </c>
      <c r="G690" s="868" t="s">
        <v>2731</v>
      </c>
      <c r="H690" s="870" t="s">
        <v>640</v>
      </c>
      <c r="I690" s="868" t="s">
        <v>668</v>
      </c>
      <c r="J690" s="870" t="s">
        <v>349</v>
      </c>
      <c r="K690" s="904" t="s">
        <v>2732</v>
      </c>
      <c r="L690" s="870"/>
      <c r="M690" s="854" t="s">
        <v>2769</v>
      </c>
      <c r="N690" s="870" t="s">
        <v>425</v>
      </c>
    </row>
    <row r="691" spans="1:14" hidden="1">
      <c r="A691" s="123">
        <v>8</v>
      </c>
      <c r="B691" s="866"/>
      <c r="C691" s="148" t="s">
        <v>2723</v>
      </c>
      <c r="D691" s="871"/>
      <c r="E691" s="871"/>
      <c r="F691" s="871"/>
      <c r="G691" s="869"/>
      <c r="H691" s="871"/>
      <c r="I691" s="869"/>
      <c r="J691" s="871"/>
      <c r="K691" s="905"/>
      <c r="L691" s="871"/>
      <c r="M691" s="855"/>
      <c r="N691" s="871"/>
    </row>
    <row r="692" spans="1:14" hidden="1">
      <c r="A692" s="123">
        <v>8</v>
      </c>
      <c r="B692" s="86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865"/>
      <c r="C693" s="870" t="s">
        <v>2768</v>
      </c>
      <c r="D693" s="870" t="s">
        <v>311</v>
      </c>
      <c r="E693" s="870" t="s">
        <v>675</v>
      </c>
      <c r="F693" s="149" t="s">
        <v>1806</v>
      </c>
      <c r="G693" s="868" t="s">
        <v>689</v>
      </c>
      <c r="H693" s="868" t="s">
        <v>662</v>
      </c>
      <c r="I693" s="868" t="s">
        <v>2739</v>
      </c>
      <c r="J693" s="868"/>
      <c r="K693" s="868" t="s">
        <v>698</v>
      </c>
      <c r="L693" s="870" t="s">
        <v>309</v>
      </c>
      <c r="M693" s="854" t="s">
        <v>672</v>
      </c>
      <c r="N693" s="870" t="s">
        <v>2740</v>
      </c>
    </row>
    <row r="694" spans="1:14" hidden="1">
      <c r="A694" s="123">
        <v>8</v>
      </c>
      <c r="B694" s="866"/>
      <c r="C694" s="871"/>
      <c r="D694" s="871"/>
      <c r="E694" s="871"/>
      <c r="F694" s="149" t="s">
        <v>2738</v>
      </c>
      <c r="G694" s="869"/>
      <c r="H694" s="869"/>
      <c r="I694" s="869"/>
      <c r="J694" s="869"/>
      <c r="K694" s="869"/>
      <c r="L694" s="871"/>
      <c r="M694" s="855"/>
      <c r="N694" s="880"/>
    </row>
    <row r="695" spans="1:14" hidden="1">
      <c r="A695" s="123">
        <v>9</v>
      </c>
      <c r="B695" s="86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86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865"/>
      <c r="C697" s="243" t="s">
        <v>2745</v>
      </c>
      <c r="D697" s="894" t="s">
        <v>306</v>
      </c>
      <c r="E697" s="894" t="s">
        <v>322</v>
      </c>
      <c r="F697" s="894" t="s">
        <v>307</v>
      </c>
      <c r="G697" s="896" t="s">
        <v>2746</v>
      </c>
      <c r="H697" s="894" t="s">
        <v>405</v>
      </c>
      <c r="I697" s="896" t="s">
        <v>2747</v>
      </c>
      <c r="J697" s="894" t="s">
        <v>664</v>
      </c>
      <c r="K697" s="900" t="s">
        <v>1757</v>
      </c>
      <c r="L697" s="894"/>
      <c r="M697" s="892">
        <v>750000</v>
      </c>
      <c r="N697" s="894" t="s">
        <v>665</v>
      </c>
    </row>
    <row r="698" spans="1:14" hidden="1">
      <c r="A698" s="123">
        <v>9</v>
      </c>
      <c r="B698" s="865"/>
      <c r="C698" s="243" t="s">
        <v>2748</v>
      </c>
      <c r="D698" s="895"/>
      <c r="E698" s="895"/>
      <c r="F698" s="895"/>
      <c r="G698" s="897"/>
      <c r="H698" s="895"/>
      <c r="I698" s="897"/>
      <c r="J698" s="895"/>
      <c r="K698" s="901"/>
      <c r="L698" s="895"/>
      <c r="M698" s="893"/>
      <c r="N698" s="895"/>
    </row>
    <row r="699" spans="1:14" hidden="1">
      <c r="A699" s="123">
        <v>9</v>
      </c>
      <c r="B699" s="865"/>
      <c r="C699" s="243" t="s">
        <v>2745</v>
      </c>
      <c r="D699" s="894" t="s">
        <v>306</v>
      </c>
      <c r="E699" s="894" t="s">
        <v>322</v>
      </c>
      <c r="F699" s="894" t="s">
        <v>307</v>
      </c>
      <c r="G699" s="896" t="s">
        <v>2749</v>
      </c>
      <c r="H699" s="894" t="s">
        <v>662</v>
      </c>
      <c r="I699" s="896" t="s">
        <v>668</v>
      </c>
      <c r="J699" s="894" t="s">
        <v>349</v>
      </c>
      <c r="K699" s="898" t="s">
        <v>2732</v>
      </c>
      <c r="L699" s="894"/>
      <c r="M699" s="892">
        <v>1000000</v>
      </c>
      <c r="N699" s="894" t="s">
        <v>425</v>
      </c>
    </row>
    <row r="700" spans="1:14" hidden="1">
      <c r="A700" s="123">
        <v>9</v>
      </c>
      <c r="B700" s="865"/>
      <c r="C700" s="243" t="s">
        <v>2750</v>
      </c>
      <c r="D700" s="895"/>
      <c r="E700" s="895"/>
      <c r="F700" s="895"/>
      <c r="G700" s="897"/>
      <c r="H700" s="895"/>
      <c r="I700" s="897"/>
      <c r="J700" s="895"/>
      <c r="K700" s="899"/>
      <c r="L700" s="895"/>
      <c r="M700" s="893"/>
      <c r="N700" s="895"/>
    </row>
    <row r="701" spans="1:14" hidden="1">
      <c r="A701" s="123">
        <v>9</v>
      </c>
      <c r="B701" s="86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86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86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86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86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86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86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86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86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86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86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86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86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86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86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86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86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86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86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86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86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86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86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86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86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86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86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86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86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86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86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890" t="s">
        <v>2821</v>
      </c>
    </row>
    <row r="734" spans="1:14" ht="27" hidden="1">
      <c r="A734" s="123">
        <v>15</v>
      </c>
      <c r="B734" s="86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891"/>
    </row>
    <row r="735" spans="1:14" hidden="1">
      <c r="A735" s="123">
        <v>15</v>
      </c>
      <c r="B735" s="86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86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86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86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86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86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86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86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86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86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86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86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86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86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86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86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86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86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86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6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86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86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86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86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86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86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86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86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86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86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86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86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86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86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86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86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86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86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86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86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86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86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86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86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86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86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86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86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86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86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86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86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86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86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86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86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86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88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88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88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86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86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86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86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86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86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86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86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86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86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86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86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86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86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86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86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86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86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86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86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86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86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86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86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86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86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86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86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86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86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86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86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86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86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86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86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864" t="s">
        <v>3097</v>
      </c>
      <c r="C835" s="148" t="s">
        <v>3079</v>
      </c>
      <c r="D835" s="870" t="s">
        <v>306</v>
      </c>
      <c r="E835" s="870" t="s">
        <v>322</v>
      </c>
      <c r="F835" s="870" t="s">
        <v>307</v>
      </c>
      <c r="G835" s="868" t="s">
        <v>3051</v>
      </c>
      <c r="H835" s="870" t="s">
        <v>1993</v>
      </c>
      <c r="I835" s="868" t="s">
        <v>3052</v>
      </c>
      <c r="J835" s="870" t="s">
        <v>664</v>
      </c>
      <c r="K835" s="148" t="s">
        <v>3081</v>
      </c>
      <c r="L835" s="870"/>
      <c r="M835" s="882" t="s">
        <v>3082</v>
      </c>
      <c r="N835" s="148" t="s">
        <v>3083</v>
      </c>
    </row>
    <row r="836" spans="1:14" hidden="1">
      <c r="A836" s="123">
        <v>29</v>
      </c>
      <c r="B836" s="865"/>
      <c r="C836" s="148" t="s">
        <v>3080</v>
      </c>
      <c r="D836" s="880"/>
      <c r="E836" s="880"/>
      <c r="F836" s="880"/>
      <c r="G836" s="881"/>
      <c r="H836" s="880"/>
      <c r="I836" s="881"/>
      <c r="J836" s="880"/>
      <c r="K836" s="148" t="s">
        <v>707</v>
      </c>
      <c r="L836" s="880"/>
      <c r="M836" s="883"/>
      <c r="N836" s="148"/>
    </row>
    <row r="837" spans="1:14" hidden="1">
      <c r="A837" s="123">
        <v>29</v>
      </c>
      <c r="B837" s="865"/>
      <c r="C837" s="148"/>
      <c r="D837" s="871"/>
      <c r="E837" s="871"/>
      <c r="F837" s="871"/>
      <c r="G837" s="869"/>
      <c r="H837" s="871"/>
      <c r="I837" s="869"/>
      <c r="J837" s="871"/>
      <c r="K837" s="148"/>
      <c r="L837" s="871"/>
      <c r="M837" s="884"/>
      <c r="N837" s="148" t="s">
        <v>3084</v>
      </c>
    </row>
    <row r="838" spans="1:14" hidden="1">
      <c r="A838" s="123">
        <v>29</v>
      </c>
      <c r="B838" s="86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86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864" t="s">
        <v>21</v>
      </c>
      <c r="C840" s="111" t="s">
        <v>3087</v>
      </c>
      <c r="D840" s="870" t="s">
        <v>311</v>
      </c>
      <c r="E840" s="870" t="s">
        <v>320</v>
      </c>
      <c r="F840" s="868" t="s">
        <v>2601</v>
      </c>
      <c r="G840" s="868" t="s">
        <v>3059</v>
      </c>
      <c r="H840" s="868" t="s">
        <v>3060</v>
      </c>
      <c r="I840" s="868" t="s">
        <v>3061</v>
      </c>
      <c r="J840" s="868" t="s">
        <v>702</v>
      </c>
      <c r="K840" s="868" t="s">
        <v>3062</v>
      </c>
      <c r="L840" s="870" t="s">
        <v>309</v>
      </c>
      <c r="M840" s="882" t="s">
        <v>1816</v>
      </c>
      <c r="N840" s="870" t="s">
        <v>3088</v>
      </c>
    </row>
    <row r="841" spans="1:14" hidden="1">
      <c r="A841" s="123">
        <v>29</v>
      </c>
      <c r="B841" s="865"/>
      <c r="C841" s="111" t="s">
        <v>3065</v>
      </c>
      <c r="D841" s="871"/>
      <c r="E841" s="871"/>
      <c r="F841" s="869"/>
      <c r="G841" s="869"/>
      <c r="H841" s="869"/>
      <c r="I841" s="869"/>
      <c r="J841" s="869"/>
      <c r="K841" s="869"/>
      <c r="L841" s="871"/>
      <c r="M841" s="884"/>
      <c r="N841" s="871"/>
    </row>
    <row r="842" spans="1:14" hidden="1">
      <c r="A842" s="123">
        <v>29</v>
      </c>
      <c r="B842" s="86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86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865"/>
      <c r="C844" s="111" t="s">
        <v>3079</v>
      </c>
      <c r="D844" s="870" t="s">
        <v>311</v>
      </c>
      <c r="E844" s="870" t="s">
        <v>320</v>
      </c>
      <c r="F844" s="868" t="s">
        <v>3068</v>
      </c>
      <c r="G844" s="868" t="s">
        <v>1919</v>
      </c>
      <c r="H844" s="868" t="s">
        <v>3069</v>
      </c>
      <c r="I844" s="149" t="s">
        <v>3090</v>
      </c>
      <c r="J844" s="868"/>
      <c r="K844" s="868" t="s">
        <v>3070</v>
      </c>
      <c r="L844" s="870" t="s">
        <v>309</v>
      </c>
      <c r="M844" s="888" t="s">
        <v>3092</v>
      </c>
      <c r="N844" s="870" t="s">
        <v>1206</v>
      </c>
    </row>
    <row r="845" spans="1:14" hidden="1">
      <c r="A845" s="123">
        <v>29</v>
      </c>
      <c r="B845" s="865"/>
      <c r="C845" s="111" t="s">
        <v>3089</v>
      </c>
      <c r="D845" s="871"/>
      <c r="E845" s="871"/>
      <c r="F845" s="869"/>
      <c r="G845" s="869"/>
      <c r="H845" s="869"/>
      <c r="I845" s="149" t="s">
        <v>3091</v>
      </c>
      <c r="J845" s="869"/>
      <c r="K845" s="869"/>
      <c r="L845" s="871"/>
      <c r="M845" s="889"/>
      <c r="N845" s="871"/>
    </row>
    <row r="846" spans="1:14" hidden="1">
      <c r="A846" s="123">
        <v>29</v>
      </c>
      <c r="B846" s="865"/>
      <c r="C846" s="111" t="s">
        <v>3079</v>
      </c>
      <c r="D846" s="870" t="s">
        <v>311</v>
      </c>
      <c r="E846" s="870" t="s">
        <v>320</v>
      </c>
      <c r="F846" s="868" t="s">
        <v>2601</v>
      </c>
      <c r="G846" s="868" t="s">
        <v>3059</v>
      </c>
      <c r="H846" s="868" t="s">
        <v>3060</v>
      </c>
      <c r="I846" s="868" t="s">
        <v>3071</v>
      </c>
      <c r="J846" s="868" t="s">
        <v>702</v>
      </c>
      <c r="K846" s="868" t="s">
        <v>1054</v>
      </c>
      <c r="L846" s="870" t="s">
        <v>309</v>
      </c>
      <c r="M846" s="882" t="s">
        <v>3094</v>
      </c>
      <c r="N846" s="870" t="s">
        <v>3095</v>
      </c>
    </row>
    <row r="847" spans="1:14" hidden="1">
      <c r="A847" s="123">
        <v>29</v>
      </c>
      <c r="B847" s="865"/>
      <c r="C847" s="111"/>
      <c r="D847" s="880"/>
      <c r="E847" s="880"/>
      <c r="F847" s="881"/>
      <c r="G847" s="881"/>
      <c r="H847" s="881"/>
      <c r="I847" s="881"/>
      <c r="J847" s="881"/>
      <c r="K847" s="881"/>
      <c r="L847" s="880"/>
      <c r="M847" s="883"/>
      <c r="N847" s="880"/>
    </row>
    <row r="848" spans="1:14" hidden="1">
      <c r="A848" s="123">
        <v>29</v>
      </c>
      <c r="B848" s="865"/>
      <c r="C848" s="111" t="s">
        <v>3093</v>
      </c>
      <c r="D848" s="871"/>
      <c r="E848" s="871"/>
      <c r="F848" s="869"/>
      <c r="G848" s="869"/>
      <c r="H848" s="869"/>
      <c r="I848" s="869"/>
      <c r="J848" s="869"/>
      <c r="K848" s="869"/>
      <c r="L848" s="871"/>
      <c r="M848" s="884"/>
      <c r="N848" s="871"/>
    </row>
    <row r="849" spans="1:14">
      <c r="A849" s="123">
        <v>29</v>
      </c>
      <c r="B849" s="865"/>
      <c r="C849" s="111" t="s">
        <v>3096</v>
      </c>
      <c r="D849" s="870" t="s">
        <v>311</v>
      </c>
      <c r="E849" s="870" t="s">
        <v>320</v>
      </c>
      <c r="F849" s="868" t="s">
        <v>337</v>
      </c>
      <c r="G849" s="868" t="s">
        <v>3072</v>
      </c>
      <c r="H849" s="868" t="s">
        <v>354</v>
      </c>
      <c r="I849" s="868" t="s">
        <v>310</v>
      </c>
      <c r="J849" s="868" t="s">
        <v>638</v>
      </c>
      <c r="K849" s="868" t="s">
        <v>3073</v>
      </c>
      <c r="L849" s="870" t="s">
        <v>309</v>
      </c>
      <c r="M849" s="882" t="s">
        <v>1816</v>
      </c>
      <c r="N849" s="870" t="s">
        <v>3095</v>
      </c>
    </row>
    <row r="850" spans="1:14" hidden="1">
      <c r="A850" s="123">
        <v>29</v>
      </c>
      <c r="B850" s="866"/>
      <c r="C850" s="111" t="s">
        <v>3089</v>
      </c>
      <c r="D850" s="871"/>
      <c r="E850" s="871"/>
      <c r="F850" s="869"/>
      <c r="G850" s="869"/>
      <c r="H850" s="869"/>
      <c r="I850" s="869"/>
      <c r="J850" s="869"/>
      <c r="K850" s="869"/>
      <c r="L850" s="871"/>
      <c r="M850" s="884"/>
      <c r="N850" s="871"/>
    </row>
    <row r="851" spans="1:14" hidden="1">
      <c r="A851" s="123">
        <v>30</v>
      </c>
      <c r="B851" s="875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876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876"/>
      <c r="C853" s="148" t="s">
        <v>3106</v>
      </c>
      <c r="D853" s="870" t="s">
        <v>306</v>
      </c>
      <c r="E853" s="870" t="s">
        <v>322</v>
      </c>
      <c r="F853" s="870" t="s">
        <v>307</v>
      </c>
      <c r="G853" s="868" t="s">
        <v>3051</v>
      </c>
      <c r="H853" s="870" t="s">
        <v>1993</v>
      </c>
      <c r="I853" s="868" t="s">
        <v>3108</v>
      </c>
      <c r="J853" s="870" t="s">
        <v>664</v>
      </c>
      <c r="K853" s="148" t="s">
        <v>3109</v>
      </c>
      <c r="L853" s="870"/>
      <c r="M853" s="854" t="s">
        <v>3110</v>
      </c>
      <c r="N853" s="870" t="s">
        <v>665</v>
      </c>
    </row>
    <row r="854" spans="1:14" hidden="1">
      <c r="A854" s="123">
        <v>30</v>
      </c>
      <c r="B854" s="876"/>
      <c r="C854" s="148" t="s">
        <v>3107</v>
      </c>
      <c r="D854" s="871"/>
      <c r="E854" s="871"/>
      <c r="F854" s="871"/>
      <c r="G854" s="869"/>
      <c r="H854" s="871"/>
      <c r="I854" s="869"/>
      <c r="J854" s="871"/>
      <c r="K854" s="148" t="s">
        <v>655</v>
      </c>
      <c r="L854" s="871"/>
      <c r="M854" s="855"/>
      <c r="N854" s="871"/>
    </row>
    <row r="855" spans="1:14" hidden="1">
      <c r="A855" s="123">
        <v>30</v>
      </c>
      <c r="B855" s="877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864" t="s">
        <v>3116</v>
      </c>
      <c r="C856" s="878" t="s">
        <v>3117</v>
      </c>
      <c r="D856" s="870" t="s">
        <v>311</v>
      </c>
      <c r="E856" s="870" t="s">
        <v>320</v>
      </c>
      <c r="F856" s="868" t="s">
        <v>2601</v>
      </c>
      <c r="G856" s="868" t="s">
        <v>2749</v>
      </c>
      <c r="H856" s="868" t="s">
        <v>347</v>
      </c>
      <c r="I856" s="868" t="s">
        <v>3118</v>
      </c>
      <c r="J856" s="868" t="s">
        <v>638</v>
      </c>
      <c r="K856" s="868" t="s">
        <v>698</v>
      </c>
      <c r="L856" s="870" t="s">
        <v>309</v>
      </c>
      <c r="M856" s="854" t="s">
        <v>1810</v>
      </c>
      <c r="N856" s="148" t="s">
        <v>3119</v>
      </c>
    </row>
    <row r="857" spans="1:14" hidden="1">
      <c r="A857" s="123">
        <v>30</v>
      </c>
      <c r="B857" s="865"/>
      <c r="C857" s="879"/>
      <c r="D857" s="871"/>
      <c r="E857" s="871"/>
      <c r="F857" s="869"/>
      <c r="G857" s="869"/>
      <c r="H857" s="869"/>
      <c r="I857" s="869"/>
      <c r="J857" s="869"/>
      <c r="K857" s="869"/>
      <c r="L857" s="871"/>
      <c r="M857" s="855"/>
      <c r="N857" s="148" t="s">
        <v>3120</v>
      </c>
    </row>
    <row r="858" spans="1:14" ht="16.5" hidden="1" customHeight="1">
      <c r="A858" s="123">
        <v>30</v>
      </c>
      <c r="B858" s="865"/>
      <c r="C858" s="878" t="s">
        <v>3117</v>
      </c>
      <c r="D858" s="870" t="s">
        <v>311</v>
      </c>
      <c r="E858" s="870" t="s">
        <v>320</v>
      </c>
      <c r="F858" s="868" t="s">
        <v>709</v>
      </c>
      <c r="G858" s="149" t="s">
        <v>3121</v>
      </c>
      <c r="H858" s="868" t="s">
        <v>640</v>
      </c>
      <c r="I858" s="868" t="s">
        <v>3122</v>
      </c>
      <c r="J858" s="868"/>
      <c r="K858" s="868" t="s">
        <v>692</v>
      </c>
      <c r="L858" s="870" t="s">
        <v>309</v>
      </c>
      <c r="M858" s="854" t="s">
        <v>1535</v>
      </c>
      <c r="N858" s="870" t="s">
        <v>1772</v>
      </c>
    </row>
    <row r="859" spans="1:14" hidden="1">
      <c r="A859" s="123">
        <v>30</v>
      </c>
      <c r="B859" s="865"/>
      <c r="C859" s="879"/>
      <c r="D859" s="871"/>
      <c r="E859" s="871"/>
      <c r="F859" s="869"/>
      <c r="G859" s="149">
        <v>2651</v>
      </c>
      <c r="H859" s="869"/>
      <c r="I859" s="869"/>
      <c r="J859" s="869"/>
      <c r="K859" s="869"/>
      <c r="L859" s="871"/>
      <c r="M859" s="855"/>
      <c r="N859" s="871"/>
    </row>
    <row r="860" spans="1:14" hidden="1">
      <c r="A860" s="123">
        <v>30</v>
      </c>
      <c r="B860" s="865"/>
      <c r="C860" s="878" t="s">
        <v>3123</v>
      </c>
      <c r="D860" s="870" t="s">
        <v>311</v>
      </c>
      <c r="E860" s="870" t="s">
        <v>320</v>
      </c>
      <c r="F860" s="868" t="s">
        <v>720</v>
      </c>
      <c r="G860" s="868" t="s">
        <v>1756</v>
      </c>
      <c r="H860" s="868" t="s">
        <v>347</v>
      </c>
      <c r="I860" s="149" t="s">
        <v>3124</v>
      </c>
      <c r="J860" s="868"/>
      <c r="K860" s="868" t="s">
        <v>3126</v>
      </c>
      <c r="L860" s="870" t="s">
        <v>309</v>
      </c>
      <c r="M860" s="854" t="s">
        <v>1933</v>
      </c>
      <c r="N860" s="870" t="s">
        <v>1206</v>
      </c>
    </row>
    <row r="861" spans="1:14" hidden="1">
      <c r="A861" s="123">
        <v>30</v>
      </c>
      <c r="B861" s="865"/>
      <c r="C861" s="879"/>
      <c r="D861" s="871"/>
      <c r="E861" s="871"/>
      <c r="F861" s="869"/>
      <c r="G861" s="869"/>
      <c r="H861" s="869"/>
      <c r="I861" s="149" t="s">
        <v>3125</v>
      </c>
      <c r="J861" s="869"/>
      <c r="K861" s="869"/>
      <c r="L861" s="871"/>
      <c r="M861" s="855"/>
      <c r="N861" s="871"/>
    </row>
    <row r="862" spans="1:14" hidden="1">
      <c r="A862" s="123">
        <v>30</v>
      </c>
      <c r="B862" s="865"/>
      <c r="C862" s="111" t="s">
        <v>3127</v>
      </c>
      <c r="D862" s="870" t="s">
        <v>311</v>
      </c>
      <c r="E862" s="870" t="s">
        <v>320</v>
      </c>
      <c r="F862" s="868" t="s">
        <v>690</v>
      </c>
      <c r="G862" s="868" t="s">
        <v>3066</v>
      </c>
      <c r="H862" s="868" t="s">
        <v>354</v>
      </c>
      <c r="I862" s="868" t="s">
        <v>3129</v>
      </c>
      <c r="J862" s="868" t="s">
        <v>638</v>
      </c>
      <c r="K862" s="868" t="s">
        <v>655</v>
      </c>
      <c r="L862" s="870" t="s">
        <v>309</v>
      </c>
      <c r="M862" s="854" t="s">
        <v>1535</v>
      </c>
      <c r="N862" s="870" t="s">
        <v>1206</v>
      </c>
    </row>
    <row r="863" spans="1:14" hidden="1">
      <c r="A863" s="123">
        <v>30</v>
      </c>
      <c r="B863" s="865"/>
      <c r="C863" s="111" t="s">
        <v>3128</v>
      </c>
      <c r="D863" s="871"/>
      <c r="E863" s="871"/>
      <c r="F863" s="869"/>
      <c r="G863" s="869"/>
      <c r="H863" s="869"/>
      <c r="I863" s="869"/>
      <c r="J863" s="869"/>
      <c r="K863" s="869"/>
      <c r="L863" s="871"/>
      <c r="M863" s="855"/>
      <c r="N863" s="871"/>
    </row>
    <row r="864" spans="1:14" hidden="1">
      <c r="A864" s="123">
        <v>30</v>
      </c>
      <c r="B864" s="865"/>
      <c r="C864" s="111" t="s">
        <v>3130</v>
      </c>
      <c r="D864" s="870" t="s">
        <v>311</v>
      </c>
      <c r="E864" s="870" t="s">
        <v>320</v>
      </c>
      <c r="F864" s="868" t="s">
        <v>337</v>
      </c>
      <c r="G864" s="868" t="s">
        <v>3072</v>
      </c>
      <c r="H864" s="868" t="s">
        <v>354</v>
      </c>
      <c r="I864" s="868" t="s">
        <v>3131</v>
      </c>
      <c r="J864" s="868" t="s">
        <v>638</v>
      </c>
      <c r="K864" s="868" t="s">
        <v>713</v>
      </c>
      <c r="L864" s="870" t="s">
        <v>309</v>
      </c>
      <c r="M864" s="854" t="s">
        <v>1810</v>
      </c>
      <c r="N864" s="870" t="s">
        <v>1206</v>
      </c>
    </row>
    <row r="865" spans="1:14" hidden="1">
      <c r="A865" s="123">
        <v>30</v>
      </c>
      <c r="B865" s="865"/>
      <c r="C865" s="111" t="s">
        <v>3107</v>
      </c>
      <c r="D865" s="871"/>
      <c r="E865" s="871"/>
      <c r="F865" s="869"/>
      <c r="G865" s="869"/>
      <c r="H865" s="869"/>
      <c r="I865" s="869"/>
      <c r="J865" s="869"/>
      <c r="K865" s="869"/>
      <c r="L865" s="871"/>
      <c r="M865" s="855"/>
      <c r="N865" s="871"/>
    </row>
    <row r="866" spans="1:14" ht="25.5" hidden="1">
      <c r="A866" s="123">
        <v>30</v>
      </c>
      <c r="B866" s="86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865"/>
      <c r="C867" s="878" t="s">
        <v>3111</v>
      </c>
      <c r="D867" s="870" t="s">
        <v>311</v>
      </c>
      <c r="E867" s="870" t="s">
        <v>675</v>
      </c>
      <c r="F867" s="868" t="s">
        <v>660</v>
      </c>
      <c r="G867" s="868" t="s">
        <v>661</v>
      </c>
      <c r="H867" s="868" t="s">
        <v>662</v>
      </c>
      <c r="I867" s="149" t="s">
        <v>3134</v>
      </c>
      <c r="J867" s="868" t="s">
        <v>638</v>
      </c>
      <c r="K867" s="868" t="s">
        <v>731</v>
      </c>
      <c r="L867" s="870" t="s">
        <v>309</v>
      </c>
      <c r="M867" s="854" t="s">
        <v>1828</v>
      </c>
      <c r="N867" s="870" t="s">
        <v>3136</v>
      </c>
    </row>
    <row r="868" spans="1:14" hidden="1">
      <c r="A868" s="123">
        <v>30</v>
      </c>
      <c r="B868" s="866"/>
      <c r="C868" s="879"/>
      <c r="D868" s="871"/>
      <c r="E868" s="871"/>
      <c r="F868" s="869"/>
      <c r="G868" s="869"/>
      <c r="H868" s="869"/>
      <c r="I868" s="149" t="s">
        <v>3135</v>
      </c>
      <c r="J868" s="869"/>
      <c r="K868" s="869"/>
      <c r="L868" s="871"/>
      <c r="M868" s="855"/>
      <c r="N868" s="871"/>
    </row>
    <row r="869" spans="1:14" hidden="1">
      <c r="A869" s="123">
        <v>31</v>
      </c>
      <c r="B869" s="86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865"/>
      <c r="C870" s="148" t="s">
        <v>3140</v>
      </c>
      <c r="D870" s="870" t="s">
        <v>306</v>
      </c>
      <c r="E870" s="870" t="s">
        <v>322</v>
      </c>
      <c r="F870" s="870" t="s">
        <v>307</v>
      </c>
      <c r="G870" s="868">
        <v>1566</v>
      </c>
      <c r="H870" s="870" t="s">
        <v>1911</v>
      </c>
      <c r="I870" s="868" t="s">
        <v>3142</v>
      </c>
      <c r="J870" s="870" t="s">
        <v>664</v>
      </c>
      <c r="K870" s="870" t="s">
        <v>3143</v>
      </c>
      <c r="L870" s="870"/>
      <c r="M870" s="854" t="s">
        <v>3144</v>
      </c>
      <c r="N870" s="870" t="s">
        <v>665</v>
      </c>
    </row>
    <row r="871" spans="1:14" hidden="1">
      <c r="A871" s="123">
        <v>31</v>
      </c>
      <c r="B871" s="865"/>
      <c r="C871" s="148" t="s">
        <v>3141</v>
      </c>
      <c r="D871" s="871"/>
      <c r="E871" s="871"/>
      <c r="F871" s="871"/>
      <c r="G871" s="869"/>
      <c r="H871" s="871"/>
      <c r="I871" s="869"/>
      <c r="J871" s="871"/>
      <c r="K871" s="871"/>
      <c r="L871" s="871"/>
      <c r="M871" s="855"/>
      <c r="N871" s="871"/>
    </row>
    <row r="872" spans="1:14" hidden="1">
      <c r="A872" s="123">
        <v>31</v>
      </c>
      <c r="B872" s="86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865"/>
      <c r="C873" s="388" t="s">
        <v>3140</v>
      </c>
      <c r="D873" s="870" t="s">
        <v>306</v>
      </c>
      <c r="E873" s="870" t="s">
        <v>322</v>
      </c>
      <c r="F873" s="870" t="s">
        <v>307</v>
      </c>
      <c r="G873" s="868" t="s">
        <v>3147</v>
      </c>
      <c r="H873" s="870" t="s">
        <v>3148</v>
      </c>
      <c r="I873" s="868" t="s">
        <v>332</v>
      </c>
      <c r="J873" s="870" t="s">
        <v>1534</v>
      </c>
      <c r="K873" s="870" t="s">
        <v>1157</v>
      </c>
      <c r="L873" s="870"/>
      <c r="M873" s="854" t="s">
        <v>3149</v>
      </c>
      <c r="N873" s="870" t="s">
        <v>425</v>
      </c>
    </row>
    <row r="874" spans="1:14" hidden="1">
      <c r="A874" s="123">
        <v>31</v>
      </c>
      <c r="B874" s="866"/>
      <c r="C874" s="388" t="s">
        <v>3146</v>
      </c>
      <c r="D874" s="871"/>
      <c r="E874" s="871"/>
      <c r="F874" s="871"/>
      <c r="G874" s="869"/>
      <c r="H874" s="871"/>
      <c r="I874" s="869"/>
      <c r="J874" s="871"/>
      <c r="K874" s="871"/>
      <c r="L874" s="871"/>
      <c r="M874" s="855"/>
      <c r="N874" s="871"/>
    </row>
    <row r="875" spans="1:14" hidden="1">
      <c r="A875" s="123">
        <v>31</v>
      </c>
      <c r="B875" s="86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865"/>
      <c r="C876" s="870" t="s">
        <v>3128</v>
      </c>
      <c r="D876" s="870" t="s">
        <v>311</v>
      </c>
      <c r="E876" s="870" t="s">
        <v>675</v>
      </c>
      <c r="F876" s="868" t="s">
        <v>660</v>
      </c>
      <c r="G876" s="868" t="s">
        <v>661</v>
      </c>
      <c r="H876" s="868" t="s">
        <v>662</v>
      </c>
      <c r="I876" s="149" t="s">
        <v>3134</v>
      </c>
      <c r="J876" s="868"/>
      <c r="K876" s="868" t="s">
        <v>698</v>
      </c>
      <c r="L876" s="870" t="s">
        <v>309</v>
      </c>
      <c r="M876" s="854" t="s">
        <v>3139</v>
      </c>
      <c r="N876" s="870" t="s">
        <v>3152</v>
      </c>
    </row>
    <row r="877" spans="1:14" hidden="1">
      <c r="A877" s="123">
        <v>31</v>
      </c>
      <c r="B877" s="865"/>
      <c r="C877" s="871"/>
      <c r="D877" s="871"/>
      <c r="E877" s="871"/>
      <c r="F877" s="869"/>
      <c r="G877" s="869"/>
      <c r="H877" s="869"/>
      <c r="I877" s="149" t="s">
        <v>3135</v>
      </c>
      <c r="J877" s="869"/>
      <c r="K877" s="869"/>
      <c r="L877" s="871"/>
      <c r="M877" s="855"/>
      <c r="N877" s="871"/>
    </row>
    <row r="878" spans="1:14" ht="16.5" hidden="1" customHeight="1">
      <c r="A878" s="123">
        <v>31</v>
      </c>
      <c r="B878" s="865"/>
      <c r="C878" s="148" t="s">
        <v>3153</v>
      </c>
      <c r="D878" s="870" t="s">
        <v>311</v>
      </c>
      <c r="E878" s="870" t="s">
        <v>320</v>
      </c>
      <c r="F878" s="868" t="s">
        <v>3068</v>
      </c>
      <c r="G878" s="868" t="s">
        <v>1919</v>
      </c>
      <c r="H878" s="868" t="s">
        <v>3069</v>
      </c>
      <c r="I878" s="868" t="s">
        <v>3154</v>
      </c>
      <c r="J878" s="868"/>
      <c r="K878" s="868" t="s">
        <v>3155</v>
      </c>
      <c r="L878" s="870" t="s">
        <v>309</v>
      </c>
      <c r="M878" s="854" t="s">
        <v>3156</v>
      </c>
      <c r="N878" s="870" t="s">
        <v>3151</v>
      </c>
    </row>
    <row r="879" spans="1:14" hidden="1">
      <c r="A879" s="123">
        <v>31</v>
      </c>
      <c r="B879" s="865"/>
      <c r="C879" s="148" t="s">
        <v>3111</v>
      </c>
      <c r="D879" s="871"/>
      <c r="E879" s="871"/>
      <c r="F879" s="869"/>
      <c r="G879" s="869"/>
      <c r="H879" s="869"/>
      <c r="I879" s="869"/>
      <c r="J879" s="869"/>
      <c r="K879" s="869"/>
      <c r="L879" s="871"/>
      <c r="M879" s="855"/>
      <c r="N879" s="871"/>
    </row>
    <row r="880" spans="1:14" hidden="1">
      <c r="A880" s="123">
        <v>31</v>
      </c>
      <c r="B880" s="86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86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86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865"/>
      <c r="C883" s="111" t="s">
        <v>3166</v>
      </c>
      <c r="D883" s="870" t="s">
        <v>311</v>
      </c>
      <c r="E883" s="870" t="s">
        <v>320</v>
      </c>
      <c r="F883" s="868" t="s">
        <v>337</v>
      </c>
      <c r="G883" s="868" t="s">
        <v>3168</v>
      </c>
      <c r="H883" s="868" t="s">
        <v>3169</v>
      </c>
      <c r="I883" s="868" t="s">
        <v>3170</v>
      </c>
      <c r="J883" s="868" t="s">
        <v>3171</v>
      </c>
      <c r="K883" s="868" t="s">
        <v>3172</v>
      </c>
      <c r="L883" s="870" t="s">
        <v>309</v>
      </c>
      <c r="M883" s="854" t="s">
        <v>3173</v>
      </c>
      <c r="N883" s="870" t="s">
        <v>3136</v>
      </c>
    </row>
    <row r="884" spans="1:14" hidden="1">
      <c r="A884" s="123">
        <v>31</v>
      </c>
      <c r="B884" s="866"/>
      <c r="C884" s="111" t="s">
        <v>3167</v>
      </c>
      <c r="D884" s="871"/>
      <c r="E884" s="871"/>
      <c r="F884" s="869"/>
      <c r="G884" s="869"/>
      <c r="H884" s="869"/>
      <c r="I884" s="869"/>
      <c r="J884" s="869"/>
      <c r="K884" s="869"/>
      <c r="L884" s="871"/>
      <c r="M884" s="855"/>
      <c r="N884" s="871"/>
    </row>
    <row r="885" spans="1:14" ht="27" hidden="1">
      <c r="A885" s="123">
        <v>32</v>
      </c>
      <c r="B885" s="846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847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847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848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846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847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847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848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846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847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848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846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847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848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872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873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873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874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872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873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873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873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873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873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873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874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872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873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873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873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873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874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872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873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873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873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873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873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873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873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873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874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84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84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84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84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84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84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84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4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84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84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84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84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84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84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84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84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84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84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84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84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4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84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84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84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84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84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84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84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84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84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84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84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4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84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84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84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84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84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84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84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84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84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84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84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4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84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84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84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84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84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84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84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84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84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84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4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84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84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84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84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84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84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84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84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84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84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84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84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84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84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84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84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84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84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4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4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84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84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84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84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84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84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84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84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84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84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84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84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84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4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84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84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84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84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84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84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84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84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84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84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84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84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84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84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4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84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84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84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84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84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84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84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84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84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84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84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84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84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84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84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84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84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84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84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84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84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84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84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84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4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84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84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84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84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84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84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84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84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84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84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84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84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84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84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4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84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84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84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84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84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84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84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84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84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84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84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84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84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84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84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4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84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84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84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84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84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84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84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84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84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84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84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84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84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84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84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84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84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84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84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84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4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84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84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84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84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84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84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84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84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84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84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84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84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4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84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84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84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4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84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84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84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84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84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84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84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84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84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84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84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84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84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84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4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4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84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84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4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84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84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4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84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84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84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84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84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84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84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84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84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84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84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84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84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84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84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84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4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84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84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84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84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84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84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84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84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84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84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84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84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84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4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84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84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84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84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84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4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84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84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4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84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850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850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850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850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850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850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850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850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850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850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850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850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850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850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850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50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850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850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850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850"/>
      <c r="C1208" s="851" t="s">
        <v>5007</v>
      </c>
      <c r="D1208" s="852" t="s">
        <v>311</v>
      </c>
      <c r="E1208" s="852" t="s">
        <v>675</v>
      </c>
      <c r="F1208" s="851" t="s">
        <v>337</v>
      </c>
      <c r="G1208" s="851" t="s">
        <v>353</v>
      </c>
      <c r="H1208" s="851" t="s">
        <v>5008</v>
      </c>
      <c r="I1208" s="476" t="s">
        <v>5009</v>
      </c>
      <c r="J1208" s="851" t="s">
        <v>638</v>
      </c>
      <c r="K1208" s="851" t="s">
        <v>713</v>
      </c>
      <c r="L1208" s="852" t="s">
        <v>309</v>
      </c>
      <c r="M1208" s="853">
        <v>250000</v>
      </c>
      <c r="N1208" s="852" t="s">
        <v>4990</v>
      </c>
    </row>
    <row r="1209" spans="1:14" hidden="1">
      <c r="A1209" s="123">
        <v>2</v>
      </c>
      <c r="B1209" s="850"/>
      <c r="C1209" s="851"/>
      <c r="D1209" s="852"/>
      <c r="E1209" s="852"/>
      <c r="F1209" s="851"/>
      <c r="G1209" s="851"/>
      <c r="H1209" s="851"/>
      <c r="I1209" s="476" t="s">
        <v>5010</v>
      </c>
      <c r="J1209" s="851"/>
      <c r="K1209" s="851"/>
      <c r="L1209" s="852"/>
      <c r="M1209" s="853"/>
      <c r="N1209" s="852"/>
    </row>
    <row r="1210" spans="1:14" hidden="1">
      <c r="A1210" s="123">
        <v>2</v>
      </c>
      <c r="B1210" s="850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850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850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850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850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850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850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850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850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850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850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850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850"/>
      <c r="C1222" s="851" t="s">
        <v>5033</v>
      </c>
      <c r="D1222" s="852" t="s">
        <v>311</v>
      </c>
      <c r="E1222" s="852" t="s">
        <v>675</v>
      </c>
      <c r="F1222" s="149" t="s">
        <v>5034</v>
      </c>
      <c r="G1222" s="149" t="s">
        <v>5036</v>
      </c>
      <c r="H1222" s="851" t="s">
        <v>347</v>
      </c>
      <c r="I1222" s="149" t="s">
        <v>5038</v>
      </c>
      <c r="J1222" s="851"/>
      <c r="K1222" s="851" t="s">
        <v>705</v>
      </c>
      <c r="L1222" s="852" t="s">
        <v>309</v>
      </c>
      <c r="M1222" s="853">
        <v>500000</v>
      </c>
      <c r="N1222" s="852" t="s">
        <v>5032</v>
      </c>
    </row>
    <row r="1223" spans="1:14" hidden="1">
      <c r="A1223" s="123">
        <v>3</v>
      </c>
      <c r="B1223" s="850"/>
      <c r="C1223" s="851"/>
      <c r="D1223" s="852"/>
      <c r="E1223" s="852"/>
      <c r="F1223" s="149" t="s">
        <v>5035</v>
      </c>
      <c r="G1223" s="149" t="s">
        <v>5037</v>
      </c>
      <c r="H1223" s="851"/>
      <c r="I1223" s="149" t="s">
        <v>5039</v>
      </c>
      <c r="J1223" s="851"/>
      <c r="K1223" s="851"/>
      <c r="L1223" s="852"/>
      <c r="M1223" s="853"/>
      <c r="N1223" s="852"/>
    </row>
    <row r="1224" spans="1:14" hidden="1">
      <c r="A1224" s="123">
        <v>3</v>
      </c>
      <c r="B1224" s="850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850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850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850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850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850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850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850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850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850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850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850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850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850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850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850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850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850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850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850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850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850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850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850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850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850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850"/>
      <c r="C1250" s="851" t="s">
        <v>5098</v>
      </c>
      <c r="D1250" s="852" t="s">
        <v>311</v>
      </c>
      <c r="E1250" s="852" t="s">
        <v>675</v>
      </c>
      <c r="F1250" s="852" t="s">
        <v>4986</v>
      </c>
      <c r="G1250" s="852">
        <v>1017</v>
      </c>
      <c r="H1250" s="852" t="s">
        <v>347</v>
      </c>
      <c r="I1250" s="149" t="s">
        <v>5099</v>
      </c>
      <c r="J1250" s="851"/>
      <c r="K1250" s="851" t="s">
        <v>692</v>
      </c>
      <c r="L1250" s="852" t="s">
        <v>309</v>
      </c>
      <c r="M1250" s="853">
        <v>500000</v>
      </c>
      <c r="N1250" s="852" t="s">
        <v>5032</v>
      </c>
    </row>
    <row r="1251" spans="1:14" hidden="1">
      <c r="A1251" s="123">
        <v>5</v>
      </c>
      <c r="B1251" s="850"/>
      <c r="C1251" s="851"/>
      <c r="D1251" s="852"/>
      <c r="E1251" s="852"/>
      <c r="F1251" s="852"/>
      <c r="G1251" s="852"/>
      <c r="H1251" s="852"/>
      <c r="I1251" s="149" t="s">
        <v>5100</v>
      </c>
      <c r="J1251" s="851"/>
      <c r="K1251" s="851"/>
      <c r="L1251" s="852"/>
      <c r="M1251" s="853"/>
      <c r="N1251" s="852"/>
    </row>
    <row r="1252" spans="1:14" hidden="1">
      <c r="A1252" s="123">
        <v>5</v>
      </c>
      <c r="B1252" s="850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850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850"/>
      <c r="C1254" s="851" t="s">
        <v>5103</v>
      </c>
      <c r="D1254" s="852" t="s">
        <v>311</v>
      </c>
      <c r="E1254" s="852" t="s">
        <v>675</v>
      </c>
      <c r="F1254" s="851" t="s">
        <v>5070</v>
      </c>
      <c r="G1254" s="851">
        <v>3006</v>
      </c>
      <c r="H1254" s="851" t="s">
        <v>347</v>
      </c>
      <c r="I1254" s="476" t="s">
        <v>5104</v>
      </c>
      <c r="J1254" s="851"/>
      <c r="K1254" s="851" t="s">
        <v>705</v>
      </c>
      <c r="L1254" s="852" t="s">
        <v>309</v>
      </c>
      <c r="M1254" s="853">
        <v>500000</v>
      </c>
      <c r="N1254" s="852" t="s">
        <v>5032</v>
      </c>
    </row>
    <row r="1255" spans="1:14" hidden="1">
      <c r="A1255" s="123">
        <v>5</v>
      </c>
      <c r="B1255" s="850"/>
      <c r="C1255" s="851"/>
      <c r="D1255" s="852"/>
      <c r="E1255" s="852"/>
      <c r="F1255" s="851"/>
      <c r="G1255" s="851"/>
      <c r="H1255" s="851"/>
      <c r="I1255" s="476" t="s">
        <v>5105</v>
      </c>
      <c r="J1255" s="851"/>
      <c r="K1255" s="851"/>
      <c r="L1255" s="852"/>
      <c r="M1255" s="853"/>
      <c r="N1255" s="852"/>
    </row>
    <row r="1256" spans="1:14" hidden="1">
      <c r="A1256" s="123">
        <v>5</v>
      </c>
      <c r="B1256" s="850"/>
      <c r="C1256" s="851" t="s">
        <v>5103</v>
      </c>
      <c r="D1256" s="852" t="s">
        <v>311</v>
      </c>
      <c r="E1256" s="852" t="s">
        <v>675</v>
      </c>
      <c r="F1256" s="851" t="s">
        <v>5070</v>
      </c>
      <c r="G1256" s="851">
        <v>3006</v>
      </c>
      <c r="H1256" s="851" t="s">
        <v>347</v>
      </c>
      <c r="I1256" s="476" t="s">
        <v>5104</v>
      </c>
      <c r="J1256" s="851"/>
      <c r="K1256" s="851" t="s">
        <v>4936</v>
      </c>
      <c r="L1256" s="852" t="s">
        <v>309</v>
      </c>
      <c r="M1256" s="853">
        <v>600000</v>
      </c>
      <c r="N1256" s="852" t="s">
        <v>5032</v>
      </c>
    </row>
    <row r="1257" spans="1:14" hidden="1">
      <c r="A1257" s="123">
        <v>5</v>
      </c>
      <c r="B1257" s="850"/>
      <c r="C1257" s="851"/>
      <c r="D1257" s="852"/>
      <c r="E1257" s="852"/>
      <c r="F1257" s="851"/>
      <c r="G1257" s="851"/>
      <c r="H1257" s="851"/>
      <c r="I1257" s="476" t="s">
        <v>5105</v>
      </c>
      <c r="J1257" s="851"/>
      <c r="K1257" s="851"/>
      <c r="L1257" s="852"/>
      <c r="M1257" s="853"/>
      <c r="N1257" s="852"/>
    </row>
    <row r="1258" spans="1:14" hidden="1">
      <c r="A1258" s="123">
        <v>5</v>
      </c>
      <c r="B1258" s="850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850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850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850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850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850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850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850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850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850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850"/>
      <c r="C1268" s="851" t="s">
        <v>5122</v>
      </c>
      <c r="D1268" s="852" t="s">
        <v>311</v>
      </c>
      <c r="E1268" s="852" t="s">
        <v>675</v>
      </c>
      <c r="F1268" s="149" t="s">
        <v>5123</v>
      </c>
      <c r="G1268" s="475" t="s">
        <v>5125</v>
      </c>
      <c r="H1268" s="389" t="s">
        <v>347</v>
      </c>
      <c r="I1268" s="851" t="s">
        <v>5128</v>
      </c>
      <c r="J1268" s="851" t="s">
        <v>638</v>
      </c>
      <c r="K1268" s="851" t="s">
        <v>692</v>
      </c>
      <c r="L1268" s="852" t="s">
        <v>309</v>
      </c>
      <c r="M1268" s="853">
        <v>500000</v>
      </c>
      <c r="N1268" s="852" t="s">
        <v>1772</v>
      </c>
    </row>
    <row r="1269" spans="1:14" hidden="1">
      <c r="A1269" s="123">
        <v>6</v>
      </c>
      <c r="B1269" s="850"/>
      <c r="C1269" s="851"/>
      <c r="D1269" s="852"/>
      <c r="E1269" s="852"/>
      <c r="F1269" s="149" t="s">
        <v>5124</v>
      </c>
      <c r="G1269" s="475" t="s">
        <v>5126</v>
      </c>
      <c r="H1269" s="389" t="s">
        <v>5127</v>
      </c>
      <c r="I1269" s="851"/>
      <c r="J1269" s="851"/>
      <c r="K1269" s="851"/>
      <c r="L1269" s="852"/>
      <c r="M1269" s="853"/>
      <c r="N1269" s="852"/>
    </row>
    <row r="1270" spans="1:14" ht="24" hidden="1">
      <c r="A1270" s="123">
        <v>6</v>
      </c>
      <c r="B1270" s="850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850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850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850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850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850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850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850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850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850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850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850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850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850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850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850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850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850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850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850"/>
      <c r="C1289" s="1003" t="s">
        <v>5158</v>
      </c>
      <c r="D1289" s="1004" t="s">
        <v>311</v>
      </c>
      <c r="E1289" s="1004" t="s">
        <v>675</v>
      </c>
      <c r="F1289" s="506" t="s">
        <v>5123</v>
      </c>
      <c r="G1289" s="507" t="s">
        <v>5125</v>
      </c>
      <c r="H1289" s="507" t="s">
        <v>347</v>
      </c>
      <c r="I1289" s="1003" t="s">
        <v>5128</v>
      </c>
      <c r="J1289" s="1003"/>
      <c r="K1289" s="1003" t="s">
        <v>692</v>
      </c>
      <c r="L1289" s="1004" t="s">
        <v>309</v>
      </c>
      <c r="M1289" s="1005">
        <v>500000</v>
      </c>
      <c r="N1289" s="852" t="s">
        <v>5032</v>
      </c>
    </row>
    <row r="1290" spans="1:14" ht="19.5" hidden="1">
      <c r="A1290" s="123">
        <v>8</v>
      </c>
      <c r="B1290" s="850"/>
      <c r="C1290" s="851"/>
      <c r="D1290" s="852"/>
      <c r="E1290" s="852"/>
      <c r="F1290" s="149" t="s">
        <v>5124</v>
      </c>
      <c r="G1290" s="475" t="s">
        <v>5126</v>
      </c>
      <c r="H1290" s="477" t="s">
        <v>5127</v>
      </c>
      <c r="I1290" s="851"/>
      <c r="J1290" s="851"/>
      <c r="K1290" s="851"/>
      <c r="L1290" s="852"/>
      <c r="M1290" s="853"/>
      <c r="N1290" s="852"/>
    </row>
    <row r="1291" spans="1:14" hidden="1">
      <c r="A1291" s="123">
        <v>8</v>
      </c>
      <c r="B1291" s="850"/>
      <c r="C1291" s="1003" t="s">
        <v>5159</v>
      </c>
      <c r="D1291" s="1004" t="s">
        <v>311</v>
      </c>
      <c r="E1291" s="1004" t="s">
        <v>320</v>
      </c>
      <c r="F1291" s="1006" t="s">
        <v>709</v>
      </c>
      <c r="G1291" s="1003" t="s">
        <v>3098</v>
      </c>
      <c r="H1291" s="1003" t="s">
        <v>3099</v>
      </c>
      <c r="I1291" s="506" t="s">
        <v>5312</v>
      </c>
      <c r="J1291" s="1003" t="s">
        <v>638</v>
      </c>
      <c r="K1291" s="1003" t="s">
        <v>713</v>
      </c>
      <c r="L1291" s="1004" t="s">
        <v>309</v>
      </c>
      <c r="M1291" s="1005">
        <v>250000</v>
      </c>
      <c r="N1291" s="852" t="s">
        <v>5032</v>
      </c>
    </row>
    <row r="1292" spans="1:14" hidden="1">
      <c r="A1292" s="123">
        <v>8</v>
      </c>
      <c r="B1292" s="850"/>
      <c r="C1292" s="851"/>
      <c r="D1292" s="852"/>
      <c r="E1292" s="852"/>
      <c r="F1292" s="1007"/>
      <c r="G1292" s="851"/>
      <c r="H1292" s="851"/>
      <c r="I1292" s="149" t="s">
        <v>5160</v>
      </c>
      <c r="J1292" s="851"/>
      <c r="K1292" s="851"/>
      <c r="L1292" s="852"/>
      <c r="M1292" s="853"/>
      <c r="N1292" s="852"/>
    </row>
    <row r="1293" spans="1:14" hidden="1">
      <c r="A1293" s="123">
        <v>8</v>
      </c>
      <c r="B1293" s="850"/>
      <c r="C1293" s="1003" t="s">
        <v>5161</v>
      </c>
      <c r="D1293" s="1004" t="s">
        <v>311</v>
      </c>
      <c r="E1293" s="1004" t="s">
        <v>320</v>
      </c>
      <c r="F1293" s="1003" t="s">
        <v>337</v>
      </c>
      <c r="G1293" s="1003" t="s">
        <v>3168</v>
      </c>
      <c r="H1293" s="1003" t="s">
        <v>3057</v>
      </c>
      <c r="I1293" s="506" t="s">
        <v>5313</v>
      </c>
      <c r="J1293" s="1003" t="s">
        <v>638</v>
      </c>
      <c r="K1293" s="1003" t="s">
        <v>692</v>
      </c>
      <c r="L1293" s="1004" t="s">
        <v>309</v>
      </c>
      <c r="M1293" s="1005">
        <v>500000</v>
      </c>
      <c r="N1293" s="852" t="s">
        <v>1206</v>
      </c>
    </row>
    <row r="1294" spans="1:14" hidden="1">
      <c r="A1294" s="123">
        <v>8</v>
      </c>
      <c r="B1294" s="850"/>
      <c r="C1294" s="851"/>
      <c r="D1294" s="852"/>
      <c r="E1294" s="852"/>
      <c r="F1294" s="851"/>
      <c r="G1294" s="851"/>
      <c r="H1294" s="851"/>
      <c r="I1294" s="149" t="s">
        <v>5162</v>
      </c>
      <c r="J1294" s="851"/>
      <c r="K1294" s="851"/>
      <c r="L1294" s="852"/>
      <c r="M1294" s="853"/>
      <c r="N1294" s="852"/>
    </row>
    <row r="1295" spans="1:14" hidden="1">
      <c r="A1295" s="123">
        <v>9</v>
      </c>
      <c r="B1295" s="850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850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850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850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850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850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850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850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850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850"/>
      <c r="C1304" s="1003" t="s">
        <v>5175</v>
      </c>
      <c r="D1304" s="1004" t="s">
        <v>311</v>
      </c>
      <c r="E1304" s="1004" t="s">
        <v>320</v>
      </c>
      <c r="F1304" s="1003" t="s">
        <v>337</v>
      </c>
      <c r="G1304" s="1003" t="s">
        <v>3168</v>
      </c>
      <c r="H1304" s="1003" t="s">
        <v>3057</v>
      </c>
      <c r="I1304" s="510" t="s">
        <v>5176</v>
      </c>
      <c r="J1304" s="1003" t="s">
        <v>638</v>
      </c>
      <c r="K1304" s="1003" t="s">
        <v>713</v>
      </c>
      <c r="L1304" s="1004" t="s">
        <v>309</v>
      </c>
      <c r="M1304" s="1005">
        <v>250000</v>
      </c>
      <c r="N1304" s="852" t="s">
        <v>5032</v>
      </c>
    </row>
    <row r="1305" spans="1:14" hidden="1">
      <c r="A1305" s="123">
        <v>9</v>
      </c>
      <c r="B1305" s="850"/>
      <c r="C1305" s="851"/>
      <c r="D1305" s="852"/>
      <c r="E1305" s="852"/>
      <c r="F1305" s="851"/>
      <c r="G1305" s="851"/>
      <c r="H1305" s="851"/>
      <c r="I1305" s="476" t="s">
        <v>5177</v>
      </c>
      <c r="J1305" s="851"/>
      <c r="K1305" s="851"/>
      <c r="L1305" s="852"/>
      <c r="M1305" s="853"/>
      <c r="N1305" s="852"/>
    </row>
    <row r="1306" spans="1:14" hidden="1">
      <c r="A1306" s="123">
        <v>9</v>
      </c>
      <c r="B1306" s="850"/>
      <c r="C1306" s="1003" t="s">
        <v>5175</v>
      </c>
      <c r="D1306" s="1004" t="s">
        <v>311</v>
      </c>
      <c r="E1306" s="1004" t="s">
        <v>320</v>
      </c>
      <c r="F1306" s="1003" t="s">
        <v>5178</v>
      </c>
      <c r="G1306" s="506" t="s">
        <v>689</v>
      </c>
      <c r="H1306" s="1003" t="s">
        <v>5180</v>
      </c>
      <c r="I1306" s="506" t="s">
        <v>5315</v>
      </c>
      <c r="J1306" s="1003"/>
      <c r="K1306" s="1003" t="s">
        <v>713</v>
      </c>
      <c r="L1306" s="1004" t="s">
        <v>309</v>
      </c>
      <c r="M1306" s="1005">
        <v>250000</v>
      </c>
      <c r="N1306" s="852" t="s">
        <v>5032</v>
      </c>
    </row>
    <row r="1307" spans="1:14" hidden="1">
      <c r="A1307" s="123">
        <v>9</v>
      </c>
      <c r="B1307" s="850"/>
      <c r="C1307" s="851"/>
      <c r="D1307" s="852"/>
      <c r="E1307" s="852"/>
      <c r="F1307" s="851"/>
      <c r="G1307" s="149" t="s">
        <v>5179</v>
      </c>
      <c r="H1307" s="851"/>
      <c r="I1307" s="149" t="s">
        <v>5181</v>
      </c>
      <c r="J1307" s="851"/>
      <c r="K1307" s="851"/>
      <c r="L1307" s="852"/>
      <c r="M1307" s="853"/>
      <c r="N1307" s="852"/>
    </row>
    <row r="1308" spans="1:14" hidden="1">
      <c r="A1308" s="123">
        <v>9</v>
      </c>
      <c r="B1308" s="850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850"/>
      <c r="C1309" s="1003" t="s">
        <v>5183</v>
      </c>
      <c r="D1309" s="1004" t="s">
        <v>311</v>
      </c>
      <c r="E1309" s="1004" t="s">
        <v>320</v>
      </c>
      <c r="F1309" s="1003" t="s">
        <v>337</v>
      </c>
      <c r="G1309" s="506" t="s">
        <v>3401</v>
      </c>
      <c r="H1309" s="1003" t="s">
        <v>5029</v>
      </c>
      <c r="I1309" s="1003" t="s">
        <v>5316</v>
      </c>
      <c r="J1309" s="1003"/>
      <c r="K1309" s="1003" t="s">
        <v>692</v>
      </c>
      <c r="L1309" s="1004" t="s">
        <v>309</v>
      </c>
      <c r="M1309" s="1005">
        <v>500000</v>
      </c>
      <c r="N1309" s="852" t="s">
        <v>5032</v>
      </c>
    </row>
    <row r="1310" spans="1:14" hidden="1">
      <c r="A1310" s="123">
        <v>9</v>
      </c>
      <c r="B1310" s="850"/>
      <c r="C1310" s="851"/>
      <c r="D1310" s="852"/>
      <c r="E1310" s="852"/>
      <c r="F1310" s="851"/>
      <c r="G1310" s="149" t="s">
        <v>5184</v>
      </c>
      <c r="H1310" s="851"/>
      <c r="I1310" s="851"/>
      <c r="J1310" s="851"/>
      <c r="K1310" s="851"/>
      <c r="L1310" s="852"/>
      <c r="M1310" s="853"/>
      <c r="N1310" s="852"/>
    </row>
    <row r="1311" spans="1:14" ht="24" hidden="1">
      <c r="A1311" s="123">
        <v>9</v>
      </c>
      <c r="B1311" s="850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850"/>
      <c r="C1312" s="1003" t="s">
        <v>5187</v>
      </c>
      <c r="D1312" s="1004" t="s">
        <v>311</v>
      </c>
      <c r="E1312" s="1004" t="s">
        <v>675</v>
      </c>
      <c r="F1312" s="1003" t="s">
        <v>5188</v>
      </c>
      <c r="G1312" s="507" t="s">
        <v>1919</v>
      </c>
      <c r="H1312" s="1003" t="s">
        <v>347</v>
      </c>
      <c r="I1312" s="1003" t="s">
        <v>5319</v>
      </c>
      <c r="J1312" s="1003"/>
      <c r="K1312" s="1003" t="s">
        <v>692</v>
      </c>
      <c r="L1312" s="1004" t="s">
        <v>309</v>
      </c>
      <c r="M1312" s="1008">
        <v>500000</v>
      </c>
      <c r="N1312" s="852" t="s">
        <v>1925</v>
      </c>
    </row>
    <row r="1313" spans="1:14" hidden="1">
      <c r="A1313" s="123">
        <v>9</v>
      </c>
      <c r="B1313" s="850"/>
      <c r="C1313" s="851"/>
      <c r="D1313" s="852"/>
      <c r="E1313" s="852"/>
      <c r="F1313" s="851"/>
      <c r="G1313" s="475" t="s">
        <v>5189</v>
      </c>
      <c r="H1313" s="851"/>
      <c r="I1313" s="851"/>
      <c r="J1313" s="851"/>
      <c r="K1313" s="851"/>
      <c r="L1313" s="852"/>
      <c r="M1313" s="1009"/>
      <c r="N1313" s="852"/>
    </row>
    <row r="1314" spans="1:14" hidden="1">
      <c r="A1314" s="123">
        <v>10</v>
      </c>
      <c r="B1314" s="850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850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850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850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850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850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850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850"/>
      <c r="C1321" s="851" t="s">
        <v>5201</v>
      </c>
      <c r="D1321" s="852" t="s">
        <v>311</v>
      </c>
      <c r="E1321" s="852" t="s">
        <v>320</v>
      </c>
      <c r="F1321" s="851" t="s">
        <v>337</v>
      </c>
      <c r="G1321" s="851" t="s">
        <v>3168</v>
      </c>
      <c r="H1321" s="851" t="s">
        <v>3057</v>
      </c>
      <c r="I1321" s="476" t="s">
        <v>5176</v>
      </c>
      <c r="J1321" s="851" t="s">
        <v>638</v>
      </c>
      <c r="K1321" s="851" t="s">
        <v>705</v>
      </c>
      <c r="L1321" s="852" t="s">
        <v>309</v>
      </c>
      <c r="M1321" s="853">
        <v>500000</v>
      </c>
      <c r="N1321" s="852" t="s">
        <v>1206</v>
      </c>
    </row>
    <row r="1322" spans="1:14" hidden="1">
      <c r="A1322" s="123">
        <v>10</v>
      </c>
      <c r="B1322" s="850"/>
      <c r="C1322" s="851"/>
      <c r="D1322" s="852"/>
      <c r="E1322" s="852"/>
      <c r="F1322" s="851"/>
      <c r="G1322" s="851"/>
      <c r="H1322" s="851"/>
      <c r="I1322" s="476" t="s">
        <v>5177</v>
      </c>
      <c r="J1322" s="851"/>
      <c r="K1322" s="851"/>
      <c r="L1322" s="852"/>
      <c r="M1322" s="853"/>
      <c r="N1322" s="852"/>
    </row>
    <row r="1323" spans="1:14" hidden="1">
      <c r="A1323" s="123">
        <v>10</v>
      </c>
      <c r="B1323" s="850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850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850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850"/>
      <c r="C1326" s="851" t="s">
        <v>5202</v>
      </c>
      <c r="D1326" s="852" t="s">
        <v>311</v>
      </c>
      <c r="E1326" s="852" t="s">
        <v>320</v>
      </c>
      <c r="F1326" s="851" t="s">
        <v>337</v>
      </c>
      <c r="G1326" s="851" t="s">
        <v>3168</v>
      </c>
      <c r="H1326" s="851" t="s">
        <v>3057</v>
      </c>
      <c r="I1326" s="476" t="s">
        <v>5176</v>
      </c>
      <c r="J1326" s="851"/>
      <c r="K1326" s="851" t="s">
        <v>705</v>
      </c>
      <c r="L1326" s="852" t="s">
        <v>309</v>
      </c>
      <c r="M1326" s="853">
        <v>500000</v>
      </c>
      <c r="N1326" s="852" t="s">
        <v>1206</v>
      </c>
    </row>
    <row r="1327" spans="1:14" hidden="1">
      <c r="A1327" s="123">
        <v>10</v>
      </c>
      <c r="B1327" s="850"/>
      <c r="C1327" s="851"/>
      <c r="D1327" s="852"/>
      <c r="E1327" s="852"/>
      <c r="F1327" s="851"/>
      <c r="G1327" s="851"/>
      <c r="H1327" s="851"/>
      <c r="I1327" s="476" t="s">
        <v>5177</v>
      </c>
      <c r="J1327" s="851"/>
      <c r="K1327" s="851"/>
      <c r="L1327" s="852"/>
      <c r="M1327" s="853"/>
      <c r="N1327" s="852"/>
    </row>
    <row r="1328" spans="1:14" ht="25.5" hidden="1">
      <c r="A1328" s="123">
        <v>10</v>
      </c>
      <c r="B1328" s="850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850"/>
      <c r="C1329" s="1003" t="s">
        <v>5209</v>
      </c>
      <c r="D1329" s="1004" t="s">
        <v>311</v>
      </c>
      <c r="E1329" s="1004" t="s">
        <v>675</v>
      </c>
      <c r="F1329" s="506" t="s">
        <v>5210</v>
      </c>
      <c r="G1329" s="1003" t="s">
        <v>5212</v>
      </c>
      <c r="H1329" s="1003" t="s">
        <v>662</v>
      </c>
      <c r="I1329" s="1003" t="s">
        <v>5321</v>
      </c>
      <c r="J1329" s="1003" t="s">
        <v>638</v>
      </c>
      <c r="K1329" s="1003" t="s">
        <v>713</v>
      </c>
      <c r="L1329" s="1004" t="s">
        <v>309</v>
      </c>
      <c r="M1329" s="1005">
        <v>250000</v>
      </c>
      <c r="N1329" s="852" t="s">
        <v>5032</v>
      </c>
    </row>
    <row r="1330" spans="1:14" hidden="1">
      <c r="A1330" s="123">
        <v>10</v>
      </c>
      <c r="B1330" s="850"/>
      <c r="C1330" s="851"/>
      <c r="D1330" s="852"/>
      <c r="E1330" s="852"/>
      <c r="F1330" s="149" t="s">
        <v>5211</v>
      </c>
      <c r="G1330" s="851"/>
      <c r="H1330" s="851"/>
      <c r="I1330" s="851"/>
      <c r="J1330" s="851"/>
      <c r="K1330" s="851"/>
      <c r="L1330" s="852"/>
      <c r="M1330" s="853"/>
      <c r="N1330" s="852"/>
    </row>
    <row r="1331" spans="1:14" hidden="1">
      <c r="A1331" s="123">
        <v>10</v>
      </c>
      <c r="B1331" s="850"/>
      <c r="C1331" s="1003" t="s">
        <v>5213</v>
      </c>
      <c r="D1331" s="1004" t="s">
        <v>311</v>
      </c>
      <c r="E1331" s="1004" t="s">
        <v>675</v>
      </c>
      <c r="F1331" s="1003" t="s">
        <v>5214</v>
      </c>
      <c r="G1331" s="507" t="s">
        <v>5126</v>
      </c>
      <c r="H1331" s="1015" t="s">
        <v>347</v>
      </c>
      <c r="I1331" s="506" t="s">
        <v>5322</v>
      </c>
      <c r="J1331" s="1003"/>
      <c r="K1331" s="1003" t="s">
        <v>692</v>
      </c>
      <c r="L1331" s="1004" t="s">
        <v>309</v>
      </c>
      <c r="M1331" s="1005">
        <v>500000</v>
      </c>
      <c r="N1331" s="852" t="s">
        <v>5032</v>
      </c>
    </row>
    <row r="1332" spans="1:14" hidden="1">
      <c r="A1332" s="123">
        <v>10</v>
      </c>
      <c r="B1332" s="850"/>
      <c r="C1332" s="851"/>
      <c r="D1332" s="852"/>
      <c r="E1332" s="852"/>
      <c r="F1332" s="851"/>
      <c r="G1332" s="475" t="s">
        <v>5215</v>
      </c>
      <c r="H1332" s="1016"/>
      <c r="I1332" s="149" t="s">
        <v>5217</v>
      </c>
      <c r="J1332" s="851"/>
      <c r="K1332" s="851"/>
      <c r="L1332" s="852"/>
      <c r="M1332" s="853"/>
      <c r="N1332" s="852"/>
    </row>
    <row r="1333" spans="1:14" hidden="1">
      <c r="A1333" s="123">
        <v>11</v>
      </c>
      <c r="B1333" s="850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850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850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850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850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850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850" t="s">
        <v>5163</v>
      </c>
      <c r="C1339" s="1015" t="s">
        <v>5218</v>
      </c>
      <c r="D1339" s="1017" t="s">
        <v>311</v>
      </c>
      <c r="E1339" s="1017" t="s">
        <v>675</v>
      </c>
      <c r="F1339" s="1015" t="s">
        <v>5214</v>
      </c>
      <c r="G1339" s="510" t="s">
        <v>5126</v>
      </c>
      <c r="H1339" s="1015" t="s">
        <v>347</v>
      </c>
      <c r="I1339" s="510" t="s">
        <v>5216</v>
      </c>
      <c r="J1339" s="1015"/>
      <c r="K1339" s="1015" t="s">
        <v>692</v>
      </c>
      <c r="L1339" s="1017" t="s">
        <v>309</v>
      </c>
      <c r="M1339" s="1018">
        <v>500000</v>
      </c>
      <c r="N1339" s="1016" t="s">
        <v>5225</v>
      </c>
    </row>
    <row r="1340" spans="1:14" hidden="1">
      <c r="A1340" s="123">
        <v>11</v>
      </c>
      <c r="B1340" s="850"/>
      <c r="C1340" s="1016"/>
      <c r="D1340" s="1013"/>
      <c r="E1340" s="1013"/>
      <c r="F1340" s="1016"/>
      <c r="G1340" s="476" t="s">
        <v>5215</v>
      </c>
      <c r="H1340" s="1016"/>
      <c r="I1340" s="476" t="s">
        <v>5217</v>
      </c>
      <c r="J1340" s="1016"/>
      <c r="K1340" s="1016"/>
      <c r="L1340" s="1013"/>
      <c r="M1340" s="1019"/>
      <c r="N1340" s="1016"/>
    </row>
    <row r="1341" spans="1:14">
      <c r="A1341" s="123">
        <v>11</v>
      </c>
      <c r="B1341" s="850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850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850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850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850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850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850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850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850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850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850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850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850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850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850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850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850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850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850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850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 hidden="1">
      <c r="A1361" s="123">
        <v>13</v>
      </c>
      <c r="B1361" s="850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850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850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850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850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850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850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850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1011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1013" t="s">
        <v>5443</v>
      </c>
    </row>
    <row r="1370" spans="1:14" hidden="1">
      <c r="A1370" s="123">
        <v>14</v>
      </c>
      <c r="B1370" s="1012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1013"/>
    </row>
    <row r="1371" spans="1:14" hidden="1">
      <c r="A1371" s="123">
        <v>14</v>
      </c>
      <c r="B1371" s="1012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1012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1012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1012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1012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1012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1014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1014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1014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1014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1014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1014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84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84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84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84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84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84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84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84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84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84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84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84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84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84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84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84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84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84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84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84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4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4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850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hidden="1">
      <c r="A1406" s="123">
        <v>17</v>
      </c>
      <c r="B1406" s="850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hidden="1">
      <c r="A1407" s="123">
        <v>17</v>
      </c>
      <c r="B1407" s="850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 hidden="1">
      <c r="A1408" s="123">
        <v>17</v>
      </c>
      <c r="B1408" s="850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850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86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86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6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6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hidden="1">
      <c r="A1415" s="123">
        <v>18</v>
      </c>
      <c r="B1415" s="850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 hidden="1">
      <c r="A1416" s="123">
        <v>18</v>
      </c>
      <c r="B1416" s="850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 hidden="1">
      <c r="A1417" s="123">
        <v>18</v>
      </c>
      <c r="B1417" s="850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hidden="1">
      <c r="A1418" s="123">
        <v>18</v>
      </c>
      <c r="B1418" s="850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850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850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850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50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50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850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123">
        <v>19</v>
      </c>
      <c r="B1425" s="867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 hidden="1">
      <c r="A1426" s="123">
        <v>19</v>
      </c>
      <c r="B1426" s="867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 hidden="1">
      <c r="A1427" s="123">
        <v>19</v>
      </c>
      <c r="B1427" s="867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 hidden="1">
      <c r="A1428" s="123">
        <v>19</v>
      </c>
      <c r="B1428" s="867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 hidden="1">
      <c r="A1429" s="123">
        <v>19</v>
      </c>
      <c r="B1429" s="867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 hidden="1">
      <c r="A1430" s="123">
        <v>19</v>
      </c>
      <c r="B1430" s="867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 hidden="1">
      <c r="A1431" s="123">
        <v>19</v>
      </c>
      <c r="B1431" s="867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 hidden="1">
      <c r="A1432" s="123">
        <v>19</v>
      </c>
      <c r="B1432" s="867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 hidden="1">
      <c r="A1433" s="694">
        <v>20</v>
      </c>
      <c r="B1433" s="86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 hidden="1">
      <c r="A1434" s="694">
        <v>20</v>
      </c>
      <c r="B1434" s="86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 hidden="1">
      <c r="A1435" s="694">
        <v>20</v>
      </c>
      <c r="B1435" s="86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 hidden="1">
      <c r="A1436" s="694">
        <v>20</v>
      </c>
      <c r="B1436" s="86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 hidden="1">
      <c r="A1437" s="694">
        <v>20</v>
      </c>
      <c r="B1437" s="86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 hidden="1">
      <c r="A1438" s="694">
        <v>20</v>
      </c>
      <c r="B1438" s="86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 hidden="1">
      <c r="A1439" s="694">
        <v>20</v>
      </c>
      <c r="B1439" s="865"/>
      <c r="C1439" s="842" t="s">
        <v>5860</v>
      </c>
      <c r="D1439" s="843" t="s">
        <v>311</v>
      </c>
      <c r="E1439" s="843" t="s">
        <v>320</v>
      </c>
      <c r="F1439" s="844" t="s">
        <v>5188</v>
      </c>
      <c r="G1439" s="658" t="s">
        <v>1919</v>
      </c>
      <c r="H1439" s="844" t="s">
        <v>347</v>
      </c>
      <c r="I1439" s="844" t="s">
        <v>5870</v>
      </c>
      <c r="J1439" s="844"/>
      <c r="K1439" s="844" t="s">
        <v>692</v>
      </c>
      <c r="L1439" s="843" t="s">
        <v>309</v>
      </c>
      <c r="M1439" s="845">
        <v>500000</v>
      </c>
      <c r="N1439" s="856"/>
    </row>
    <row r="1440" spans="1:14" hidden="1">
      <c r="A1440" s="694">
        <v>20</v>
      </c>
      <c r="B1440" s="865"/>
      <c r="C1440" s="842"/>
      <c r="D1440" s="843"/>
      <c r="E1440" s="843"/>
      <c r="F1440" s="844"/>
      <c r="G1440" s="658" t="s">
        <v>5189</v>
      </c>
      <c r="H1440" s="844"/>
      <c r="I1440" s="844"/>
      <c r="J1440" s="844"/>
      <c r="K1440" s="844"/>
      <c r="L1440" s="843"/>
      <c r="M1440" s="845"/>
      <c r="N1440" s="856"/>
    </row>
    <row r="1441" spans="1:14" ht="24" hidden="1">
      <c r="A1441" s="694">
        <v>20</v>
      </c>
      <c r="B1441" s="86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 hidden="1">
      <c r="A1442" s="694">
        <v>21</v>
      </c>
      <c r="B1442" s="823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 hidden="1">
      <c r="A1443" s="694">
        <v>21</v>
      </c>
      <c r="B1443" s="823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 hidden="1">
      <c r="A1444" s="694">
        <v>21</v>
      </c>
      <c r="B1444" s="823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 hidden="1">
      <c r="A1445" s="694">
        <v>21</v>
      </c>
      <c r="B1445" s="823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 hidden="1">
      <c r="A1446" s="694">
        <v>21</v>
      </c>
      <c r="B1446" s="823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 hidden="1">
      <c r="A1447" s="694">
        <v>21</v>
      </c>
      <c r="B1447" s="823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 hidden="1">
      <c r="A1448" s="696">
        <v>21</v>
      </c>
      <c r="B1448" s="823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 hidden="1">
      <c r="A1449" s="696">
        <v>21</v>
      </c>
      <c r="B1449" s="823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 hidden="1">
      <c r="A1450" s="696">
        <v>21</v>
      </c>
      <c r="B1450" s="823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23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23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 hidden="1">
      <c r="A1453" s="696">
        <v>22</v>
      </c>
      <c r="B1453" s="824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857" t="s">
        <v>5942</v>
      </c>
    </row>
    <row r="1454" spans="1:14" hidden="1">
      <c r="A1454" s="696">
        <v>22</v>
      </c>
      <c r="B1454" s="825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858"/>
    </row>
    <row r="1455" spans="1:14" hidden="1">
      <c r="A1455" s="696">
        <v>22</v>
      </c>
      <c r="B1455" s="825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 hidden="1">
      <c r="A1456" s="696">
        <v>22</v>
      </c>
      <c r="B1456" s="825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 hidden="1">
      <c r="A1457" s="696">
        <v>22</v>
      </c>
      <c r="B1457" s="825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 hidden="1">
      <c r="A1458" s="696">
        <v>22</v>
      </c>
      <c r="B1458" s="825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824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860" t="s">
        <v>3274</v>
      </c>
      <c r="K1459" s="860" t="s">
        <v>3454</v>
      </c>
      <c r="L1459" s="646" t="s">
        <v>3265</v>
      </c>
      <c r="M1459" s="828">
        <v>250000</v>
      </c>
      <c r="N1459" s="693" t="s">
        <v>5964</v>
      </c>
    </row>
    <row r="1460" spans="1:14" hidden="1">
      <c r="A1460" s="696">
        <v>22</v>
      </c>
      <c r="B1460" s="825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861"/>
      <c r="K1460" s="861"/>
      <c r="L1460" s="646" t="s">
        <v>3265</v>
      </c>
      <c r="M1460" s="829"/>
      <c r="N1460" s="693" t="s">
        <v>5965</v>
      </c>
    </row>
    <row r="1461" spans="1:14" hidden="1">
      <c r="A1461" s="696">
        <v>22</v>
      </c>
      <c r="B1461" s="825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825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 hidden="1">
      <c r="A1463" s="696">
        <v>22</v>
      </c>
      <c r="B1463" s="825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 hidden="1">
      <c r="A1464" s="696">
        <v>22</v>
      </c>
      <c r="B1464" s="825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862" t="s">
        <v>5920</v>
      </c>
      <c r="L1464" s="646" t="s">
        <v>15</v>
      </c>
      <c r="M1464" s="828">
        <v>500000</v>
      </c>
      <c r="N1464" s="693" t="s">
        <v>5969</v>
      </c>
    </row>
    <row r="1465" spans="1:14" hidden="1">
      <c r="A1465" s="696">
        <v>22</v>
      </c>
      <c r="B1465" s="859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863"/>
      <c r="L1465" s="646" t="s">
        <v>15</v>
      </c>
      <c r="M1465" s="829"/>
      <c r="N1465" s="693" t="s">
        <v>5970</v>
      </c>
    </row>
    <row r="1466" spans="1:14" hidden="1">
      <c r="A1466" s="694">
        <v>23</v>
      </c>
      <c r="B1466" s="823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 hidden="1">
      <c r="A1467" s="694">
        <v>23</v>
      </c>
      <c r="B1467" s="823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 hidden="1">
      <c r="A1468" s="694">
        <v>23</v>
      </c>
      <c r="B1468" s="823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 hidden="1">
      <c r="A1469" s="694">
        <v>23</v>
      </c>
      <c r="B1469" s="823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 hidden="1">
      <c r="A1470" s="694">
        <v>23</v>
      </c>
      <c r="B1470" s="823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 hidden="1">
      <c r="A1471" s="694">
        <v>23</v>
      </c>
      <c r="B1471" s="823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 hidden="1">
      <c r="A1472" s="694">
        <v>23</v>
      </c>
      <c r="B1472" s="823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 hidden="1">
      <c r="A1473" s="694">
        <v>23</v>
      </c>
      <c r="B1473" s="823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23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836" t="s">
        <v>90</v>
      </c>
      <c r="K1474" s="836" t="s">
        <v>6007</v>
      </c>
      <c r="L1474" s="136" t="s">
        <v>15</v>
      </c>
      <c r="M1474" s="837">
        <v>250000</v>
      </c>
      <c r="N1474" s="646"/>
    </row>
    <row r="1475" spans="1:14" ht="27" hidden="1">
      <c r="A1475" s="694">
        <v>23</v>
      </c>
      <c r="B1475" s="823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836"/>
      <c r="K1475" s="836"/>
      <c r="L1475" s="136" t="s">
        <v>15</v>
      </c>
      <c r="M1475" s="837"/>
      <c r="N1475" s="646"/>
    </row>
    <row r="1476" spans="1:14" hidden="1">
      <c r="A1476" s="694">
        <v>23</v>
      </c>
      <c r="B1476" s="823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 hidden="1">
      <c r="A1477" s="694">
        <v>23</v>
      </c>
      <c r="B1477" s="823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 hidden="1">
      <c r="A1478" s="694">
        <v>23</v>
      </c>
      <c r="B1478" s="823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 hidden="1">
      <c r="A1479" s="694">
        <v>23</v>
      </c>
      <c r="B1479" s="823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 hidden="1">
      <c r="A1480" s="694">
        <v>23</v>
      </c>
      <c r="B1480" s="823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 hidden="1">
      <c r="A1481" s="694">
        <v>23</v>
      </c>
      <c r="B1481" s="823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 hidden="1">
      <c r="A1482" s="694">
        <v>23</v>
      </c>
      <c r="B1482" s="823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 hidden="1">
      <c r="A1483" s="694">
        <v>23</v>
      </c>
      <c r="B1483" s="823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 hidden="1">
      <c r="A1484" s="694">
        <v>23</v>
      </c>
      <c r="B1484" s="823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 hidden="1">
      <c r="A1485" s="694">
        <v>23</v>
      </c>
      <c r="B1485" s="823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 hidden="1">
      <c r="A1486" s="694">
        <v>24</v>
      </c>
      <c r="B1486" s="823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 hidden="1">
      <c r="A1487" s="694">
        <v>24</v>
      </c>
      <c r="B1487" s="823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 hidden="1">
      <c r="A1488" s="694">
        <v>24</v>
      </c>
      <c r="B1488" s="823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 hidden="1">
      <c r="A1489" s="694">
        <v>24</v>
      </c>
      <c r="B1489" s="823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 hidden="1">
      <c r="A1490" s="694">
        <v>24</v>
      </c>
      <c r="B1490" s="823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 hidden="1">
      <c r="A1491" s="694">
        <v>24</v>
      </c>
      <c r="B1491" s="823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 hidden="1">
      <c r="A1492" s="694">
        <v>24</v>
      </c>
      <c r="B1492" s="823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 hidden="1">
      <c r="A1493" s="694">
        <v>24</v>
      </c>
      <c r="B1493" s="823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 hidden="1">
      <c r="A1494" s="694">
        <v>24</v>
      </c>
      <c r="B1494" s="823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 hidden="1">
      <c r="A1495" s="694">
        <v>24</v>
      </c>
      <c r="B1495" s="823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 hidden="1">
      <c r="A1496" s="694">
        <v>24</v>
      </c>
      <c r="B1496" s="823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 hidden="1">
      <c r="A1497" s="694">
        <v>24</v>
      </c>
      <c r="B1497" s="823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23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23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 hidden="1">
      <c r="A1500" s="694">
        <v>24</v>
      </c>
      <c r="B1500" s="823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 hidden="1">
      <c r="A1501" s="694">
        <v>24</v>
      </c>
      <c r="B1501" s="823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 hidden="1">
      <c r="A1502" s="694">
        <v>24</v>
      </c>
      <c r="B1502" s="823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 hidden="1">
      <c r="A1503" s="694">
        <v>24</v>
      </c>
      <c r="B1503" s="823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 hidden="1">
      <c r="A1504" s="694">
        <v>24</v>
      </c>
      <c r="B1504" s="823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23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23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 hidden="1">
      <c r="A1507" s="694">
        <v>24</v>
      </c>
      <c r="B1507" s="823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 hidden="1">
      <c r="A1508" s="694">
        <v>24</v>
      </c>
      <c r="B1508" s="823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834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835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835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 hidden="1">
      <c r="A1512" s="694">
        <v>25</v>
      </c>
      <c r="B1512" s="835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 hidden="1">
      <c r="A1513" s="694">
        <v>25</v>
      </c>
      <c r="B1513" s="83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 hidden="1">
      <c r="A1514" s="694">
        <v>25</v>
      </c>
      <c r="B1514" s="83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 hidden="1">
      <c r="A1515" s="694">
        <v>25</v>
      </c>
      <c r="B1515" s="83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 hidden="1">
      <c r="A1516" s="694">
        <v>25</v>
      </c>
      <c r="B1516" s="83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 hidden="1">
      <c r="A1517" s="694">
        <v>25</v>
      </c>
      <c r="B1517" s="83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 hidden="1">
      <c r="A1518" s="694">
        <v>25</v>
      </c>
      <c r="B1518" s="83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 hidden="1">
      <c r="A1519" s="694">
        <v>25</v>
      </c>
      <c r="B1519" s="835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 hidden="1">
      <c r="A1520" s="694">
        <v>25</v>
      </c>
      <c r="B1520" s="835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 hidden="1">
      <c r="A1521" s="694">
        <v>25</v>
      </c>
      <c r="B1521" s="835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 hidden="1">
      <c r="A1522" s="694">
        <v>25</v>
      </c>
      <c r="B1522" s="835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 hidden="1">
      <c r="A1523" s="694">
        <v>25</v>
      </c>
      <c r="B1523" s="835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835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835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 hidden="1">
      <c r="A1526" s="694">
        <v>25</v>
      </c>
      <c r="B1526" s="835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 hidden="1">
      <c r="A1527" s="694">
        <v>26</v>
      </c>
      <c r="B1527" s="834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 hidden="1">
      <c r="A1528" s="694">
        <v>26</v>
      </c>
      <c r="B1528" s="835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 hidden="1">
      <c r="A1529" s="694">
        <v>26</v>
      </c>
      <c r="B1529" s="835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 hidden="1">
      <c r="A1530" s="694">
        <v>26</v>
      </c>
      <c r="B1530" s="835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 hidden="1">
      <c r="A1531" s="694">
        <v>26</v>
      </c>
      <c r="B1531" s="835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 hidden="1">
      <c r="A1532" s="694">
        <v>26</v>
      </c>
      <c r="B1532" s="835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 hidden="1">
      <c r="A1533" s="694">
        <v>26</v>
      </c>
      <c r="B1533" s="823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 hidden="1">
      <c r="A1534" s="694">
        <v>26</v>
      </c>
      <c r="B1534" s="823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 hidden="1">
      <c r="A1535" s="694">
        <v>26</v>
      </c>
      <c r="B1535" s="823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 hidden="1">
      <c r="A1536" s="694">
        <v>26</v>
      </c>
      <c r="B1536" s="823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 hidden="1">
      <c r="A1537" s="694">
        <v>26</v>
      </c>
      <c r="B1537" s="823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 hidden="1">
      <c r="A1538" s="694">
        <v>26</v>
      </c>
      <c r="B1538" s="823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23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23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 hidden="1">
      <c r="A1541" s="696">
        <v>27</v>
      </c>
      <c r="B1541" s="823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 hidden="1">
      <c r="A1542" s="696">
        <v>27</v>
      </c>
      <c r="B1542" s="823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 hidden="1">
      <c r="A1543" s="696">
        <v>27</v>
      </c>
      <c r="B1543" s="823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 hidden="1">
      <c r="A1544" s="696">
        <v>27</v>
      </c>
      <c r="B1544" s="823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 hidden="1">
      <c r="A1545" s="696">
        <v>27</v>
      </c>
      <c r="B1545" s="823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 hidden="1">
      <c r="A1546" s="696">
        <v>27</v>
      </c>
      <c r="B1546" s="823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 hidden="1">
      <c r="A1547" s="696">
        <v>27</v>
      </c>
      <c r="B1547" s="823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23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 hidden="1">
      <c r="A1549" s="696">
        <v>27</v>
      </c>
      <c r="B1549" s="823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 hidden="1">
      <c r="A1550" s="696">
        <v>27</v>
      </c>
      <c r="B1550" s="823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 hidden="1">
      <c r="A1551" s="696">
        <v>27</v>
      </c>
      <c r="B1551" s="823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 hidden="1">
      <c r="A1552" s="696">
        <v>27</v>
      </c>
      <c r="B1552" s="823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 hidden="1">
      <c r="A1553" s="696">
        <v>27</v>
      </c>
      <c r="B1553" s="823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840" t="s">
        <v>6410</v>
      </c>
      <c r="L1553" s="632" t="s">
        <v>6349</v>
      </c>
      <c r="M1553" s="828">
        <v>250000</v>
      </c>
      <c r="N1553" s="693" t="s">
        <v>6437</v>
      </c>
    </row>
    <row r="1554" spans="1:14" hidden="1">
      <c r="A1554" s="696">
        <v>27</v>
      </c>
      <c r="B1554" s="823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841"/>
      <c r="L1554" s="632" t="s">
        <v>15</v>
      </c>
      <c r="M1554" s="829"/>
      <c r="N1554" s="693" t="s">
        <v>6438</v>
      </c>
    </row>
    <row r="1555" spans="1:14">
      <c r="A1555" s="696">
        <v>27</v>
      </c>
      <c r="B1555" s="823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 hidden="1">
      <c r="A1556" s="696">
        <v>27</v>
      </c>
      <c r="B1556" s="823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 hidden="1">
      <c r="A1557" s="694">
        <v>28</v>
      </c>
      <c r="B1557" s="834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 hidden="1">
      <c r="A1558" s="694">
        <v>28</v>
      </c>
      <c r="B1558" s="835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 hidden="1">
      <c r="A1559" s="694">
        <v>28</v>
      </c>
      <c r="B1559" s="835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 hidden="1">
      <c r="A1560" s="694">
        <v>28</v>
      </c>
      <c r="B1560" s="835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 hidden="1">
      <c r="A1561" s="694">
        <v>28</v>
      </c>
      <c r="B1561" s="83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83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 hidden="1">
      <c r="A1563" s="694">
        <v>28</v>
      </c>
      <c r="B1563" s="83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826" t="s">
        <v>686</v>
      </c>
      <c r="L1563" s="125" t="s">
        <v>15</v>
      </c>
      <c r="M1563" s="828">
        <v>250000</v>
      </c>
      <c r="N1563" s="693" t="s">
        <v>393</v>
      </c>
    </row>
    <row r="1564" spans="1:14" hidden="1">
      <c r="A1564" s="694">
        <v>28</v>
      </c>
      <c r="B1564" s="83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838"/>
      <c r="L1564" s="125" t="s">
        <v>15</v>
      </c>
      <c r="M1564" s="839"/>
      <c r="N1564" s="693" t="s">
        <v>128</v>
      </c>
    </row>
    <row r="1565" spans="1:14" ht="27" hidden="1">
      <c r="A1565" s="694">
        <v>28</v>
      </c>
      <c r="B1565" s="83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827"/>
      <c r="L1565" s="125" t="s">
        <v>15</v>
      </c>
      <c r="M1565" s="829"/>
      <c r="N1565" s="693" t="s">
        <v>393</v>
      </c>
    </row>
    <row r="1566" spans="1:14" hidden="1">
      <c r="A1566" s="694">
        <v>28</v>
      </c>
      <c r="B1566" s="83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 hidden="1">
      <c r="A1567" s="694">
        <v>28</v>
      </c>
      <c r="B1567" s="83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 hidden="1">
      <c r="A1568" s="694">
        <v>28</v>
      </c>
      <c r="B1568" s="83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83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 hidden="1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 hidden="1">
      <c r="A1571" s="694">
        <v>29</v>
      </c>
      <c r="B1571" s="824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826" t="s">
        <v>1113</v>
      </c>
      <c r="L1571" s="125" t="s">
        <v>15</v>
      </c>
      <c r="M1571" s="828">
        <v>750000</v>
      </c>
      <c r="N1571" s="830" t="s">
        <v>6608</v>
      </c>
    </row>
    <row r="1572" spans="1:14" hidden="1">
      <c r="A1572" s="694">
        <v>29</v>
      </c>
      <c r="B1572" s="825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827"/>
      <c r="L1572" s="125" t="s">
        <v>15</v>
      </c>
      <c r="M1572" s="829"/>
      <c r="N1572" s="831"/>
    </row>
    <row r="1573" spans="1:14" ht="27" hidden="1">
      <c r="A1573" s="694">
        <v>29</v>
      </c>
      <c r="B1573" s="825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 hidden="1">
      <c r="A1574" s="694">
        <v>29</v>
      </c>
      <c r="B1574" s="825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 hidden="1">
      <c r="A1575" s="694">
        <v>29</v>
      </c>
      <c r="B1575" s="825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 hidden="1">
      <c r="A1576" s="694">
        <v>29</v>
      </c>
      <c r="B1576" s="825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832" t="s">
        <v>41</v>
      </c>
      <c r="L1576" s="136" t="s">
        <v>15</v>
      </c>
      <c r="M1576" s="828">
        <v>250000</v>
      </c>
      <c r="N1576" s="646" t="s">
        <v>6615</v>
      </c>
    </row>
    <row r="1577" spans="1:14" hidden="1">
      <c r="A1577" s="694">
        <v>29</v>
      </c>
      <c r="B1577" s="825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833"/>
      <c r="L1577" s="136" t="s">
        <v>15</v>
      </c>
      <c r="M1577" s="829"/>
      <c r="N1577" s="646" t="s">
        <v>6616</v>
      </c>
    </row>
    <row r="1578" spans="1:14" hidden="1">
      <c r="A1578" s="694">
        <v>29</v>
      </c>
      <c r="B1578" s="825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825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 hidden="1">
      <c r="A1580" s="694">
        <v>29</v>
      </c>
      <c r="B1580" s="825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 hidden="1">
      <c r="A1581" s="694">
        <v>29</v>
      </c>
      <c r="B1581" s="825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826" t="s">
        <v>686</v>
      </c>
      <c r="L1581" s="125" t="s">
        <v>15</v>
      </c>
      <c r="M1581" s="828">
        <v>250000</v>
      </c>
      <c r="N1581" s="646" t="s">
        <v>6737</v>
      </c>
    </row>
    <row r="1582" spans="1:14" hidden="1">
      <c r="A1582" s="694">
        <v>29</v>
      </c>
      <c r="B1582" s="825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827"/>
      <c r="L1582" s="125" t="s">
        <v>15</v>
      </c>
      <c r="M1582" s="829"/>
      <c r="N1582" s="646" t="s">
        <v>6620</v>
      </c>
    </row>
    <row r="1583" spans="1:14" hidden="1">
      <c r="A1583" s="694">
        <v>29</v>
      </c>
      <c r="B1583" s="825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826" t="s">
        <v>686</v>
      </c>
      <c r="L1583" s="125" t="s">
        <v>15</v>
      </c>
      <c r="M1583" s="828">
        <v>250000</v>
      </c>
      <c r="N1583" s="646" t="s">
        <v>6737</v>
      </c>
    </row>
    <row r="1584" spans="1:14" hidden="1">
      <c r="A1584" s="694">
        <v>29</v>
      </c>
      <c r="B1584" s="825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827"/>
      <c r="L1584" s="125" t="s">
        <v>15</v>
      </c>
      <c r="M1584" s="829"/>
      <c r="N1584" s="646" t="s">
        <v>6621</v>
      </c>
    </row>
    <row r="1585" spans="1:14" hidden="1">
      <c r="A1585" s="694">
        <v>30</v>
      </c>
      <c r="B1585" s="823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 hidden="1">
      <c r="A1586" s="694">
        <v>30</v>
      </c>
      <c r="B1586" s="823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 hidden="1">
      <c r="A1587" s="694">
        <v>30</v>
      </c>
      <c r="B1587" s="823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 hidden="1">
      <c r="A1588" s="694">
        <v>30</v>
      </c>
      <c r="B1588" s="823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 hidden="1">
      <c r="A1589" s="694">
        <v>30</v>
      </c>
      <c r="B1589" s="823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23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23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 hidden="1">
      <c r="A1592" s="694">
        <v>30</v>
      </c>
      <c r="B1592" s="823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 hidden="1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 hidden="1">
      <c r="A1594" s="694">
        <v>31</v>
      </c>
      <c r="B1594" s="823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30" t="s">
        <v>6721</v>
      </c>
    </row>
    <row r="1595" spans="1:14" hidden="1">
      <c r="A1595" s="694">
        <v>31</v>
      </c>
      <c r="B1595" s="823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10"/>
    </row>
    <row r="1596" spans="1:14" hidden="1">
      <c r="A1596" s="694">
        <v>31</v>
      </c>
      <c r="B1596" s="823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10"/>
    </row>
    <row r="1597" spans="1:14" hidden="1">
      <c r="A1597" s="694">
        <v>31</v>
      </c>
      <c r="B1597" s="823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10"/>
    </row>
    <row r="1598" spans="1:14" hidden="1">
      <c r="A1598" s="694">
        <v>31</v>
      </c>
      <c r="B1598" s="823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31"/>
    </row>
    <row r="1599" spans="1:14" hidden="1">
      <c r="A1599" s="694">
        <v>31</v>
      </c>
      <c r="B1599" s="823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 hidden="1">
      <c r="A1600" s="694">
        <v>32</v>
      </c>
      <c r="B1600" s="823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 hidden="1">
      <c r="A1601" s="694">
        <v>32</v>
      </c>
      <c r="B1601" s="823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 hidden="1">
      <c r="A1602" s="694">
        <v>32</v>
      </c>
      <c r="B1602" s="823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 hidden="1">
      <c r="A1603" s="694">
        <v>32</v>
      </c>
      <c r="B1603" s="823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 hidden="1">
      <c r="A1604" s="694">
        <v>32</v>
      </c>
      <c r="B1604" s="823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 hidden="1">
      <c r="A1605" s="694">
        <v>32</v>
      </c>
      <c r="B1605" s="823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23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23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 hidden="1">
      <c r="A1608" s="694">
        <v>32</v>
      </c>
      <c r="B1608" s="823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 hidden="1">
      <c r="A1609" s="694">
        <v>32</v>
      </c>
      <c r="B1609" s="823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 hidden="1">
      <c r="A1610" s="694">
        <v>32</v>
      </c>
      <c r="B1610" s="823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 hidden="1">
      <c r="A1611" s="694">
        <v>33</v>
      </c>
      <c r="B1611" s="823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 hidden="1">
      <c r="A1612" s="694">
        <v>33</v>
      </c>
      <c r="B1612" s="823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 hidden="1">
      <c r="A1613" s="694">
        <v>33</v>
      </c>
      <c r="B1613" s="823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 hidden="1">
      <c r="A1614" s="694">
        <v>33</v>
      </c>
      <c r="B1614" s="823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23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23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 hidden="1">
      <c r="A1617" s="694">
        <v>33</v>
      </c>
      <c r="B1617" s="823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23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 hidden="1">
      <c r="A1619" s="694">
        <v>33</v>
      </c>
      <c r="B1619" s="823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23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 hidden="1">
      <c r="A1621" s="694">
        <v>33</v>
      </c>
      <c r="B1621" s="823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 hidden="1">
      <c r="A1622" s="812">
        <v>34</v>
      </c>
      <c r="B1622" s="823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4">
        <v>7065</v>
      </c>
      <c r="H1622" s="794" t="s">
        <v>6889</v>
      </c>
      <c r="I1622" s="797" t="s">
        <v>3020</v>
      </c>
      <c r="J1622" s="633" t="s">
        <v>168</v>
      </c>
      <c r="K1622" s="797" t="s">
        <v>3035</v>
      </c>
      <c r="L1622" s="703" t="s">
        <v>209</v>
      </c>
      <c r="M1622" s="795">
        <f>250000*5</f>
        <v>1250000</v>
      </c>
      <c r="N1622" s="646"/>
    </row>
    <row r="1623" spans="1:14" ht="27" hidden="1">
      <c r="A1623" s="812">
        <v>34</v>
      </c>
      <c r="B1623" s="823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4">
        <v>2688</v>
      </c>
      <c r="H1623" s="794" t="s">
        <v>18</v>
      </c>
      <c r="I1623" s="797" t="s">
        <v>6890</v>
      </c>
      <c r="J1623" s="633" t="s">
        <v>168</v>
      </c>
      <c r="K1623" s="797" t="s">
        <v>3004</v>
      </c>
      <c r="L1623" s="703" t="s">
        <v>4875</v>
      </c>
      <c r="M1623" s="795">
        <f>250000*3</f>
        <v>750000</v>
      </c>
      <c r="N1623" s="646"/>
    </row>
    <row r="1624" spans="1:14" ht="27" hidden="1">
      <c r="A1624" s="812">
        <v>34</v>
      </c>
      <c r="B1624" s="823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4">
        <v>7062</v>
      </c>
      <c r="H1624" s="794" t="s">
        <v>143</v>
      </c>
      <c r="I1624" s="797" t="s">
        <v>1105</v>
      </c>
      <c r="J1624" s="633" t="s">
        <v>1259</v>
      </c>
      <c r="K1624" s="797" t="s">
        <v>3716</v>
      </c>
      <c r="L1624" s="703" t="s">
        <v>209</v>
      </c>
      <c r="M1624" s="795">
        <f>250000*4</f>
        <v>1000000</v>
      </c>
      <c r="N1624" s="646"/>
    </row>
    <row r="1625" spans="1:14" hidden="1">
      <c r="A1625" s="812">
        <v>34</v>
      </c>
      <c r="B1625" s="823" t="s">
        <v>21</v>
      </c>
      <c r="C1625" s="369">
        <v>46258</v>
      </c>
      <c r="D1625" s="4" t="s">
        <v>21</v>
      </c>
      <c r="E1625" s="4" t="s">
        <v>70</v>
      </c>
      <c r="F1625" s="793" t="s">
        <v>78</v>
      </c>
      <c r="G1625" s="793" t="s">
        <v>3833</v>
      </c>
      <c r="H1625" s="16" t="s">
        <v>207</v>
      </c>
      <c r="I1625" s="799" t="s">
        <v>6878</v>
      </c>
      <c r="J1625" s="793" t="s">
        <v>202</v>
      </c>
      <c r="K1625" s="793" t="s">
        <v>6880</v>
      </c>
      <c r="L1625" s="125" t="s">
        <v>15</v>
      </c>
      <c r="M1625" s="757">
        <v>300000</v>
      </c>
      <c r="N1625" s="646" t="s">
        <v>127</v>
      </c>
    </row>
    <row r="1626" spans="1:14" ht="27">
      <c r="A1626" s="812">
        <v>34</v>
      </c>
      <c r="B1626" s="823"/>
      <c r="C1626" s="369">
        <v>46258</v>
      </c>
      <c r="D1626" s="4" t="s">
        <v>21</v>
      </c>
      <c r="E1626" s="4" t="s">
        <v>14</v>
      </c>
      <c r="F1626" s="793" t="s">
        <v>211</v>
      </c>
      <c r="G1626" s="793" t="s">
        <v>2916</v>
      </c>
      <c r="H1626" s="16" t="s">
        <v>2917</v>
      </c>
      <c r="I1626" s="799" t="s">
        <v>6887</v>
      </c>
      <c r="J1626" s="793" t="s">
        <v>6520</v>
      </c>
      <c r="K1626" s="793" t="s">
        <v>2838</v>
      </c>
      <c r="L1626" s="125" t="s">
        <v>15</v>
      </c>
      <c r="M1626" s="757">
        <v>500000</v>
      </c>
      <c r="N1626" s="646" t="s">
        <v>583</v>
      </c>
    </row>
    <row r="1627" spans="1:14" hidden="1">
      <c r="A1627" s="812">
        <v>34</v>
      </c>
      <c r="B1627" s="823"/>
      <c r="C1627" s="369">
        <v>46258</v>
      </c>
      <c r="D1627" s="4" t="s">
        <v>21</v>
      </c>
      <c r="E1627" s="4" t="s">
        <v>14</v>
      </c>
      <c r="F1627" s="793" t="s">
        <v>149</v>
      </c>
      <c r="G1627" s="793" t="s">
        <v>3415</v>
      </c>
      <c r="H1627" s="16" t="s">
        <v>23</v>
      </c>
      <c r="I1627" s="799" t="s">
        <v>6883</v>
      </c>
      <c r="J1627" s="793"/>
      <c r="K1627" s="793" t="s">
        <v>6870</v>
      </c>
      <c r="L1627" s="125" t="s">
        <v>15</v>
      </c>
      <c r="M1627" s="757">
        <v>500000</v>
      </c>
      <c r="N1627" s="646" t="s">
        <v>128</v>
      </c>
    </row>
    <row r="1628" spans="1:14" hidden="1">
      <c r="A1628" s="812">
        <v>34</v>
      </c>
      <c r="B1628" s="823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3"/>
      <c r="K1628" s="793" t="s">
        <v>6870</v>
      </c>
      <c r="L1628" s="125" t="s">
        <v>15</v>
      </c>
      <c r="M1628" s="757">
        <v>500000</v>
      </c>
      <c r="N1628" s="646" t="s">
        <v>128</v>
      </c>
    </row>
    <row r="1629" spans="1:14" hidden="1">
      <c r="A1629" s="812">
        <v>34</v>
      </c>
      <c r="B1629" s="823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9" t="s">
        <v>6871</v>
      </c>
      <c r="K1629" s="793" t="s">
        <v>641</v>
      </c>
      <c r="L1629" s="125" t="s">
        <v>15</v>
      </c>
      <c r="M1629" s="757">
        <v>500000</v>
      </c>
      <c r="N1629" s="646" t="s">
        <v>128</v>
      </c>
    </row>
    <row r="1630" spans="1:14" hidden="1">
      <c r="A1630" s="812">
        <v>34</v>
      </c>
      <c r="B1630" s="823"/>
      <c r="C1630" s="369">
        <v>46261</v>
      </c>
      <c r="D1630" s="4" t="s">
        <v>21</v>
      </c>
      <c r="E1630" s="4" t="s">
        <v>70</v>
      </c>
      <c r="F1630" s="793" t="s">
        <v>1787</v>
      </c>
      <c r="G1630" s="793" t="s">
        <v>2978</v>
      </c>
      <c r="H1630" s="16" t="s">
        <v>40</v>
      </c>
      <c r="I1630" s="799" t="s">
        <v>396</v>
      </c>
      <c r="J1630" s="793" t="s">
        <v>1948</v>
      </c>
      <c r="K1630" s="799" t="s">
        <v>686</v>
      </c>
      <c r="L1630" s="125" t="s">
        <v>15</v>
      </c>
      <c r="M1630" s="757">
        <v>250000</v>
      </c>
      <c r="N1630" s="646" t="s">
        <v>128</v>
      </c>
    </row>
    <row r="1631" spans="1:14" hidden="1">
      <c r="A1631" s="812">
        <v>34</v>
      </c>
      <c r="B1631" s="823"/>
      <c r="C1631" s="369">
        <v>46262</v>
      </c>
      <c r="D1631" s="4" t="s">
        <v>64</v>
      </c>
      <c r="E1631" s="4" t="s">
        <v>17</v>
      </c>
      <c r="F1631" s="793" t="s">
        <v>100</v>
      </c>
      <c r="G1631" s="793" t="s">
        <v>6666</v>
      </c>
      <c r="H1631" s="16" t="s">
        <v>207</v>
      </c>
      <c r="I1631" s="799" t="s">
        <v>6867</v>
      </c>
      <c r="J1631" s="793"/>
      <c r="K1631" s="799" t="s">
        <v>641</v>
      </c>
      <c r="L1631" s="125" t="s">
        <v>15</v>
      </c>
      <c r="M1631" s="757">
        <v>500000</v>
      </c>
      <c r="N1631" s="646" t="s">
        <v>127</v>
      </c>
    </row>
    <row r="1632" spans="1:14" hidden="1">
      <c r="A1632" s="812">
        <v>35</v>
      </c>
      <c r="B1632" s="823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3" t="s">
        <v>5754</v>
      </c>
      <c r="H1632" s="803" t="s">
        <v>18</v>
      </c>
      <c r="I1632" s="806" t="s">
        <v>3402</v>
      </c>
      <c r="J1632" s="633" t="s">
        <v>2172</v>
      </c>
      <c r="K1632" s="806" t="s">
        <v>2828</v>
      </c>
      <c r="L1632" s="703" t="s">
        <v>475</v>
      </c>
      <c r="M1632" s="804">
        <v>250000</v>
      </c>
      <c r="N1632" s="646" t="s">
        <v>7028</v>
      </c>
    </row>
    <row r="1633" spans="1:14" hidden="1">
      <c r="A1633" s="812">
        <v>35</v>
      </c>
      <c r="B1633" s="823"/>
      <c r="C1633" s="399" t="s">
        <v>7019</v>
      </c>
      <c r="D1633" s="726" t="s">
        <v>6707</v>
      </c>
      <c r="E1633" s="632" t="s">
        <v>1604</v>
      </c>
      <c r="F1633" s="633" t="s">
        <v>5254</v>
      </c>
      <c r="G1633" s="803">
        <v>7065</v>
      </c>
      <c r="H1633" s="803" t="s">
        <v>7023</v>
      </c>
      <c r="I1633" s="806" t="s">
        <v>3020</v>
      </c>
      <c r="J1633" s="633" t="s">
        <v>1629</v>
      </c>
      <c r="K1633" s="806" t="s">
        <v>7026</v>
      </c>
      <c r="L1633" s="703" t="s">
        <v>475</v>
      </c>
      <c r="M1633" s="804">
        <f>250000*5</f>
        <v>1250000</v>
      </c>
      <c r="N1633" s="646"/>
    </row>
    <row r="1634" spans="1:14" hidden="1">
      <c r="A1634" s="812">
        <v>35</v>
      </c>
      <c r="B1634" s="823"/>
      <c r="C1634" s="399" t="s">
        <v>7036</v>
      </c>
      <c r="D1634" s="726" t="s">
        <v>6707</v>
      </c>
      <c r="E1634" s="632" t="s">
        <v>1604</v>
      </c>
      <c r="F1634" s="633" t="s">
        <v>5254</v>
      </c>
      <c r="G1634" s="803" t="s">
        <v>5754</v>
      </c>
      <c r="H1634" s="803" t="s">
        <v>18</v>
      </c>
      <c r="I1634" s="806" t="s">
        <v>3402</v>
      </c>
      <c r="J1634" s="633" t="s">
        <v>2172</v>
      </c>
      <c r="K1634" s="806" t="s">
        <v>2838</v>
      </c>
      <c r="L1634" s="703" t="s">
        <v>475</v>
      </c>
      <c r="M1634" s="804">
        <v>500000</v>
      </c>
      <c r="N1634" s="646"/>
    </row>
    <row r="1635" spans="1:14" hidden="1">
      <c r="A1635" s="812">
        <v>35</v>
      </c>
      <c r="B1635" s="823"/>
      <c r="C1635" s="399" t="s">
        <v>7037</v>
      </c>
      <c r="D1635" s="726" t="s">
        <v>6707</v>
      </c>
      <c r="E1635" s="632" t="s">
        <v>1604</v>
      </c>
      <c r="F1635" s="633" t="s">
        <v>5254</v>
      </c>
      <c r="G1635" s="803" t="s">
        <v>6075</v>
      </c>
      <c r="H1635" s="803" t="s">
        <v>6071</v>
      </c>
      <c r="I1635" s="806" t="s">
        <v>3402</v>
      </c>
      <c r="J1635" s="633" t="s">
        <v>2172</v>
      </c>
      <c r="K1635" s="806" t="s">
        <v>2838</v>
      </c>
      <c r="L1635" s="703" t="s">
        <v>475</v>
      </c>
      <c r="M1635" s="804">
        <v>500000</v>
      </c>
      <c r="N1635" s="646"/>
    </row>
    <row r="1636" spans="1:14" hidden="1">
      <c r="A1636" s="812">
        <v>35</v>
      </c>
      <c r="B1636" s="823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30" t="s">
        <v>7028</v>
      </c>
    </row>
    <row r="1637" spans="1:14" hidden="1">
      <c r="A1637" s="812">
        <v>35</v>
      </c>
      <c r="B1637" s="823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7018</v>
      </c>
      <c r="L1637" s="136" t="s">
        <v>15</v>
      </c>
      <c r="M1637" s="757">
        <v>800000</v>
      </c>
      <c r="N1637" s="831"/>
    </row>
    <row r="1638" spans="1:14">
      <c r="A1638" s="812">
        <v>35</v>
      </c>
      <c r="B1638" s="823"/>
      <c r="C1638" s="399">
        <v>46265</v>
      </c>
      <c r="D1638" s="4" t="s">
        <v>138</v>
      </c>
      <c r="E1638" s="4" t="s">
        <v>14</v>
      </c>
      <c r="F1638" s="805" t="s">
        <v>107</v>
      </c>
      <c r="G1638" s="805" t="s">
        <v>3386</v>
      </c>
      <c r="H1638" s="16" t="s">
        <v>1721</v>
      </c>
      <c r="I1638" s="808" t="s">
        <v>7010</v>
      </c>
      <c r="J1638" s="805" t="s">
        <v>4168</v>
      </c>
      <c r="K1638" s="805" t="s">
        <v>5606</v>
      </c>
      <c r="L1638" s="277" t="s">
        <v>15</v>
      </c>
      <c r="M1638" s="757">
        <v>500000</v>
      </c>
      <c r="N1638" s="646" t="s">
        <v>7040</v>
      </c>
    </row>
    <row r="1639" spans="1:14">
      <c r="A1639" s="812">
        <v>35</v>
      </c>
      <c r="B1639" s="823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 hidden="1">
      <c r="A1640" s="812">
        <v>35</v>
      </c>
      <c r="B1640" s="823"/>
      <c r="C1640" s="399">
        <v>46266</v>
      </c>
      <c r="D1640" s="4" t="s">
        <v>21</v>
      </c>
      <c r="E1640" s="4" t="s">
        <v>14</v>
      </c>
      <c r="F1640" s="805" t="s">
        <v>140</v>
      </c>
      <c r="G1640" s="805" t="s">
        <v>2959</v>
      </c>
      <c r="H1640" s="16" t="s">
        <v>1492</v>
      </c>
      <c r="I1640" s="808" t="s">
        <v>6949</v>
      </c>
      <c r="J1640" s="805" t="s">
        <v>1948</v>
      </c>
      <c r="K1640" s="805" t="s">
        <v>686</v>
      </c>
      <c r="L1640" s="125" t="s">
        <v>15</v>
      </c>
      <c r="M1640" s="757">
        <v>250000</v>
      </c>
      <c r="N1640" s="646" t="s">
        <v>5508</v>
      </c>
    </row>
    <row r="1641" spans="1:14" hidden="1">
      <c r="A1641" s="812">
        <v>35</v>
      </c>
      <c r="B1641" s="823"/>
      <c r="C1641" s="399">
        <v>46267</v>
      </c>
      <c r="D1641" s="4" t="s">
        <v>21</v>
      </c>
      <c r="E1641" s="4" t="s">
        <v>14</v>
      </c>
      <c r="F1641" s="805" t="s">
        <v>140</v>
      </c>
      <c r="G1641" s="805" t="s">
        <v>2959</v>
      </c>
      <c r="H1641" s="16" t="s">
        <v>143</v>
      </c>
      <c r="I1641" s="808" t="s">
        <v>6949</v>
      </c>
      <c r="J1641" s="805"/>
      <c r="K1641" s="805" t="s">
        <v>641</v>
      </c>
      <c r="L1641" s="125" t="s">
        <v>15</v>
      </c>
      <c r="M1641" s="757">
        <v>500000</v>
      </c>
      <c r="N1641" s="646" t="s">
        <v>5508</v>
      </c>
    </row>
    <row r="1642" spans="1:14" ht="27">
      <c r="A1642" s="812">
        <v>35</v>
      </c>
      <c r="B1642" s="823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6992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 hidden="1">
      <c r="A1643" s="812">
        <v>35</v>
      </c>
      <c r="B1643" s="823"/>
      <c r="C1643" s="399">
        <v>46268</v>
      </c>
      <c r="D1643" s="4" t="s">
        <v>21</v>
      </c>
      <c r="E1643" s="4" t="s">
        <v>14</v>
      </c>
      <c r="F1643" s="805" t="s">
        <v>140</v>
      </c>
      <c r="G1643" s="805" t="s">
        <v>2959</v>
      </c>
      <c r="H1643" s="16" t="s">
        <v>1895</v>
      </c>
      <c r="I1643" s="808" t="s">
        <v>6949</v>
      </c>
      <c r="J1643" s="805"/>
      <c r="K1643" s="805" t="s">
        <v>641</v>
      </c>
      <c r="L1643" s="125" t="s">
        <v>15</v>
      </c>
      <c r="M1643" s="757">
        <v>500000</v>
      </c>
      <c r="N1643" s="646" t="s">
        <v>5508</v>
      </c>
    </row>
    <row r="1644" spans="1:14" ht="27">
      <c r="A1644" s="812">
        <v>35</v>
      </c>
      <c r="B1644" s="823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6997</v>
      </c>
      <c r="H1644" s="459" t="s">
        <v>23</v>
      </c>
      <c r="I1644" s="453" t="s">
        <v>6996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 hidden="1">
      <c r="A1645" s="812">
        <v>35</v>
      </c>
      <c r="B1645" s="823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7003</v>
      </c>
      <c r="J1645" s="454" t="s">
        <v>1948</v>
      </c>
      <c r="K1645" s="805" t="s">
        <v>641</v>
      </c>
      <c r="L1645" s="125" t="s">
        <v>15</v>
      </c>
      <c r="M1645" s="757">
        <v>500000</v>
      </c>
      <c r="N1645" s="646" t="s">
        <v>5508</v>
      </c>
    </row>
  </sheetData>
  <autoFilter ref="A1:N1645">
    <filterColumn colId="3">
      <filters>
        <filter val="-"/>
        <filter val="A/S"/>
        <filter val="CLAIM"/>
      </filters>
    </filterColumn>
    <filterColumn colId="10">
      <filters>
        <filter val="HIO"/>
        <filter val="HIO(1)"/>
        <filter val="HIO(1), TPS(1), 동아(1)"/>
        <filter val="HIO(1), 동아(1)"/>
        <filter val="HIO(1), 우신(1)"/>
        <filter val="HIO(1),_x000a_범양-최기추(1)"/>
        <filter val="HIO(1),범양(1)"/>
        <filter val="HIO(1),우신(1)"/>
        <filter val="HIO(10)"/>
        <filter val="HIO(2)"/>
        <filter val="HIO(2), 더베솔(2)"/>
        <filter val="HIO(2), 범양(2)"/>
        <filter val="HIO(3)"/>
        <filter val="HIO(4)"/>
        <filter val="HIO(4), 더베솔(2)"/>
        <filter val="HIO(5)"/>
        <filter val="HIO(5), 범양-최기추(5)"/>
        <filter val="HIO(6)"/>
        <filter val="HIO(8)"/>
        <filter val="HIO(9)"/>
        <filter val="김동명, HIO(3)"/>
        <filter val="범양(1), HIO(1)"/>
        <filter val="범양(1), HIO(1), 동아(2)"/>
        <filter val="범양(1),HIO(1)"/>
        <filter val="범양(2), HIO(3)"/>
        <filter val="범양(5), HIO(5)"/>
        <filter val="범양(최기추2),HIO(2)"/>
        <filter val="범양-HIO(2)"/>
        <filter val="범양-최기추(2), HIO(5)"/>
        <filter val="우신(1), HIO(1)"/>
        <filter val="우신(1), HIO(4)"/>
        <filter val="우신(2), HIO(1)"/>
      </filters>
    </filterColumn>
  </autoFilter>
  <mergeCells count="1086">
    <mergeCell ref="B1632:B1635"/>
    <mergeCell ref="B1636:B1645"/>
    <mergeCell ref="N1636:N163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4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6600000</v>
      </c>
    </row>
    <row r="10" spans="1:4">
      <c r="A10" s="589" t="s">
        <v>4855</v>
      </c>
      <c r="B10" s="589" t="s">
        <v>4856</v>
      </c>
      <c r="C10" s="1022" t="s">
        <v>4857</v>
      </c>
      <c r="D10" s="1022"/>
    </row>
    <row r="11" spans="1:4">
      <c r="A11" s="589" t="s">
        <v>4858</v>
      </c>
      <c r="B11" s="589">
        <v>3</v>
      </c>
      <c r="C11" s="1023">
        <f>'사전품의양식 (12)'!L8</f>
        <v>2500000</v>
      </c>
      <c r="D11" s="1023"/>
    </row>
    <row r="12" spans="1:4">
      <c r="A12" s="589" t="s">
        <v>4859</v>
      </c>
      <c r="B12" s="589">
        <v>9</v>
      </c>
      <c r="C12" s="1023">
        <f>'사전품의양식 (12)'!L19</f>
        <v>4100000</v>
      </c>
      <c r="D12" s="1023"/>
    </row>
    <row r="13" spans="1:4">
      <c r="A13" s="591" t="s">
        <v>53</v>
      </c>
      <c r="B13" s="591">
        <f>SUM(B11:B12)</f>
        <v>12</v>
      </c>
      <c r="C13" s="1024">
        <f>SUM(C11:C12)</f>
        <v>6600000</v>
      </c>
      <c r="D13" s="1024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1100000</v>
      </c>
      <c r="D17" s="593">
        <f>SUM(B17:C17)</f>
        <v>1350000</v>
      </c>
    </row>
    <row r="18" spans="1:5">
      <c r="A18" s="589" t="s">
        <v>5511</v>
      </c>
      <c r="B18" s="590">
        <f>C11-B17</f>
        <v>2250000</v>
      </c>
      <c r="C18" s="590">
        <f>C12-C17</f>
        <v>3000000</v>
      </c>
      <c r="D18" s="590">
        <f>SUM(B18:C18)</f>
        <v>5250000</v>
      </c>
    </row>
    <row r="19" spans="1:5">
      <c r="A19" s="591" t="s">
        <v>4861</v>
      </c>
      <c r="B19" s="592">
        <f>SUM(B17:B18)</f>
        <v>2500000</v>
      </c>
      <c r="C19" s="592">
        <f>SUM(C17:C18)</f>
        <v>4100000</v>
      </c>
      <c r="D19" s="592">
        <f>SUM(D17:D18)</f>
        <v>6600000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25" t="s">
        <v>4872</v>
      </c>
      <c r="D24" s="1026"/>
      <c r="E24" s="667"/>
    </row>
    <row r="25" spans="1:5">
      <c r="A25" s="589" t="s">
        <v>4873</v>
      </c>
      <c r="B25" s="589" t="s">
        <v>4874</v>
      </c>
      <c r="C25" s="1020" t="s">
        <v>4875</v>
      </c>
      <c r="D25" s="1021"/>
      <c r="E25" s="667"/>
    </row>
    <row r="26" spans="1:5">
      <c r="A26" s="796" t="s">
        <v>7047</v>
      </c>
      <c r="B26" s="796" t="s">
        <v>7048</v>
      </c>
      <c r="C26" s="1020" t="s">
        <v>7049</v>
      </c>
      <c r="D26" s="1021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4"/>
  <sheetViews>
    <sheetView topLeftCell="A2" zoomScale="90" zoomScaleNormal="90" zoomScaleSheetLayoutView="55" workbookViewId="0">
      <selection activeCell="A4" sqref="A4:M19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28" t="s">
        <v>7034</v>
      </c>
      <c r="B2" s="1028" t="s">
        <v>1</v>
      </c>
      <c r="C2" s="1028" t="s">
        <v>2</v>
      </c>
      <c r="D2" s="1028" t="s">
        <v>3</v>
      </c>
      <c r="E2" s="782" t="s">
        <v>2623</v>
      </c>
      <c r="F2" s="1028" t="s">
        <v>5</v>
      </c>
      <c r="G2" s="1028" t="s">
        <v>6</v>
      </c>
      <c r="H2" s="1028" t="s">
        <v>2624</v>
      </c>
      <c r="I2" s="1028" t="s">
        <v>55</v>
      </c>
      <c r="J2" s="1028" t="s">
        <v>9</v>
      </c>
      <c r="K2" s="1029" t="s">
        <v>56</v>
      </c>
      <c r="L2" s="1028" t="s">
        <v>57</v>
      </c>
      <c r="M2" s="1028" t="s">
        <v>58</v>
      </c>
    </row>
    <row r="3" spans="1:13">
      <c r="A3" s="1028"/>
      <c r="B3" s="1028"/>
      <c r="C3" s="1028"/>
      <c r="D3" s="1028"/>
      <c r="E3" s="782" t="s">
        <v>1724</v>
      </c>
      <c r="F3" s="1028"/>
      <c r="G3" s="1028"/>
      <c r="H3" s="1028"/>
      <c r="I3" s="1028"/>
      <c r="J3" s="1028"/>
      <c r="K3" s="1029"/>
      <c r="L3" s="1028"/>
      <c r="M3" s="1028"/>
    </row>
    <row r="4" spans="1:13" s="685" customFormat="1" ht="17.100000000000001" customHeight="1">
      <c r="A4" s="823" t="s">
        <v>20</v>
      </c>
      <c r="B4" s="399">
        <v>46263</v>
      </c>
      <c r="C4" s="726" t="s">
        <v>7020</v>
      </c>
      <c r="D4" s="632" t="s">
        <v>7021</v>
      </c>
      <c r="E4" s="633" t="s">
        <v>7022</v>
      </c>
      <c r="F4" s="645" t="s">
        <v>7029</v>
      </c>
      <c r="G4" s="645" t="s">
        <v>7030</v>
      </c>
      <c r="H4" s="634" t="s">
        <v>7031</v>
      </c>
      <c r="I4" s="633" t="s">
        <v>7032</v>
      </c>
      <c r="J4" s="634" t="s">
        <v>7033</v>
      </c>
      <c r="K4" s="703" t="s">
        <v>7027</v>
      </c>
      <c r="L4" s="682">
        <v>250000</v>
      </c>
      <c r="M4" s="646" t="s">
        <v>7028</v>
      </c>
    </row>
    <row r="5" spans="1:13" s="685" customFormat="1" ht="17.100000000000001" customHeight="1">
      <c r="A5" s="823"/>
      <c r="B5" s="399" t="s">
        <v>7019</v>
      </c>
      <c r="C5" s="726" t="s">
        <v>7020</v>
      </c>
      <c r="D5" s="632" t="s">
        <v>7021</v>
      </c>
      <c r="E5" s="633" t="s">
        <v>7022</v>
      </c>
      <c r="F5" s="794">
        <v>7065</v>
      </c>
      <c r="G5" s="794" t="s">
        <v>7023</v>
      </c>
      <c r="H5" s="797" t="s">
        <v>7024</v>
      </c>
      <c r="I5" s="633" t="s">
        <v>7025</v>
      </c>
      <c r="J5" s="797" t="s">
        <v>7026</v>
      </c>
      <c r="K5" s="703" t="s">
        <v>7027</v>
      </c>
      <c r="L5" s="795">
        <f>250000*5</f>
        <v>1250000</v>
      </c>
      <c r="M5" s="646"/>
    </row>
    <row r="6" spans="1:13" s="685" customFormat="1" ht="17.100000000000001" customHeight="1">
      <c r="A6" s="823"/>
      <c r="B6" s="399" t="s">
        <v>7036</v>
      </c>
      <c r="C6" s="726" t="s">
        <v>7020</v>
      </c>
      <c r="D6" s="632" t="s">
        <v>7021</v>
      </c>
      <c r="E6" s="633" t="s">
        <v>7022</v>
      </c>
      <c r="F6" s="794" t="s">
        <v>7029</v>
      </c>
      <c r="G6" s="794" t="s">
        <v>7030</v>
      </c>
      <c r="H6" s="797" t="s">
        <v>7031</v>
      </c>
      <c r="I6" s="633" t="s">
        <v>7032</v>
      </c>
      <c r="J6" s="797" t="s">
        <v>7035</v>
      </c>
      <c r="K6" s="703" t="s">
        <v>7027</v>
      </c>
      <c r="L6" s="795">
        <v>500000</v>
      </c>
      <c r="M6" s="646"/>
    </row>
    <row r="7" spans="1:13" s="685" customFormat="1" ht="17.100000000000001" customHeight="1">
      <c r="A7" s="823"/>
      <c r="B7" s="399" t="s">
        <v>7037</v>
      </c>
      <c r="C7" s="726" t="s">
        <v>7020</v>
      </c>
      <c r="D7" s="632" t="s">
        <v>7021</v>
      </c>
      <c r="E7" s="633" t="s">
        <v>7022</v>
      </c>
      <c r="F7" s="794" t="s">
        <v>7038</v>
      </c>
      <c r="G7" s="794" t="s">
        <v>7039</v>
      </c>
      <c r="H7" s="797" t="s">
        <v>7031</v>
      </c>
      <c r="I7" s="633" t="s">
        <v>7032</v>
      </c>
      <c r="J7" s="797" t="s">
        <v>7035</v>
      </c>
      <c r="K7" s="703" t="s">
        <v>7027</v>
      </c>
      <c r="L7" s="795">
        <v>500000</v>
      </c>
      <c r="M7" s="646"/>
    </row>
    <row r="8" spans="1:13" ht="17.100000000000001" customHeight="1">
      <c r="A8" s="823"/>
      <c r="B8" s="823" t="s">
        <v>1136</v>
      </c>
      <c r="C8" s="823"/>
      <c r="D8" s="823"/>
      <c r="E8" s="823"/>
      <c r="F8" s="823"/>
      <c r="G8" s="823"/>
      <c r="H8" s="823"/>
      <c r="I8" s="823"/>
      <c r="J8" s="823"/>
      <c r="K8" s="823"/>
      <c r="L8" s="729">
        <f>SUM(L4:L7)</f>
        <v>2500000</v>
      </c>
      <c r="M8" s="646"/>
    </row>
    <row r="9" spans="1:13" ht="18" customHeight="1">
      <c r="A9" s="823" t="s">
        <v>21</v>
      </c>
      <c r="B9" s="198">
        <v>46261</v>
      </c>
      <c r="C9" s="3" t="s">
        <v>21</v>
      </c>
      <c r="D9" s="3" t="s">
        <v>14</v>
      </c>
      <c r="E9" s="454" t="s">
        <v>6927</v>
      </c>
      <c r="F9" s="454" t="s">
        <v>3589</v>
      </c>
      <c r="G9" s="459" t="s">
        <v>6929</v>
      </c>
      <c r="H9" s="453" t="s">
        <v>6930</v>
      </c>
      <c r="I9" s="454" t="s">
        <v>202</v>
      </c>
      <c r="J9" s="453" t="s">
        <v>4225</v>
      </c>
      <c r="K9" s="136" t="s">
        <v>15</v>
      </c>
      <c r="L9" s="757">
        <v>300000</v>
      </c>
      <c r="M9" s="830" t="s">
        <v>7028</v>
      </c>
    </row>
    <row r="10" spans="1:13" ht="18" customHeight="1">
      <c r="A10" s="823"/>
      <c r="B10" s="399">
        <v>46262</v>
      </c>
      <c r="C10" s="3" t="s">
        <v>21</v>
      </c>
      <c r="D10" s="3" t="s">
        <v>14</v>
      </c>
      <c r="E10" s="454" t="s">
        <v>6927</v>
      </c>
      <c r="F10" s="454" t="s">
        <v>3589</v>
      </c>
      <c r="G10" s="459" t="s">
        <v>6929</v>
      </c>
      <c r="H10" s="453" t="s">
        <v>6930</v>
      </c>
      <c r="I10" s="454" t="s">
        <v>202</v>
      </c>
      <c r="J10" s="453" t="s">
        <v>7018</v>
      </c>
      <c r="K10" s="136" t="s">
        <v>15</v>
      </c>
      <c r="L10" s="757">
        <v>800000</v>
      </c>
      <c r="M10" s="831"/>
    </row>
    <row r="11" spans="1:13" ht="18" customHeight="1">
      <c r="A11" s="823"/>
      <c r="B11" s="399">
        <v>46265</v>
      </c>
      <c r="C11" s="4" t="s">
        <v>138</v>
      </c>
      <c r="D11" s="4" t="s">
        <v>7012</v>
      </c>
      <c r="E11" s="793" t="s">
        <v>6965</v>
      </c>
      <c r="F11" s="793" t="s">
        <v>7011</v>
      </c>
      <c r="G11" s="16" t="s">
        <v>7009</v>
      </c>
      <c r="H11" s="799" t="s">
        <v>7010</v>
      </c>
      <c r="I11" s="793" t="s">
        <v>7013</v>
      </c>
      <c r="J11" s="793" t="s">
        <v>5606</v>
      </c>
      <c r="K11" s="277" t="s">
        <v>7014</v>
      </c>
      <c r="L11" s="757">
        <v>500000</v>
      </c>
      <c r="M11" s="646" t="s">
        <v>7040</v>
      </c>
    </row>
    <row r="12" spans="1:13" ht="18" customHeight="1">
      <c r="A12" s="823"/>
      <c r="B12" s="399">
        <v>46265</v>
      </c>
      <c r="C12" s="3" t="s">
        <v>21</v>
      </c>
      <c r="D12" s="3" t="s">
        <v>14</v>
      </c>
      <c r="E12" s="454" t="s">
        <v>211</v>
      </c>
      <c r="F12" s="454" t="s">
        <v>2916</v>
      </c>
      <c r="G12" s="459" t="s">
        <v>2917</v>
      </c>
      <c r="H12" s="453" t="s">
        <v>6983</v>
      </c>
      <c r="I12" s="453" t="s">
        <v>6984</v>
      </c>
      <c r="J12" s="458" t="s">
        <v>6991</v>
      </c>
      <c r="K12" s="136" t="s">
        <v>6985</v>
      </c>
      <c r="L12" s="757">
        <v>250000</v>
      </c>
      <c r="M12" s="646" t="s">
        <v>7041</v>
      </c>
    </row>
    <row r="13" spans="1:13" ht="13.5">
      <c r="A13" s="823"/>
      <c r="B13" s="399">
        <v>46266</v>
      </c>
      <c r="C13" s="4" t="s">
        <v>21</v>
      </c>
      <c r="D13" s="4" t="s">
        <v>14</v>
      </c>
      <c r="E13" s="793" t="s">
        <v>140</v>
      </c>
      <c r="F13" s="793" t="s">
        <v>2959</v>
      </c>
      <c r="G13" s="16" t="s">
        <v>6982</v>
      </c>
      <c r="H13" s="799" t="s">
        <v>6949</v>
      </c>
      <c r="I13" s="793" t="s">
        <v>6998</v>
      </c>
      <c r="J13" s="793" t="s">
        <v>686</v>
      </c>
      <c r="K13" s="125" t="s">
        <v>15</v>
      </c>
      <c r="L13" s="757">
        <v>250000</v>
      </c>
      <c r="M13" s="646" t="s">
        <v>7042</v>
      </c>
    </row>
    <row r="14" spans="1:13" ht="13.5">
      <c r="A14" s="823"/>
      <c r="B14" s="399">
        <v>46267</v>
      </c>
      <c r="C14" s="4" t="s">
        <v>21</v>
      </c>
      <c r="D14" s="4" t="s">
        <v>14</v>
      </c>
      <c r="E14" s="793" t="s">
        <v>140</v>
      </c>
      <c r="F14" s="793" t="s">
        <v>2959</v>
      </c>
      <c r="G14" s="16" t="s">
        <v>143</v>
      </c>
      <c r="H14" s="799" t="s">
        <v>6949</v>
      </c>
      <c r="I14" s="793"/>
      <c r="J14" s="793" t="s">
        <v>641</v>
      </c>
      <c r="K14" s="125" t="s">
        <v>15</v>
      </c>
      <c r="L14" s="757">
        <v>500000</v>
      </c>
      <c r="M14" s="646" t="s">
        <v>7042</v>
      </c>
    </row>
    <row r="15" spans="1:13" ht="27">
      <c r="A15" s="823"/>
      <c r="B15" s="399">
        <v>46268</v>
      </c>
      <c r="C15" s="3" t="s">
        <v>21</v>
      </c>
      <c r="D15" s="3" t="s">
        <v>77</v>
      </c>
      <c r="E15" s="453" t="s">
        <v>6517</v>
      </c>
      <c r="F15" s="454" t="s">
        <v>2653</v>
      </c>
      <c r="G15" s="459" t="s">
        <v>102</v>
      </c>
      <c r="H15" s="453" t="s">
        <v>6992</v>
      </c>
      <c r="I15" s="453" t="s">
        <v>126</v>
      </c>
      <c r="J15" s="454" t="s">
        <v>6991</v>
      </c>
      <c r="K15" s="136" t="s">
        <v>15</v>
      </c>
      <c r="L15" s="757">
        <v>250000</v>
      </c>
      <c r="M15" s="646" t="s">
        <v>7043</v>
      </c>
    </row>
    <row r="16" spans="1:13" ht="13.5">
      <c r="A16" s="823"/>
      <c r="B16" s="399">
        <v>46268</v>
      </c>
      <c r="C16" s="4" t="s">
        <v>21</v>
      </c>
      <c r="D16" s="4" t="s">
        <v>14</v>
      </c>
      <c r="E16" s="793" t="s">
        <v>140</v>
      </c>
      <c r="F16" s="793" t="s">
        <v>2959</v>
      </c>
      <c r="G16" s="16" t="s">
        <v>6981</v>
      </c>
      <c r="H16" s="799" t="s">
        <v>6949</v>
      </c>
      <c r="I16" s="793"/>
      <c r="J16" s="793" t="s">
        <v>641</v>
      </c>
      <c r="K16" s="125" t="s">
        <v>15</v>
      </c>
      <c r="L16" s="757">
        <v>500000</v>
      </c>
      <c r="M16" s="646" t="s">
        <v>7044</v>
      </c>
    </row>
    <row r="17" spans="1:13" ht="27">
      <c r="A17" s="823"/>
      <c r="B17" s="399">
        <v>46269</v>
      </c>
      <c r="C17" s="3" t="s">
        <v>21</v>
      </c>
      <c r="D17" s="3" t="s">
        <v>6993</v>
      </c>
      <c r="E17" s="454" t="s">
        <v>6994</v>
      </c>
      <c r="F17" s="453" t="s">
        <v>6997</v>
      </c>
      <c r="G17" s="459" t="s">
        <v>6995</v>
      </c>
      <c r="H17" s="453" t="s">
        <v>6996</v>
      </c>
      <c r="I17" s="453" t="s">
        <v>126</v>
      </c>
      <c r="J17" s="454" t="s">
        <v>6991</v>
      </c>
      <c r="K17" s="136" t="s">
        <v>15</v>
      </c>
      <c r="L17" s="757">
        <v>250000</v>
      </c>
      <c r="M17" s="646" t="s">
        <v>7045</v>
      </c>
    </row>
    <row r="18" spans="1:13" ht="27">
      <c r="A18" s="823"/>
      <c r="B18" s="399">
        <v>46269</v>
      </c>
      <c r="C18" s="3" t="s">
        <v>21</v>
      </c>
      <c r="D18" s="3" t="s">
        <v>70</v>
      </c>
      <c r="E18" s="454" t="s">
        <v>1787</v>
      </c>
      <c r="F18" s="454" t="s">
        <v>2978</v>
      </c>
      <c r="G18" s="459" t="s">
        <v>40</v>
      </c>
      <c r="H18" s="453" t="s">
        <v>7003</v>
      </c>
      <c r="I18" s="454" t="s">
        <v>7002</v>
      </c>
      <c r="J18" s="793" t="s">
        <v>641</v>
      </c>
      <c r="K18" s="125" t="s">
        <v>15</v>
      </c>
      <c r="L18" s="757">
        <v>500000</v>
      </c>
      <c r="M18" s="646" t="s">
        <v>7046</v>
      </c>
    </row>
    <row r="19" spans="1:13" ht="17.100000000000001" customHeight="1">
      <c r="A19" s="823"/>
      <c r="B19" s="823" t="s">
        <v>4879</v>
      </c>
      <c r="C19" s="823"/>
      <c r="D19" s="823"/>
      <c r="E19" s="823"/>
      <c r="F19" s="823"/>
      <c r="G19" s="823"/>
      <c r="H19" s="823"/>
      <c r="I19" s="823"/>
      <c r="J19" s="823"/>
      <c r="K19" s="823"/>
      <c r="L19" s="729">
        <f>SUM(L9:L18)</f>
        <v>4100000</v>
      </c>
      <c r="M19" s="646"/>
    </row>
    <row r="20" spans="1:13" ht="25.5" customHeight="1">
      <c r="A20" s="1027" t="s">
        <v>62</v>
      </c>
      <c r="B20" s="1027"/>
      <c r="C20" s="1027"/>
      <c r="D20" s="1027"/>
      <c r="E20" s="1027"/>
      <c r="F20" s="1027"/>
      <c r="G20" s="1027"/>
      <c r="H20" s="1027"/>
      <c r="I20" s="1027"/>
      <c r="J20" s="1027"/>
      <c r="K20" s="1027"/>
      <c r="L20" s="729">
        <f>L8+L19</f>
        <v>6600000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0" t="s">
        <v>6333</v>
      </c>
      <c r="B33" s="399">
        <v>46265</v>
      </c>
      <c r="C33" s="3" t="s">
        <v>6971</v>
      </c>
      <c r="D33" s="3" t="s">
        <v>77</v>
      </c>
      <c r="E33" s="454" t="s">
        <v>5890</v>
      </c>
      <c r="F33" s="454">
        <v>3307</v>
      </c>
      <c r="G33" s="459" t="s">
        <v>1328</v>
      </c>
      <c r="H33" s="453" t="s">
        <v>6978</v>
      </c>
      <c r="I33" s="453" t="s">
        <v>6973</v>
      </c>
      <c r="J33" s="454" t="s">
        <v>686</v>
      </c>
      <c r="K33" s="136" t="s">
        <v>15</v>
      </c>
      <c r="L33" s="455">
        <v>3</v>
      </c>
      <c r="M33" s="455"/>
      <c r="N33" s="793"/>
      <c r="O33" s="430" t="s">
        <v>7004</v>
      </c>
      <c r="P33" s="793"/>
    </row>
    <row r="34" spans="1:16" s="17" customFormat="1" ht="33" customHeight="1">
      <c r="A34" s="791"/>
      <c r="B34" s="399">
        <v>46265</v>
      </c>
      <c r="C34" s="3" t="s">
        <v>21</v>
      </c>
      <c r="D34" s="3" t="s">
        <v>14</v>
      </c>
      <c r="E34" s="454" t="s">
        <v>211</v>
      </c>
      <c r="F34" s="454" t="s">
        <v>2916</v>
      </c>
      <c r="G34" s="459" t="s">
        <v>2917</v>
      </c>
      <c r="H34" s="453" t="s">
        <v>6983</v>
      </c>
      <c r="I34" s="453" t="s">
        <v>6984</v>
      </c>
      <c r="J34" s="458" t="s">
        <v>7015</v>
      </c>
      <c r="K34" s="136" t="s">
        <v>6985</v>
      </c>
      <c r="L34" s="455">
        <v>6</v>
      </c>
      <c r="M34" s="455"/>
      <c r="N34" s="793"/>
      <c r="O34" s="430" t="s">
        <v>7016</v>
      </c>
      <c r="P34" s="793"/>
    </row>
    <row r="35" spans="1:16" s="17" customFormat="1" ht="33" customHeight="1">
      <c r="A35" s="791"/>
      <c r="B35" s="399">
        <v>46265</v>
      </c>
      <c r="C35" s="4" t="s">
        <v>6707</v>
      </c>
      <c r="D35" s="4" t="s">
        <v>25</v>
      </c>
      <c r="E35" s="793" t="s">
        <v>6895</v>
      </c>
      <c r="F35" s="793" t="s">
        <v>6075</v>
      </c>
      <c r="G35" s="16" t="s">
        <v>145</v>
      </c>
      <c r="H35" s="453" t="s">
        <v>7006</v>
      </c>
      <c r="I35" s="453" t="s">
        <v>7007</v>
      </c>
      <c r="J35" s="458"/>
      <c r="K35" s="136"/>
      <c r="L35" s="455">
        <v>1</v>
      </c>
      <c r="M35" s="455"/>
      <c r="N35" s="793"/>
      <c r="O35" s="430"/>
      <c r="P35" s="793"/>
    </row>
    <row r="36" spans="1:16" s="17" customFormat="1" ht="33" customHeight="1">
      <c r="A36" s="791"/>
      <c r="B36" s="399">
        <v>46265</v>
      </c>
      <c r="C36" s="4" t="s">
        <v>6707</v>
      </c>
      <c r="D36" s="4" t="s">
        <v>25</v>
      </c>
      <c r="E36" s="793" t="s">
        <v>6709</v>
      </c>
      <c r="F36" s="793">
        <v>7065</v>
      </c>
      <c r="G36" s="16" t="s">
        <v>145</v>
      </c>
      <c r="H36" s="799" t="s">
        <v>6706</v>
      </c>
      <c r="I36" s="793" t="s">
        <v>6312</v>
      </c>
      <c r="J36" s="793"/>
      <c r="K36" s="277" t="s">
        <v>209</v>
      </c>
      <c r="L36" s="8">
        <v>1</v>
      </c>
      <c r="M36" s="8"/>
      <c r="N36" s="793"/>
      <c r="O36" s="430"/>
      <c r="P36" s="793"/>
    </row>
    <row r="37" spans="1:16" s="17" customFormat="1" ht="33" customHeight="1">
      <c r="A37" s="791"/>
      <c r="B37" s="399">
        <v>46265</v>
      </c>
      <c r="C37" s="4" t="s">
        <v>138</v>
      </c>
      <c r="D37" s="4" t="s">
        <v>7012</v>
      </c>
      <c r="E37" s="793" t="s">
        <v>6965</v>
      </c>
      <c r="F37" s="793" t="s">
        <v>7011</v>
      </c>
      <c r="G37" s="16" t="s">
        <v>7009</v>
      </c>
      <c r="H37" s="799" t="s">
        <v>7010</v>
      </c>
      <c r="I37" s="793" t="s">
        <v>7013</v>
      </c>
      <c r="J37" s="793" t="s">
        <v>5606</v>
      </c>
      <c r="K37" s="277" t="s">
        <v>7014</v>
      </c>
      <c r="L37" s="8">
        <v>3</v>
      </c>
      <c r="M37" s="8"/>
      <c r="N37" s="793"/>
      <c r="O37" s="430" t="s">
        <v>7017</v>
      </c>
      <c r="P37" s="793"/>
    </row>
    <row r="38" spans="1:16" s="17" customFormat="1" ht="33" customHeight="1">
      <c r="A38" s="791"/>
      <c r="B38" s="399">
        <v>46266</v>
      </c>
      <c r="C38" s="3" t="s">
        <v>6971</v>
      </c>
      <c r="D38" s="3" t="s">
        <v>77</v>
      </c>
      <c r="E38" s="454" t="s">
        <v>5890</v>
      </c>
      <c r="F38" s="454">
        <v>3307</v>
      </c>
      <c r="G38" s="459" t="s">
        <v>1328</v>
      </c>
      <c r="H38" s="453" t="s">
        <v>6979</v>
      </c>
      <c r="I38" s="453" t="s">
        <v>6973</v>
      </c>
      <c r="J38" s="454" t="s">
        <v>686</v>
      </c>
      <c r="K38" s="136" t="s">
        <v>15</v>
      </c>
      <c r="L38" s="455">
        <v>3</v>
      </c>
      <c r="M38" s="455"/>
      <c r="N38" s="793"/>
      <c r="O38" s="430" t="s">
        <v>7004</v>
      </c>
      <c r="P38" s="793"/>
    </row>
    <row r="39" spans="1:16" s="17" customFormat="1" ht="33" customHeight="1">
      <c r="A39" s="791"/>
      <c r="B39" s="399">
        <v>46266</v>
      </c>
      <c r="C39" s="4" t="s">
        <v>21</v>
      </c>
      <c r="D39" s="4" t="s">
        <v>17</v>
      </c>
      <c r="E39" s="793" t="s">
        <v>78</v>
      </c>
      <c r="F39" s="793">
        <v>7060</v>
      </c>
      <c r="G39" s="16" t="s">
        <v>36</v>
      </c>
      <c r="H39" s="799" t="s">
        <v>6961</v>
      </c>
      <c r="I39" s="793" t="s">
        <v>6842</v>
      </c>
      <c r="J39" s="793"/>
      <c r="K39" s="125" t="s">
        <v>15</v>
      </c>
      <c r="L39" s="8">
        <v>2</v>
      </c>
      <c r="M39" s="8"/>
      <c r="N39" s="793"/>
      <c r="O39" s="431"/>
      <c r="P39" s="793"/>
    </row>
    <row r="40" spans="1:16" s="17" customFormat="1" ht="33" customHeight="1">
      <c r="A40" s="791"/>
      <c r="B40" s="399">
        <v>46266</v>
      </c>
      <c r="C40" s="4" t="s">
        <v>21</v>
      </c>
      <c r="D40" s="4" t="s">
        <v>14</v>
      </c>
      <c r="E40" s="793" t="s">
        <v>140</v>
      </c>
      <c r="F40" s="793" t="s">
        <v>2959</v>
      </c>
      <c r="G40" s="16" t="s">
        <v>6982</v>
      </c>
      <c r="H40" s="799" t="s">
        <v>6949</v>
      </c>
      <c r="I40" s="793" t="s">
        <v>6998</v>
      </c>
      <c r="J40" s="793" t="s">
        <v>686</v>
      </c>
      <c r="K40" s="125" t="s">
        <v>15</v>
      </c>
      <c r="L40" s="8">
        <v>2</v>
      </c>
      <c r="M40" s="8"/>
      <c r="N40" s="793"/>
      <c r="O40" s="430" t="s">
        <v>6116</v>
      </c>
      <c r="P40" s="793"/>
    </row>
    <row r="41" spans="1:16" s="17" customFormat="1" ht="33" customHeight="1">
      <c r="A41" s="791"/>
      <c r="B41" s="399">
        <v>46267</v>
      </c>
      <c r="C41" s="4" t="s">
        <v>6707</v>
      </c>
      <c r="D41" s="4" t="s">
        <v>25</v>
      </c>
      <c r="E41" s="793" t="s">
        <v>6709</v>
      </c>
      <c r="F41" s="793">
        <v>7065</v>
      </c>
      <c r="G41" s="16" t="s">
        <v>145</v>
      </c>
      <c r="H41" s="799" t="s">
        <v>6706</v>
      </c>
      <c r="I41" s="793" t="s">
        <v>6312</v>
      </c>
      <c r="J41" s="793"/>
      <c r="K41" s="277" t="s">
        <v>209</v>
      </c>
      <c r="L41" s="8">
        <v>1</v>
      </c>
      <c r="M41" s="8"/>
      <c r="N41" s="793"/>
      <c r="O41" s="430"/>
      <c r="P41" s="793"/>
    </row>
    <row r="42" spans="1:16" s="17" customFormat="1" ht="33" customHeight="1">
      <c r="A42" s="791"/>
      <c r="B42" s="399">
        <v>46267</v>
      </c>
      <c r="C42" s="4" t="s">
        <v>3650</v>
      </c>
      <c r="D42" s="4" t="s">
        <v>17</v>
      </c>
      <c r="E42" s="793" t="s">
        <v>6942</v>
      </c>
      <c r="F42" s="793" t="s">
        <v>6943</v>
      </c>
      <c r="G42" s="16" t="s">
        <v>180</v>
      </c>
      <c r="H42" s="799" t="s">
        <v>6945</v>
      </c>
      <c r="I42" s="793" t="s">
        <v>202</v>
      </c>
      <c r="J42" s="799" t="s">
        <v>6960</v>
      </c>
      <c r="K42" s="125" t="s">
        <v>15</v>
      </c>
      <c r="L42" s="8">
        <v>2</v>
      </c>
      <c r="M42" s="8"/>
      <c r="N42" s="798"/>
      <c r="O42" s="430" t="s">
        <v>6946</v>
      </c>
      <c r="P42" s="793"/>
    </row>
    <row r="43" spans="1:16" s="17" customFormat="1" ht="33" customHeight="1">
      <c r="A43" s="791"/>
      <c r="B43" s="399">
        <v>46267</v>
      </c>
      <c r="C43" s="4" t="s">
        <v>21</v>
      </c>
      <c r="D43" s="4" t="s">
        <v>14</v>
      </c>
      <c r="E43" s="793" t="s">
        <v>140</v>
      </c>
      <c r="F43" s="793" t="s">
        <v>2959</v>
      </c>
      <c r="G43" s="16" t="s">
        <v>143</v>
      </c>
      <c r="H43" s="799" t="s">
        <v>6949</v>
      </c>
      <c r="I43" s="793"/>
      <c r="J43" s="793" t="s">
        <v>641</v>
      </c>
      <c r="K43" s="125" t="s">
        <v>15</v>
      </c>
      <c r="L43" s="8">
        <v>2</v>
      </c>
      <c r="M43" s="8"/>
      <c r="N43" s="798"/>
      <c r="O43" s="430" t="s">
        <v>6999</v>
      </c>
      <c r="P43" s="793"/>
    </row>
    <row r="44" spans="1:16" s="17" customFormat="1" ht="33" customHeight="1">
      <c r="A44" s="791"/>
      <c r="B44" s="399">
        <v>46267</v>
      </c>
      <c r="C44" s="3" t="s">
        <v>6971</v>
      </c>
      <c r="D44" s="3" t="s">
        <v>77</v>
      </c>
      <c r="E44" s="454" t="s">
        <v>5890</v>
      </c>
      <c r="F44" s="454">
        <v>3307</v>
      </c>
      <c r="G44" s="459" t="s">
        <v>1328</v>
      </c>
      <c r="H44" s="453" t="s">
        <v>6972</v>
      </c>
      <c r="I44" s="453" t="s">
        <v>6973</v>
      </c>
      <c r="J44" s="454" t="s">
        <v>686</v>
      </c>
      <c r="K44" s="136" t="s">
        <v>15</v>
      </c>
      <c r="L44" s="455">
        <v>3</v>
      </c>
      <c r="M44" s="455"/>
      <c r="N44" s="798"/>
      <c r="O44" s="430" t="s">
        <v>7004</v>
      </c>
      <c r="P44" s="793"/>
    </row>
    <row r="45" spans="1:16" s="17" customFormat="1" ht="33" customHeight="1">
      <c r="A45" s="791"/>
      <c r="B45" s="399">
        <v>46268</v>
      </c>
      <c r="C45" s="4" t="s">
        <v>6707</v>
      </c>
      <c r="D45" s="4" t="s">
        <v>25</v>
      </c>
      <c r="E45" s="793" t="s">
        <v>6709</v>
      </c>
      <c r="F45" s="793">
        <v>7065</v>
      </c>
      <c r="G45" s="16" t="s">
        <v>145</v>
      </c>
      <c r="H45" s="799" t="s">
        <v>6706</v>
      </c>
      <c r="I45" s="793" t="s">
        <v>6312</v>
      </c>
      <c r="J45" s="793"/>
      <c r="K45" s="277" t="s">
        <v>209</v>
      </c>
      <c r="L45" s="8">
        <v>1</v>
      </c>
      <c r="M45" s="8"/>
      <c r="N45" s="798"/>
      <c r="O45" s="430"/>
      <c r="P45" s="793"/>
    </row>
    <row r="46" spans="1:16" s="17" customFormat="1" ht="33" customHeight="1">
      <c r="A46" s="791"/>
      <c r="B46" s="399">
        <v>46268</v>
      </c>
      <c r="C46" s="3" t="s">
        <v>21</v>
      </c>
      <c r="D46" s="3" t="s">
        <v>77</v>
      </c>
      <c r="E46" s="453" t="s">
        <v>6517</v>
      </c>
      <c r="F46" s="454" t="s">
        <v>2653</v>
      </c>
      <c r="G46" s="459" t="s">
        <v>102</v>
      </c>
      <c r="H46" s="453" t="s">
        <v>6992</v>
      </c>
      <c r="I46" s="453" t="s">
        <v>126</v>
      </c>
      <c r="J46" s="454" t="s">
        <v>6991</v>
      </c>
      <c r="K46" s="136" t="s">
        <v>15</v>
      </c>
      <c r="L46" s="455">
        <v>2</v>
      </c>
      <c r="M46" s="455"/>
      <c r="N46" s="798"/>
      <c r="O46" s="430" t="s">
        <v>5899</v>
      </c>
      <c r="P46" s="793"/>
    </row>
    <row r="47" spans="1:16" s="17" customFormat="1" ht="33" customHeight="1">
      <c r="A47" s="791"/>
      <c r="B47" s="399">
        <v>46268</v>
      </c>
      <c r="C47" s="4" t="s">
        <v>21</v>
      </c>
      <c r="D47" s="4" t="s">
        <v>14</v>
      </c>
      <c r="E47" s="793" t="s">
        <v>140</v>
      </c>
      <c r="F47" s="793" t="s">
        <v>2959</v>
      </c>
      <c r="G47" s="16" t="s">
        <v>6981</v>
      </c>
      <c r="H47" s="799" t="s">
        <v>6949</v>
      </c>
      <c r="I47" s="793"/>
      <c r="J47" s="793" t="s">
        <v>7000</v>
      </c>
      <c r="K47" s="125" t="s">
        <v>15</v>
      </c>
      <c r="L47" s="8">
        <v>3</v>
      </c>
      <c r="M47" s="8"/>
      <c r="N47" s="798"/>
      <c r="O47" s="430" t="s">
        <v>7001</v>
      </c>
      <c r="P47" s="793"/>
    </row>
    <row r="48" spans="1:16" s="17" customFormat="1" ht="33" customHeight="1">
      <c r="A48" s="791"/>
      <c r="B48" s="399">
        <v>46268</v>
      </c>
      <c r="C48" s="3" t="s">
        <v>6971</v>
      </c>
      <c r="D48" s="3" t="s">
        <v>77</v>
      </c>
      <c r="E48" s="454" t="s">
        <v>5890</v>
      </c>
      <c r="F48" s="454">
        <v>3307</v>
      </c>
      <c r="G48" s="459" t="s">
        <v>1328</v>
      </c>
      <c r="H48" s="453" t="s">
        <v>6980</v>
      </c>
      <c r="I48" s="453" t="s">
        <v>6973</v>
      </c>
      <c r="J48" s="454" t="s">
        <v>686</v>
      </c>
      <c r="K48" s="136" t="s">
        <v>15</v>
      </c>
      <c r="L48" s="455">
        <v>3</v>
      </c>
      <c r="M48" s="455"/>
      <c r="N48" s="798"/>
      <c r="O48" s="430" t="s">
        <v>7004</v>
      </c>
      <c r="P48" s="793"/>
    </row>
    <row r="49" spans="1:16" s="17" customFormat="1" ht="33" customHeight="1">
      <c r="A49" s="791"/>
      <c r="B49" s="399">
        <v>46269</v>
      </c>
      <c r="C49" s="4" t="s">
        <v>6707</v>
      </c>
      <c r="D49" s="4" t="s">
        <v>25</v>
      </c>
      <c r="E49" s="793" t="s">
        <v>6709</v>
      </c>
      <c r="F49" s="793">
        <v>7065</v>
      </c>
      <c r="G49" s="16" t="s">
        <v>145</v>
      </c>
      <c r="H49" s="799" t="s">
        <v>6706</v>
      </c>
      <c r="I49" s="793" t="s">
        <v>6312</v>
      </c>
      <c r="J49" s="793"/>
      <c r="K49" s="277" t="s">
        <v>209</v>
      </c>
      <c r="L49" s="8">
        <v>1</v>
      </c>
      <c r="M49" s="8"/>
      <c r="N49" s="798"/>
      <c r="O49" s="430"/>
      <c r="P49" s="793"/>
    </row>
    <row r="50" spans="1:16" s="17" customFormat="1" ht="33" customHeight="1">
      <c r="A50" s="791"/>
      <c r="B50" s="399">
        <v>46269</v>
      </c>
      <c r="C50" s="3" t="s">
        <v>21</v>
      </c>
      <c r="D50" s="3" t="s">
        <v>6993</v>
      </c>
      <c r="E50" s="454" t="s">
        <v>6994</v>
      </c>
      <c r="F50" s="453" t="s">
        <v>6997</v>
      </c>
      <c r="G50" s="459" t="s">
        <v>6995</v>
      </c>
      <c r="H50" s="453" t="s">
        <v>6996</v>
      </c>
      <c r="I50" s="453" t="s">
        <v>126</v>
      </c>
      <c r="J50" s="454" t="s">
        <v>6991</v>
      </c>
      <c r="K50" s="136" t="s">
        <v>15</v>
      </c>
      <c r="L50" s="455">
        <v>2</v>
      </c>
      <c r="M50" s="455"/>
      <c r="N50" s="798"/>
      <c r="O50" s="430" t="s">
        <v>5899</v>
      </c>
      <c r="P50" s="793"/>
    </row>
    <row r="51" spans="1:16" s="17" customFormat="1" ht="33" customHeight="1">
      <c r="A51" s="791"/>
      <c r="B51" s="399">
        <v>46269</v>
      </c>
      <c r="C51" s="3" t="s">
        <v>6971</v>
      </c>
      <c r="D51" s="3" t="s">
        <v>77</v>
      </c>
      <c r="E51" s="454" t="s">
        <v>5890</v>
      </c>
      <c r="F51" s="454">
        <v>3307</v>
      </c>
      <c r="G51" s="459" t="s">
        <v>1328</v>
      </c>
      <c r="H51" s="453" t="s">
        <v>6975</v>
      </c>
      <c r="I51" s="453" t="s">
        <v>6973</v>
      </c>
      <c r="J51" s="454" t="s">
        <v>686</v>
      </c>
      <c r="K51" s="136" t="s">
        <v>15</v>
      </c>
      <c r="L51" s="455">
        <v>3</v>
      </c>
      <c r="M51" s="455"/>
      <c r="N51" s="798"/>
      <c r="O51" s="430" t="s">
        <v>7004</v>
      </c>
      <c r="P51" s="793"/>
    </row>
    <row r="52" spans="1:16" s="17" customFormat="1" ht="33" customHeight="1">
      <c r="A52" s="791"/>
      <c r="B52" s="399">
        <v>46269</v>
      </c>
      <c r="C52" s="3" t="s">
        <v>21</v>
      </c>
      <c r="D52" s="3" t="s">
        <v>70</v>
      </c>
      <c r="E52" s="454" t="s">
        <v>1787</v>
      </c>
      <c r="F52" s="454" t="s">
        <v>2978</v>
      </c>
      <c r="G52" s="459" t="s">
        <v>40</v>
      </c>
      <c r="H52" s="453" t="s">
        <v>7003</v>
      </c>
      <c r="I52" s="454" t="s">
        <v>7002</v>
      </c>
      <c r="J52" s="793" t="s">
        <v>641</v>
      </c>
      <c r="K52" s="125" t="s">
        <v>15</v>
      </c>
      <c r="L52" s="8">
        <v>3</v>
      </c>
      <c r="M52" s="8"/>
      <c r="N52" s="798"/>
      <c r="O52" s="430" t="s">
        <v>6999</v>
      </c>
      <c r="P52" s="793"/>
    </row>
    <row r="53" spans="1:16" s="17" customFormat="1" ht="33" customHeight="1">
      <c r="A53" s="791"/>
      <c r="B53" s="399">
        <v>46269</v>
      </c>
      <c r="C53" s="4" t="s">
        <v>3650</v>
      </c>
      <c r="D53" s="4" t="s">
        <v>17</v>
      </c>
      <c r="E53" s="793" t="s">
        <v>6935</v>
      </c>
      <c r="F53" s="793" t="s">
        <v>6936</v>
      </c>
      <c r="G53" s="16" t="s">
        <v>205</v>
      </c>
      <c r="H53" s="799" t="s">
        <v>6941</v>
      </c>
      <c r="I53" s="793" t="s">
        <v>202</v>
      </c>
      <c r="J53" s="799"/>
      <c r="K53" s="125" t="s">
        <v>15</v>
      </c>
      <c r="L53" s="8">
        <v>1</v>
      </c>
      <c r="M53" s="8"/>
      <c r="N53" s="798"/>
      <c r="O53" s="430" t="s">
        <v>6940</v>
      </c>
      <c r="P53" s="793"/>
    </row>
    <row r="54" spans="1:16" s="17" customFormat="1" ht="33" customHeight="1">
      <c r="A54" s="792"/>
      <c r="B54" s="369">
        <v>46270</v>
      </c>
      <c r="C54" s="3" t="s">
        <v>6971</v>
      </c>
      <c r="D54" s="3" t="s">
        <v>77</v>
      </c>
      <c r="E54" s="454" t="s">
        <v>5890</v>
      </c>
      <c r="F54" s="454">
        <v>3307</v>
      </c>
      <c r="G54" s="459" t="s">
        <v>1328</v>
      </c>
      <c r="H54" s="453" t="s">
        <v>6976</v>
      </c>
      <c r="I54" s="453" t="s">
        <v>6973</v>
      </c>
      <c r="J54" s="454" t="s">
        <v>686</v>
      </c>
      <c r="K54" s="136" t="s">
        <v>15</v>
      </c>
      <c r="L54" s="455">
        <v>3</v>
      </c>
      <c r="M54" s="455"/>
      <c r="N54" s="793"/>
      <c r="O54" s="430" t="s">
        <v>7004</v>
      </c>
      <c r="P54" s="793"/>
    </row>
  </sheetData>
  <mergeCells count="18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9:M10"/>
    <mergeCell ref="B8:K8"/>
    <mergeCell ref="A20:K20"/>
    <mergeCell ref="B19:K19"/>
    <mergeCell ref="A9:A19"/>
    <mergeCell ref="A4:A8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18"/>
  <sheetViews>
    <sheetView topLeftCell="A990" zoomScaleNormal="100" workbookViewId="0">
      <selection activeCell="A1006" sqref="A1006:K101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5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57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57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57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57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57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57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57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57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57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57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57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57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57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57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58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50" t="s">
        <v>53</v>
      </c>
      <c r="B21" s="850"/>
      <c r="C21" s="850"/>
      <c r="D21" s="850"/>
      <c r="E21" s="850"/>
      <c r="F21" s="850"/>
      <c r="G21" s="850"/>
      <c r="H21" s="850"/>
      <c r="I21" s="850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59" t="s">
        <v>53</v>
      </c>
      <c r="B26" s="1060"/>
      <c r="C26" s="1060"/>
      <c r="D26" s="1060"/>
      <c r="E26" s="1060"/>
      <c r="F26" s="1060"/>
      <c r="G26" s="1060"/>
      <c r="H26" s="1060"/>
      <c r="I26" s="106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57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57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57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57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57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59" t="s">
        <v>53</v>
      </c>
      <c r="B35" s="1060"/>
      <c r="C35" s="1060"/>
      <c r="D35" s="1060"/>
      <c r="E35" s="1060"/>
      <c r="F35" s="1060"/>
      <c r="G35" s="1060"/>
      <c r="H35" s="1060"/>
      <c r="I35" s="106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5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57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58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59" t="s">
        <v>53</v>
      </c>
      <c r="B42" s="1060"/>
      <c r="C42" s="1060"/>
      <c r="D42" s="1060"/>
      <c r="E42" s="1060"/>
      <c r="F42" s="1060"/>
      <c r="G42" s="1060"/>
      <c r="H42" s="1060"/>
      <c r="I42" s="106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59" t="s">
        <v>53</v>
      </c>
      <c r="B48" s="1060"/>
      <c r="C48" s="1060"/>
      <c r="D48" s="1060"/>
      <c r="E48" s="1060"/>
      <c r="F48" s="1060"/>
      <c r="G48" s="1060"/>
      <c r="H48" s="1060"/>
      <c r="I48" s="106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57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58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59" t="s">
        <v>53</v>
      </c>
      <c r="B54" s="1060"/>
      <c r="C54" s="1060"/>
      <c r="D54" s="1060"/>
      <c r="E54" s="1060"/>
      <c r="F54" s="1060"/>
      <c r="G54" s="1060"/>
      <c r="H54" s="1060"/>
      <c r="I54" s="106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5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57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57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57"/>
      <c r="B61" s="108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57"/>
      <c r="B62" s="108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57"/>
      <c r="B63" s="109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59" t="s">
        <v>53</v>
      </c>
      <c r="B64" s="1060"/>
      <c r="C64" s="1060"/>
      <c r="D64" s="1060"/>
      <c r="E64" s="1060"/>
      <c r="F64" s="1060"/>
      <c r="G64" s="1060"/>
      <c r="H64" s="1060"/>
      <c r="I64" s="106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8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8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59" t="s">
        <v>53</v>
      </c>
      <c r="B70" s="1060"/>
      <c r="C70" s="1060"/>
      <c r="D70" s="1060"/>
      <c r="E70" s="1060"/>
      <c r="F70" s="1060"/>
      <c r="G70" s="1060"/>
      <c r="H70" s="1060"/>
      <c r="I70" s="106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5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57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50" t="s">
        <v>53</v>
      </c>
      <c r="B78" s="850"/>
      <c r="C78" s="850"/>
      <c r="D78" s="850"/>
      <c r="E78" s="850"/>
      <c r="F78" s="850"/>
      <c r="G78" s="850"/>
      <c r="H78" s="850"/>
      <c r="I78" s="850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57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57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57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57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59" t="s">
        <v>53</v>
      </c>
      <c r="B86" s="1060"/>
      <c r="C86" s="1060"/>
      <c r="D86" s="1060"/>
      <c r="E86" s="1060"/>
      <c r="F86" s="1060"/>
      <c r="G86" s="1060"/>
      <c r="H86" s="1060"/>
      <c r="I86" s="106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59" t="s">
        <v>53</v>
      </c>
      <c r="B92" s="1060"/>
      <c r="C92" s="1060"/>
      <c r="D92" s="1060"/>
      <c r="E92" s="1060"/>
      <c r="F92" s="1060"/>
      <c r="G92" s="1060"/>
      <c r="H92" s="1060"/>
      <c r="I92" s="106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57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57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57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57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59" t="s">
        <v>53</v>
      </c>
      <c r="B101" s="1060"/>
      <c r="C101" s="1060"/>
      <c r="D101" s="1060"/>
      <c r="E101" s="1060"/>
      <c r="F101" s="1060"/>
      <c r="G101" s="1060"/>
      <c r="H101" s="1060"/>
      <c r="I101" s="106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5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57"/>
      <c r="B107" s="108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57"/>
      <c r="B108" s="108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57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57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58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50" t="s">
        <v>53</v>
      </c>
      <c r="B112" s="850"/>
      <c r="C112" s="850"/>
      <c r="D112" s="850"/>
      <c r="E112" s="850"/>
      <c r="F112" s="850"/>
      <c r="G112" s="850"/>
      <c r="H112" s="850"/>
      <c r="I112" s="850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64" t="s">
        <v>954</v>
      </c>
      <c r="B119" s="88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5"/>
      <c r="B120" s="88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50" t="s">
        <v>53</v>
      </c>
      <c r="B121" s="850"/>
      <c r="C121" s="850"/>
      <c r="D121" s="850"/>
      <c r="E121" s="850"/>
      <c r="F121" s="850"/>
      <c r="G121" s="850"/>
      <c r="H121" s="850"/>
      <c r="I121" s="850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6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5"/>
      <c r="B129" s="109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6" t="s">
        <v>90</v>
      </c>
      <c r="J129" s="1074">
        <v>2</v>
      </c>
      <c r="K129" s="25" t="s">
        <v>52</v>
      </c>
      <c r="L129" s="25" t="s">
        <v>51</v>
      </c>
    </row>
    <row r="130" spans="1:12">
      <c r="A130" s="865"/>
      <c r="B130" s="109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6"/>
      <c r="J130" s="1075"/>
      <c r="K130" s="25" t="s">
        <v>52</v>
      </c>
      <c r="L130" s="25" t="s">
        <v>51</v>
      </c>
    </row>
    <row r="131" spans="1:12">
      <c r="A131" s="86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5"/>
      <c r="B133" s="953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94" t="s">
        <v>1277</v>
      </c>
      <c r="J133" s="1074">
        <v>1</v>
      </c>
      <c r="K133" s="25" t="s">
        <v>52</v>
      </c>
      <c r="L133" s="25" t="s">
        <v>51</v>
      </c>
    </row>
    <row r="134" spans="1:12">
      <c r="A134" s="865"/>
      <c r="B134" s="955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71"/>
      <c r="J134" s="1075"/>
      <c r="K134" s="25" t="s">
        <v>52</v>
      </c>
      <c r="L134" s="25" t="s">
        <v>51</v>
      </c>
    </row>
    <row r="135" spans="1:12">
      <c r="A135" s="86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50" t="s">
        <v>53</v>
      </c>
      <c r="B137" s="850"/>
      <c r="C137" s="850"/>
      <c r="D137" s="850"/>
      <c r="E137" s="850"/>
      <c r="F137" s="850"/>
      <c r="G137" s="850"/>
      <c r="H137" s="850"/>
      <c r="I137" s="850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5" t="s">
        <v>1007</v>
      </c>
      <c r="B142" s="953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5"/>
      <c r="B143" s="955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50" t="s">
        <v>53</v>
      </c>
      <c r="B145" s="850"/>
      <c r="C145" s="850"/>
      <c r="D145" s="850"/>
      <c r="E145" s="850"/>
      <c r="F145" s="850"/>
      <c r="G145" s="850"/>
      <c r="H145" s="850"/>
      <c r="I145" s="850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9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91"/>
      <c r="B150" s="88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91"/>
      <c r="B151" s="88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9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9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6" t="s">
        <v>53</v>
      </c>
      <c r="B154" s="836"/>
      <c r="C154" s="836"/>
      <c r="D154" s="836"/>
      <c r="E154" s="836"/>
      <c r="F154" s="836"/>
      <c r="G154" s="836"/>
      <c r="H154" s="836"/>
      <c r="I154" s="836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6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50" t="s">
        <v>53</v>
      </c>
      <c r="B163" s="850"/>
      <c r="C163" s="850"/>
      <c r="D163" s="850"/>
      <c r="E163" s="850"/>
      <c r="F163" s="850"/>
      <c r="G163" s="850"/>
      <c r="H163" s="850"/>
      <c r="I163" s="850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6" t="s">
        <v>53</v>
      </c>
      <c r="B167" s="836"/>
      <c r="C167" s="836"/>
      <c r="D167" s="836"/>
      <c r="E167" s="836"/>
      <c r="F167" s="836"/>
      <c r="G167" s="836"/>
      <c r="H167" s="836"/>
      <c r="I167" s="836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6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50" t="s">
        <v>53</v>
      </c>
      <c r="B183" s="850"/>
      <c r="C183" s="850"/>
      <c r="D183" s="850"/>
      <c r="E183" s="850"/>
      <c r="F183" s="850"/>
      <c r="G183" s="850"/>
      <c r="H183" s="850"/>
      <c r="I183" s="850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07" t="s">
        <v>1061</v>
      </c>
      <c r="B189" s="88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08"/>
      <c r="B190" s="88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08"/>
      <c r="B191" s="88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08"/>
      <c r="B192" s="88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50" t="s">
        <v>53</v>
      </c>
      <c r="B193" s="850"/>
      <c r="C193" s="850"/>
      <c r="D193" s="850"/>
      <c r="E193" s="850"/>
      <c r="F193" s="850"/>
      <c r="G193" s="850"/>
      <c r="H193" s="850"/>
      <c r="I193" s="850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9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9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9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9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6" t="s">
        <v>53</v>
      </c>
      <c r="B203" s="836"/>
      <c r="C203" s="836"/>
      <c r="D203" s="836"/>
      <c r="E203" s="836"/>
      <c r="F203" s="836"/>
      <c r="G203" s="836"/>
      <c r="H203" s="836"/>
      <c r="I203" s="836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6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6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6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6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6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6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6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6" t="s">
        <v>53</v>
      </c>
      <c r="B214" s="836"/>
      <c r="C214" s="836"/>
      <c r="D214" s="836"/>
      <c r="E214" s="836"/>
      <c r="F214" s="836"/>
      <c r="G214" s="836"/>
      <c r="H214" s="836"/>
      <c r="I214" s="836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6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36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6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6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6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6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6" t="s">
        <v>1458</v>
      </c>
      <c r="B226" s="836"/>
      <c r="C226" s="836"/>
      <c r="D226" s="836"/>
      <c r="E226" s="836"/>
      <c r="F226" s="836"/>
      <c r="G226" s="836"/>
      <c r="H226" s="836"/>
      <c r="I226" s="836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6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6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6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6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836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6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6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6" t="s">
        <v>1499</v>
      </c>
      <c r="B236" s="836"/>
      <c r="C236" s="836"/>
      <c r="D236" s="836"/>
      <c r="E236" s="836"/>
      <c r="F236" s="836"/>
      <c r="G236" s="836"/>
      <c r="H236" s="836"/>
      <c r="I236" s="836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57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57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57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57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59" t="s">
        <v>53</v>
      </c>
      <c r="B244" s="1060"/>
      <c r="C244" s="1060"/>
      <c r="D244" s="1060"/>
      <c r="E244" s="1060"/>
      <c r="F244" s="1060"/>
      <c r="G244" s="1060"/>
      <c r="H244" s="1060"/>
      <c r="I244" s="106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57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57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57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59" t="s">
        <v>53</v>
      </c>
      <c r="B250" s="1060"/>
      <c r="C250" s="1060"/>
      <c r="D250" s="1060"/>
      <c r="E250" s="1060"/>
      <c r="F250" s="1060"/>
      <c r="G250" s="1060"/>
      <c r="H250" s="1060"/>
      <c r="I250" s="106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57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57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57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57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59" t="s">
        <v>53</v>
      </c>
      <c r="B257" s="1060"/>
      <c r="C257" s="1060"/>
      <c r="D257" s="1060"/>
      <c r="E257" s="1060"/>
      <c r="F257" s="1060"/>
      <c r="G257" s="1060"/>
      <c r="H257" s="1060"/>
      <c r="I257" s="106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9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9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59" t="s">
        <v>53</v>
      </c>
      <c r="B262" s="1060"/>
      <c r="C262" s="1060"/>
      <c r="D262" s="1060"/>
      <c r="E262" s="1060"/>
      <c r="F262" s="1060"/>
      <c r="G262" s="1060"/>
      <c r="H262" s="1060"/>
      <c r="I262" s="106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5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57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7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57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7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57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75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57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58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59" t="s">
        <v>53</v>
      </c>
      <c r="B271" s="1060"/>
      <c r="C271" s="1060"/>
      <c r="D271" s="1060"/>
      <c r="E271" s="1060"/>
      <c r="F271" s="1060"/>
      <c r="G271" s="1060"/>
      <c r="H271" s="1060"/>
      <c r="I271" s="106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59" t="s">
        <v>53</v>
      </c>
      <c r="B275" s="1060"/>
      <c r="C275" s="1060"/>
      <c r="D275" s="1060"/>
      <c r="E275" s="1060"/>
      <c r="F275" s="1060"/>
      <c r="G275" s="1060"/>
      <c r="H275" s="1060"/>
      <c r="I275" s="106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7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8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8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8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8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8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8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8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8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8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8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8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8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59" t="s">
        <v>1646</v>
      </c>
      <c r="B296" s="1060"/>
      <c r="C296" s="1060"/>
      <c r="D296" s="1060"/>
      <c r="E296" s="1060"/>
      <c r="F296" s="1060"/>
      <c r="G296" s="1060"/>
      <c r="H296" s="1060"/>
      <c r="I296" s="106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836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836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836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836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6" t="s">
        <v>1659</v>
      </c>
      <c r="B305" s="836"/>
      <c r="C305" s="836"/>
      <c r="D305" s="836"/>
      <c r="E305" s="836"/>
      <c r="F305" s="836"/>
      <c r="G305" s="836"/>
      <c r="H305" s="836"/>
      <c r="I305" s="836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6" t="s">
        <v>53</v>
      </c>
      <c r="B309" s="836"/>
      <c r="C309" s="836"/>
      <c r="D309" s="836"/>
      <c r="E309" s="836"/>
      <c r="F309" s="836"/>
      <c r="G309" s="836"/>
      <c r="H309" s="836"/>
      <c r="I309" s="836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6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836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836" t="s">
        <v>1659</v>
      </c>
      <c r="B314" s="836"/>
      <c r="C314" s="836"/>
      <c r="D314" s="836"/>
      <c r="E314" s="836"/>
      <c r="F314" s="836"/>
      <c r="G314" s="836"/>
      <c r="H314" s="836"/>
      <c r="I314" s="836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6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6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6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836" t="s">
        <v>1659</v>
      </c>
      <c r="B321" s="836"/>
      <c r="C321" s="836"/>
      <c r="D321" s="836"/>
      <c r="E321" s="836"/>
      <c r="F321" s="836"/>
      <c r="G321" s="836"/>
      <c r="H321" s="836"/>
      <c r="I321" s="836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836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836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836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836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836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836" t="s">
        <v>1659</v>
      </c>
      <c r="B330" s="836"/>
      <c r="C330" s="836"/>
      <c r="D330" s="836"/>
      <c r="E330" s="836"/>
      <c r="F330" s="836"/>
      <c r="G330" s="836"/>
      <c r="H330" s="836"/>
      <c r="I330" s="836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7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8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8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8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8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836" t="s">
        <v>1659</v>
      </c>
      <c r="B338" s="836"/>
      <c r="C338" s="836"/>
      <c r="D338" s="836"/>
      <c r="E338" s="836"/>
      <c r="F338" s="836"/>
      <c r="G338" s="836"/>
      <c r="H338" s="836"/>
      <c r="I338" s="836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96" t="s">
        <v>1521</v>
      </c>
      <c r="B343" s="128" t="s">
        <v>1531</v>
      </c>
      <c r="C343" s="989" t="s">
        <v>306</v>
      </c>
      <c r="D343" s="989" t="s">
        <v>322</v>
      </c>
      <c r="E343" s="870" t="s">
        <v>307</v>
      </c>
      <c r="F343" s="1099">
        <v>4266</v>
      </c>
      <c r="G343" s="989" t="s">
        <v>640</v>
      </c>
      <c r="H343" s="1099" t="s">
        <v>1533</v>
      </c>
      <c r="I343" s="989" t="s">
        <v>1534</v>
      </c>
      <c r="J343" s="870">
        <v>2</v>
      </c>
      <c r="K343" s="1056" t="s">
        <v>50</v>
      </c>
      <c r="L343" s="1056" t="s">
        <v>51</v>
      </c>
    </row>
    <row r="344" spans="1:13">
      <c r="A344" s="1097"/>
      <c r="B344" s="129" t="s">
        <v>1532</v>
      </c>
      <c r="C344" s="871"/>
      <c r="D344" s="871"/>
      <c r="E344" s="871"/>
      <c r="F344" s="869"/>
      <c r="G344" s="871"/>
      <c r="H344" s="869"/>
      <c r="I344" s="871"/>
      <c r="J344" s="871"/>
      <c r="K344" s="1058"/>
      <c r="L344" s="1058"/>
    </row>
    <row r="345" spans="1:13">
      <c r="A345" s="1097"/>
      <c r="B345" s="128" t="s">
        <v>1536</v>
      </c>
      <c r="C345" s="870" t="s">
        <v>306</v>
      </c>
      <c r="D345" s="870" t="s">
        <v>322</v>
      </c>
      <c r="E345" s="870" t="s">
        <v>307</v>
      </c>
      <c r="F345" s="868">
        <v>3306</v>
      </c>
      <c r="G345" s="870" t="s">
        <v>1153</v>
      </c>
      <c r="H345" s="868" t="s">
        <v>1538</v>
      </c>
      <c r="I345" s="870" t="s">
        <v>1534</v>
      </c>
      <c r="J345" s="870">
        <v>2</v>
      </c>
      <c r="K345" s="1056" t="s">
        <v>50</v>
      </c>
      <c r="L345" s="1056" t="s">
        <v>51</v>
      </c>
    </row>
    <row r="346" spans="1:13">
      <c r="A346" s="1098"/>
      <c r="B346" s="129" t="s">
        <v>1537</v>
      </c>
      <c r="C346" s="871"/>
      <c r="D346" s="871"/>
      <c r="E346" s="871"/>
      <c r="F346" s="869"/>
      <c r="G346" s="871"/>
      <c r="H346" s="869"/>
      <c r="I346" s="871"/>
      <c r="J346" s="871"/>
      <c r="K346" s="1058"/>
      <c r="L346" s="1058"/>
    </row>
    <row r="347" spans="1:13">
      <c r="A347" s="1059" t="s">
        <v>53</v>
      </c>
      <c r="B347" s="1060"/>
      <c r="C347" s="1060"/>
      <c r="D347" s="1060"/>
      <c r="E347" s="1060"/>
      <c r="F347" s="1060"/>
      <c r="G347" s="1060"/>
      <c r="H347" s="1060"/>
      <c r="I347" s="106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6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50" t="s">
        <v>53</v>
      </c>
      <c r="B357" s="850"/>
      <c r="C357" s="850"/>
      <c r="D357" s="850"/>
      <c r="E357" s="850"/>
      <c r="F357" s="850"/>
      <c r="G357" s="850"/>
      <c r="H357" s="850"/>
      <c r="I357" s="850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6" t="s">
        <v>1458</v>
      </c>
      <c r="B361" s="836"/>
      <c r="C361" s="836"/>
      <c r="D361" s="836"/>
      <c r="E361" s="836"/>
      <c r="F361" s="836"/>
      <c r="G361" s="836"/>
      <c r="H361" s="836"/>
      <c r="I361" s="836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91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6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6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6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6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836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836" t="s">
        <v>1659</v>
      </c>
      <c r="B370" s="836"/>
      <c r="C370" s="836"/>
      <c r="D370" s="836"/>
      <c r="E370" s="836"/>
      <c r="F370" s="836"/>
      <c r="G370" s="836"/>
      <c r="H370" s="836"/>
      <c r="I370" s="836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7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8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50" t="s">
        <v>1646</v>
      </c>
      <c r="B378" s="850"/>
      <c r="C378" s="850"/>
      <c r="D378" s="850"/>
      <c r="E378" s="850"/>
      <c r="F378" s="850"/>
      <c r="G378" s="850"/>
      <c r="H378" s="850"/>
      <c r="I378" s="850"/>
      <c r="J378" s="850"/>
      <c r="K378" s="4">
        <v>25</v>
      </c>
      <c r="L378" s="55"/>
    </row>
    <row r="381" spans="1:12">
      <c r="B381" s="1079" t="s">
        <v>1</v>
      </c>
      <c r="C381" s="1079" t="s">
        <v>2</v>
      </c>
      <c r="D381" s="1079" t="s">
        <v>3</v>
      </c>
      <c r="E381" s="36" t="s">
        <v>54</v>
      </c>
      <c r="F381" s="1079" t="s">
        <v>5</v>
      </c>
      <c r="G381" s="1079" t="s">
        <v>6</v>
      </c>
      <c r="H381" s="1079" t="s">
        <v>7</v>
      </c>
      <c r="I381" s="1079" t="s">
        <v>55</v>
      </c>
      <c r="J381" s="1079" t="s">
        <v>9</v>
      </c>
      <c r="K381" s="1081" t="s">
        <v>56</v>
      </c>
      <c r="L381" s="1079" t="s">
        <v>57</v>
      </c>
    </row>
    <row r="382" spans="1:12">
      <c r="B382" s="1080"/>
      <c r="C382" s="1080"/>
      <c r="D382" s="1080"/>
      <c r="E382" s="37" t="s">
        <v>59</v>
      </c>
      <c r="F382" s="1080"/>
      <c r="G382" s="1080"/>
      <c r="H382" s="1080"/>
      <c r="I382" s="1080"/>
      <c r="J382" s="1080"/>
      <c r="K382" s="1082"/>
      <c r="L382" s="1080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836" t="s">
        <v>53</v>
      </c>
      <c r="B394" s="836"/>
      <c r="C394" s="836"/>
      <c r="D394" s="836"/>
      <c r="E394" s="836"/>
      <c r="F394" s="836"/>
      <c r="G394" s="836"/>
      <c r="H394" s="836"/>
      <c r="I394" s="836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7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8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8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8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836" t="s">
        <v>53</v>
      </c>
      <c r="B401" s="836"/>
      <c r="C401" s="836"/>
      <c r="D401" s="836"/>
      <c r="E401" s="836"/>
      <c r="F401" s="836"/>
      <c r="G401" s="836"/>
      <c r="H401" s="836"/>
      <c r="I401" s="836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71" t="s">
        <v>229</v>
      </c>
      <c r="B405" s="1067" t="s">
        <v>1805</v>
      </c>
      <c r="C405" s="1067" t="s">
        <v>700</v>
      </c>
      <c r="D405" s="1063" t="s">
        <v>675</v>
      </c>
      <c r="E405" s="1067" t="s">
        <v>1806</v>
      </c>
      <c r="F405" s="1067" t="s">
        <v>1807</v>
      </c>
      <c r="G405" s="1067" t="s">
        <v>662</v>
      </c>
      <c r="H405" s="1068" t="s">
        <v>1808</v>
      </c>
      <c r="I405" s="1063"/>
      <c r="J405" s="1068">
        <v>1</v>
      </c>
      <c r="K405" s="1056" t="s">
        <v>631</v>
      </c>
      <c r="L405" s="846" t="s">
        <v>51</v>
      </c>
    </row>
    <row r="406" spans="1:12" ht="13.5" customHeight="1">
      <c r="A406" s="1071"/>
      <c r="B406" s="1067"/>
      <c r="C406" s="1067"/>
      <c r="D406" s="1063"/>
      <c r="E406" s="1067"/>
      <c r="F406" s="1067"/>
      <c r="G406" s="1067"/>
      <c r="H406" s="1068"/>
      <c r="I406" s="1063"/>
      <c r="J406" s="1068"/>
      <c r="K406" s="1058"/>
      <c r="L406" s="848"/>
    </row>
    <row r="407" spans="1:12" ht="27" customHeight="1">
      <c r="A407" s="107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7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71" t="s">
        <v>1646</v>
      </c>
      <c r="B409" s="1071"/>
      <c r="C409" s="1071"/>
      <c r="D409" s="1071"/>
      <c r="E409" s="1071"/>
      <c r="F409" s="1071"/>
      <c r="G409" s="1071"/>
      <c r="H409" s="1071"/>
      <c r="I409" s="1071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71" t="s">
        <v>2008</v>
      </c>
      <c r="B412" s="1076" t="s">
        <v>2009</v>
      </c>
      <c r="C412" s="1056" t="s">
        <v>21</v>
      </c>
      <c r="D412" s="946" t="s">
        <v>14</v>
      </c>
      <c r="E412" s="1056" t="s">
        <v>78</v>
      </c>
      <c r="F412" s="1067" t="s">
        <v>2010</v>
      </c>
      <c r="G412" s="1067" t="s">
        <v>40</v>
      </c>
      <c r="H412" s="1068" t="s">
        <v>614</v>
      </c>
      <c r="I412" s="1063"/>
      <c r="J412" s="1068">
        <v>1</v>
      </c>
      <c r="K412" s="1056" t="s">
        <v>2011</v>
      </c>
      <c r="L412" s="846" t="s">
        <v>1997</v>
      </c>
    </row>
    <row r="413" spans="1:12" ht="20.100000000000001" customHeight="1">
      <c r="A413" s="1071"/>
      <c r="B413" s="1067"/>
      <c r="C413" s="1058"/>
      <c r="D413" s="948"/>
      <c r="E413" s="1058"/>
      <c r="F413" s="1067"/>
      <c r="G413" s="1067"/>
      <c r="H413" s="1068"/>
      <c r="I413" s="1063"/>
      <c r="J413" s="1068"/>
      <c r="K413" s="1058"/>
      <c r="L413" s="848"/>
    </row>
    <row r="414" spans="1:12" ht="20.100000000000001" customHeight="1">
      <c r="A414" s="1071" t="s">
        <v>1646</v>
      </c>
      <c r="B414" s="1071"/>
      <c r="C414" s="1071"/>
      <c r="D414" s="1071"/>
      <c r="E414" s="1071"/>
      <c r="F414" s="1071"/>
      <c r="G414" s="1071"/>
      <c r="H414" s="1071"/>
      <c r="I414" s="1071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84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847"/>
      <c r="B418" s="78" t="s">
        <v>1748</v>
      </c>
      <c r="C418" s="1063" t="s">
        <v>306</v>
      </c>
      <c r="D418" s="1063" t="s">
        <v>322</v>
      </c>
      <c r="E418" s="1063" t="s">
        <v>307</v>
      </c>
      <c r="F418" s="1068">
        <v>3306</v>
      </c>
      <c r="G418" s="1063" t="s">
        <v>1153</v>
      </c>
      <c r="H418" s="1068" t="s">
        <v>1749</v>
      </c>
      <c r="I418" s="1063" t="s">
        <v>664</v>
      </c>
      <c r="J418" s="1063">
        <v>4</v>
      </c>
      <c r="K418" s="1056" t="s">
        <v>631</v>
      </c>
      <c r="L418" s="846" t="s">
        <v>51</v>
      </c>
    </row>
    <row r="419" spans="1:12" ht="13.5" customHeight="1">
      <c r="A419" s="847"/>
      <c r="B419" s="79" t="s">
        <v>1751</v>
      </c>
      <c r="C419" s="1063"/>
      <c r="D419" s="1063"/>
      <c r="E419" s="1063"/>
      <c r="F419" s="1068"/>
      <c r="G419" s="1063"/>
      <c r="H419" s="1068"/>
      <c r="I419" s="1063"/>
      <c r="J419" s="1063"/>
      <c r="K419" s="1058"/>
      <c r="L419" s="848"/>
    </row>
    <row r="420" spans="1:12" ht="13.5" customHeight="1">
      <c r="A420" s="847"/>
      <c r="B420" s="78" t="s">
        <v>1800</v>
      </c>
      <c r="C420" s="1063" t="s">
        <v>306</v>
      </c>
      <c r="D420" s="1063" t="s">
        <v>322</v>
      </c>
      <c r="E420" s="1063" t="s">
        <v>307</v>
      </c>
      <c r="F420" s="1068" t="s">
        <v>1801</v>
      </c>
      <c r="G420" s="1063" t="s">
        <v>1802</v>
      </c>
      <c r="H420" s="1068" t="s">
        <v>1803</v>
      </c>
      <c r="I420" s="1063" t="s">
        <v>664</v>
      </c>
      <c r="J420" s="1063">
        <v>5</v>
      </c>
      <c r="K420" s="1056" t="s">
        <v>631</v>
      </c>
      <c r="L420" s="846" t="s">
        <v>51</v>
      </c>
    </row>
    <row r="421" spans="1:12" ht="13.5" customHeight="1">
      <c r="A421" s="847"/>
      <c r="B421" s="79" t="s">
        <v>1795</v>
      </c>
      <c r="C421" s="1063"/>
      <c r="D421" s="1063"/>
      <c r="E421" s="1063"/>
      <c r="F421" s="1068"/>
      <c r="G421" s="1063"/>
      <c r="H421" s="1068"/>
      <c r="I421" s="1063"/>
      <c r="J421" s="1063"/>
      <c r="K421" s="1058"/>
      <c r="L421" s="848"/>
    </row>
    <row r="422" spans="1:12" ht="27" customHeight="1">
      <c r="A422" s="848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71" t="s">
        <v>1646</v>
      </c>
      <c r="B423" s="1071"/>
      <c r="C423" s="1071"/>
      <c r="D423" s="1071"/>
      <c r="E423" s="1071"/>
      <c r="F423" s="1071"/>
      <c r="G423" s="1071"/>
      <c r="H423" s="1071"/>
      <c r="I423" s="1071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82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838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838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838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836" t="s">
        <v>1646</v>
      </c>
      <c r="B431" s="836"/>
      <c r="C431" s="836"/>
      <c r="D431" s="836"/>
      <c r="E431" s="836"/>
      <c r="F431" s="836"/>
      <c r="G431" s="836"/>
      <c r="H431" s="836"/>
      <c r="I431" s="836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838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827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836" t="s">
        <v>1646</v>
      </c>
      <c r="B435" s="836"/>
      <c r="C435" s="836"/>
      <c r="D435" s="836"/>
      <c r="E435" s="836"/>
      <c r="F435" s="836"/>
      <c r="G435" s="836"/>
      <c r="H435" s="836"/>
      <c r="I435" s="836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85" t="s">
        <v>2027</v>
      </c>
      <c r="B438" s="252" t="s">
        <v>1760</v>
      </c>
      <c r="C438" s="951" t="s">
        <v>306</v>
      </c>
      <c r="D438" s="951" t="s">
        <v>322</v>
      </c>
      <c r="E438" s="951" t="s">
        <v>307</v>
      </c>
      <c r="F438" s="1072" t="s">
        <v>1761</v>
      </c>
      <c r="G438" s="951" t="s">
        <v>329</v>
      </c>
      <c r="H438" s="1074" t="s">
        <v>1762</v>
      </c>
      <c r="I438" s="934" t="s">
        <v>664</v>
      </c>
      <c r="J438" s="1069">
        <v>2</v>
      </c>
      <c r="K438" s="1056" t="s">
        <v>1996</v>
      </c>
      <c r="L438" s="1056" t="s">
        <v>51</v>
      </c>
    </row>
    <row r="439" spans="1:12" ht="13.5" customHeight="1">
      <c r="A439" s="886"/>
      <c r="B439" s="253" t="s">
        <v>2028</v>
      </c>
      <c r="C439" s="952"/>
      <c r="D439" s="952"/>
      <c r="E439" s="952"/>
      <c r="F439" s="1073"/>
      <c r="G439" s="952"/>
      <c r="H439" s="1075"/>
      <c r="I439" s="935"/>
      <c r="J439" s="1070"/>
      <c r="K439" s="1058"/>
      <c r="L439" s="1058"/>
    </row>
    <row r="440" spans="1:12" ht="13.5" customHeight="1">
      <c r="A440" s="886"/>
      <c r="B440" s="254" t="s">
        <v>1794</v>
      </c>
      <c r="C440" s="852" t="s">
        <v>306</v>
      </c>
      <c r="D440" s="852" t="s">
        <v>322</v>
      </c>
      <c r="E440" s="852" t="s">
        <v>307</v>
      </c>
      <c r="F440" s="851" t="s">
        <v>1796</v>
      </c>
      <c r="G440" s="852" t="s">
        <v>1797</v>
      </c>
      <c r="H440" s="851" t="s">
        <v>1792</v>
      </c>
      <c r="I440" s="852" t="s">
        <v>664</v>
      </c>
      <c r="J440" s="870">
        <v>4</v>
      </c>
      <c r="K440" s="1056" t="s">
        <v>631</v>
      </c>
      <c r="L440" s="1056" t="s">
        <v>1997</v>
      </c>
    </row>
    <row r="441" spans="1:12" ht="13.5" customHeight="1">
      <c r="A441" s="886"/>
      <c r="B441" s="255" t="s">
        <v>1795</v>
      </c>
      <c r="C441" s="852"/>
      <c r="D441" s="852"/>
      <c r="E441" s="852"/>
      <c r="F441" s="851"/>
      <c r="G441" s="852"/>
      <c r="H441" s="851"/>
      <c r="I441" s="852"/>
      <c r="J441" s="871"/>
      <c r="K441" s="1058"/>
      <c r="L441" s="1058"/>
    </row>
    <row r="442" spans="1:12" ht="20.100000000000001" customHeight="1">
      <c r="A442" s="88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8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8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8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8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8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8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8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59" t="s">
        <v>1646</v>
      </c>
      <c r="B450" s="1060"/>
      <c r="C450" s="1060"/>
      <c r="D450" s="1060"/>
      <c r="E450" s="1060"/>
      <c r="F450" s="1060"/>
      <c r="G450" s="1060"/>
      <c r="H450" s="1060"/>
      <c r="I450" s="106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6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50" t="s">
        <v>2059</v>
      </c>
      <c r="B459" s="850"/>
      <c r="C459" s="850"/>
      <c r="D459" s="850"/>
      <c r="E459" s="850"/>
      <c r="F459" s="850"/>
      <c r="G459" s="850"/>
      <c r="H459" s="850"/>
      <c r="I459" s="850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82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838"/>
      <c r="B463" s="1064" t="s">
        <v>1767</v>
      </c>
      <c r="C463" s="1065" t="s">
        <v>311</v>
      </c>
      <c r="D463" s="1065" t="s">
        <v>320</v>
      </c>
      <c r="E463" s="1065" t="s">
        <v>709</v>
      </c>
      <c r="F463" s="1065" t="s">
        <v>1768</v>
      </c>
      <c r="G463" s="1064" t="s">
        <v>1769</v>
      </c>
      <c r="H463" s="258" t="s">
        <v>1770</v>
      </c>
      <c r="I463" s="1065"/>
      <c r="J463" s="1065">
        <v>1</v>
      </c>
      <c r="K463" s="946" t="s">
        <v>631</v>
      </c>
      <c r="L463" s="978" t="s">
        <v>51</v>
      </c>
    </row>
    <row r="464" spans="1:12" ht="13.5" customHeight="1">
      <c r="A464" s="838"/>
      <c r="B464" s="1064"/>
      <c r="C464" s="1065"/>
      <c r="D464" s="1065"/>
      <c r="E464" s="1065"/>
      <c r="F464" s="1065"/>
      <c r="G464" s="1064"/>
      <c r="H464" s="259" t="s">
        <v>1773</v>
      </c>
      <c r="I464" s="1065"/>
      <c r="J464" s="1065"/>
      <c r="K464" s="948"/>
      <c r="L464" s="979"/>
    </row>
    <row r="465" spans="1:12" ht="13.5" customHeight="1">
      <c r="A465" s="838"/>
      <c r="B465" s="1066" t="s">
        <v>1813</v>
      </c>
      <c r="C465" s="1067" t="s">
        <v>700</v>
      </c>
      <c r="D465" s="1063" t="s">
        <v>320</v>
      </c>
      <c r="E465" s="1063" t="s">
        <v>337</v>
      </c>
      <c r="F465" s="1067" t="s">
        <v>353</v>
      </c>
      <c r="G465" s="1067" t="s">
        <v>1814</v>
      </c>
      <c r="H465" s="1068" t="s">
        <v>1815</v>
      </c>
      <c r="I465" s="1063" t="s">
        <v>638</v>
      </c>
      <c r="J465" s="1068">
        <v>2</v>
      </c>
      <c r="K465" s="1056" t="s">
        <v>631</v>
      </c>
      <c r="L465" s="1056" t="s">
        <v>51</v>
      </c>
    </row>
    <row r="466" spans="1:12" ht="13.5" customHeight="1">
      <c r="A466" s="838"/>
      <c r="B466" s="1066"/>
      <c r="C466" s="1067"/>
      <c r="D466" s="1063"/>
      <c r="E466" s="1063"/>
      <c r="F466" s="1067"/>
      <c r="G466" s="1067"/>
      <c r="H466" s="1068"/>
      <c r="I466" s="1063"/>
      <c r="J466" s="1068"/>
      <c r="K466" s="1058"/>
      <c r="L466" s="1058"/>
    </row>
    <row r="467" spans="1:12" ht="27" customHeight="1">
      <c r="A467" s="838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838"/>
      <c r="B468" s="1067" t="s">
        <v>1820</v>
      </c>
      <c r="C468" s="1067" t="s">
        <v>700</v>
      </c>
      <c r="D468" s="1063" t="s">
        <v>320</v>
      </c>
      <c r="E468" s="1063" t="s">
        <v>709</v>
      </c>
      <c r="F468" s="1063" t="s">
        <v>1768</v>
      </c>
      <c r="G468" s="1067" t="s">
        <v>1821</v>
      </c>
      <c r="H468" s="261" t="s">
        <v>1822</v>
      </c>
      <c r="I468" s="1063" t="s">
        <v>638</v>
      </c>
      <c r="J468" s="1063">
        <v>2</v>
      </c>
      <c r="K468" s="1056" t="s">
        <v>631</v>
      </c>
      <c r="L468" s="1056" t="s">
        <v>51</v>
      </c>
    </row>
    <row r="469" spans="1:12" ht="13.5" customHeight="1">
      <c r="A469" s="838"/>
      <c r="B469" s="1067"/>
      <c r="C469" s="1067"/>
      <c r="D469" s="1063"/>
      <c r="E469" s="1063"/>
      <c r="F469" s="1063"/>
      <c r="G469" s="1067"/>
      <c r="H469" s="262" t="s">
        <v>1823</v>
      </c>
      <c r="I469" s="1063"/>
      <c r="J469" s="1063"/>
      <c r="K469" s="1058"/>
      <c r="L469" s="1058"/>
    </row>
    <row r="470" spans="1:12" ht="27" customHeight="1">
      <c r="A470" s="838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827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836" t="s">
        <v>53</v>
      </c>
      <c r="B472" s="836"/>
      <c r="C472" s="836"/>
      <c r="D472" s="836"/>
      <c r="E472" s="836"/>
      <c r="F472" s="836"/>
      <c r="G472" s="836"/>
      <c r="H472" s="836"/>
      <c r="I472" s="836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836" t="s">
        <v>228</v>
      </c>
      <c r="B476" s="1064" t="s">
        <v>1767</v>
      </c>
      <c r="C476" s="1065" t="s">
        <v>311</v>
      </c>
      <c r="D476" s="1065" t="s">
        <v>320</v>
      </c>
      <c r="E476" s="1065" t="s">
        <v>709</v>
      </c>
      <c r="F476" s="1065" t="s">
        <v>1768</v>
      </c>
      <c r="G476" s="1064" t="s">
        <v>1769</v>
      </c>
      <c r="H476" s="258" t="s">
        <v>1770</v>
      </c>
      <c r="I476" s="1065"/>
      <c r="J476" s="1065">
        <v>1</v>
      </c>
      <c r="K476" s="946" t="s">
        <v>631</v>
      </c>
      <c r="L476" s="978" t="s">
        <v>51</v>
      </c>
    </row>
    <row r="477" spans="1:12" ht="13.5" customHeight="1">
      <c r="A477" s="836"/>
      <c r="B477" s="1064"/>
      <c r="C477" s="1065"/>
      <c r="D477" s="1065"/>
      <c r="E477" s="1065"/>
      <c r="F477" s="1065"/>
      <c r="G477" s="1064"/>
      <c r="H477" s="259" t="s">
        <v>1773</v>
      </c>
      <c r="I477" s="1065"/>
      <c r="J477" s="1065"/>
      <c r="K477" s="948"/>
      <c r="L477" s="979"/>
    </row>
    <row r="478" spans="1:12" ht="27" customHeight="1">
      <c r="A478" s="836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836" t="s">
        <v>1646</v>
      </c>
      <c r="B479" s="836"/>
      <c r="C479" s="836"/>
      <c r="D479" s="836"/>
      <c r="E479" s="836"/>
      <c r="F479" s="836"/>
      <c r="G479" s="836"/>
      <c r="H479" s="836"/>
      <c r="I479" s="836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56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57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57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57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58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59" t="s">
        <v>53</v>
      </c>
      <c r="B487" s="1060"/>
      <c r="C487" s="1060"/>
      <c r="D487" s="1060"/>
      <c r="E487" s="1060"/>
      <c r="F487" s="1060"/>
      <c r="G487" s="1060"/>
      <c r="H487" s="1060"/>
      <c r="I487" s="106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54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5"/>
      <c r="B494" s="1053" t="s">
        <v>2182</v>
      </c>
      <c r="C494" s="1053" t="s">
        <v>306</v>
      </c>
      <c r="D494" s="1053" t="s">
        <v>322</v>
      </c>
      <c r="E494" s="1053" t="s">
        <v>307</v>
      </c>
      <c r="F494" s="1062" t="s">
        <v>1919</v>
      </c>
      <c r="G494" s="1053" t="s">
        <v>662</v>
      </c>
      <c r="H494" s="1062" t="s">
        <v>1920</v>
      </c>
      <c r="I494" s="1053" t="s">
        <v>349</v>
      </c>
      <c r="J494" s="1053">
        <v>2</v>
      </c>
      <c r="K494" s="1067" t="s">
        <v>50</v>
      </c>
      <c r="L494" s="222">
        <v>23</v>
      </c>
    </row>
    <row r="495" spans="1:12" ht="12.6" customHeight="1">
      <c r="A495" s="1055"/>
      <c r="B495" s="1053"/>
      <c r="C495" s="1053"/>
      <c r="D495" s="1053"/>
      <c r="E495" s="1053"/>
      <c r="F495" s="1062"/>
      <c r="G495" s="1053"/>
      <c r="H495" s="1062"/>
      <c r="I495" s="1053"/>
      <c r="J495" s="1053"/>
      <c r="K495" s="1067"/>
    </row>
    <row r="496" spans="1:12" ht="24.95" customHeight="1">
      <c r="A496" s="1055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5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5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5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836" t="s">
        <v>53</v>
      </c>
      <c r="B500" s="836"/>
      <c r="C500" s="836"/>
      <c r="D500" s="836"/>
      <c r="E500" s="836"/>
      <c r="F500" s="836"/>
      <c r="G500" s="836"/>
      <c r="H500" s="836"/>
      <c r="I500" s="836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50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50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50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50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50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836" t="s">
        <v>2217</v>
      </c>
      <c r="B511" s="836"/>
      <c r="C511" s="836"/>
      <c r="D511" s="836"/>
      <c r="E511" s="836"/>
      <c r="F511" s="836"/>
      <c r="G511" s="836"/>
      <c r="H511" s="836"/>
      <c r="I511" s="836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50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50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50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50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50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50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50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50" t="s">
        <v>2233</v>
      </c>
      <c r="B522" s="850"/>
      <c r="C522" s="850"/>
      <c r="D522" s="850"/>
      <c r="E522" s="850"/>
      <c r="F522" s="850"/>
      <c r="G522" s="850"/>
      <c r="H522" s="850"/>
      <c r="I522" s="850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836" t="s">
        <v>2238</v>
      </c>
      <c r="B528" s="836"/>
      <c r="C528" s="836"/>
      <c r="D528" s="836"/>
      <c r="E528" s="836"/>
      <c r="F528" s="836"/>
      <c r="G528" s="836"/>
      <c r="H528" s="836"/>
      <c r="I528" s="836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50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50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50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836" t="s">
        <v>2233</v>
      </c>
      <c r="B535" s="836"/>
      <c r="C535" s="836"/>
      <c r="D535" s="836"/>
      <c r="E535" s="836"/>
      <c r="F535" s="836"/>
      <c r="G535" s="836"/>
      <c r="H535" s="836"/>
      <c r="I535" s="836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59" t="s">
        <v>2238</v>
      </c>
      <c r="B540" s="1060"/>
      <c r="C540" s="1060"/>
      <c r="D540" s="1060"/>
      <c r="E540" s="1060"/>
      <c r="F540" s="1060"/>
      <c r="G540" s="1060"/>
      <c r="H540" s="1060"/>
      <c r="I540" s="106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836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836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71" t="s">
        <v>2233</v>
      </c>
      <c r="B546" s="1071"/>
      <c r="C546" s="1071"/>
      <c r="D546" s="1071"/>
      <c r="E546" s="1071"/>
      <c r="F546" s="1071"/>
      <c r="G546" s="1071"/>
      <c r="H546" s="1071"/>
      <c r="I546" s="1071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836" t="s">
        <v>2233</v>
      </c>
      <c r="B550" s="836"/>
      <c r="C550" s="836"/>
      <c r="D550" s="836"/>
      <c r="E550" s="836"/>
      <c r="F550" s="836"/>
      <c r="G550" s="836"/>
      <c r="H550" s="836"/>
      <c r="I550" s="836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0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0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0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0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0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0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0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0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0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0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0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836" t="s">
        <v>2233</v>
      </c>
      <c r="B565" s="836"/>
      <c r="C565" s="836"/>
      <c r="D565" s="836"/>
      <c r="E565" s="836"/>
      <c r="F565" s="836"/>
      <c r="G565" s="836"/>
      <c r="H565" s="836"/>
      <c r="I565" s="836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94" t="s">
        <v>306</v>
      </c>
      <c r="D569" s="894" t="s">
        <v>322</v>
      </c>
      <c r="E569" s="894" t="s">
        <v>307</v>
      </c>
      <c r="F569" s="894">
        <v>3306</v>
      </c>
      <c r="G569" s="894" t="s">
        <v>1153</v>
      </c>
      <c r="H569" s="894" t="s">
        <v>1907</v>
      </c>
      <c r="I569" s="894" t="s">
        <v>1111</v>
      </c>
      <c r="J569" s="894" t="s">
        <v>692</v>
      </c>
      <c r="K569" s="1100" t="s">
        <v>2291</v>
      </c>
    </row>
    <row r="570" spans="1:12">
      <c r="B570" s="243" t="s">
        <v>1909</v>
      </c>
      <c r="C570" s="895"/>
      <c r="D570" s="895"/>
      <c r="E570" s="895"/>
      <c r="F570" s="895"/>
      <c r="G570" s="895"/>
      <c r="H570" s="895"/>
      <c r="I570" s="895"/>
      <c r="J570" s="895"/>
      <c r="K570" s="110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54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5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5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5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5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5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5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836" t="s">
        <v>1458</v>
      </c>
      <c r="B582" s="836"/>
      <c r="C582" s="836"/>
      <c r="D582" s="836"/>
      <c r="E582" s="836"/>
      <c r="F582" s="836"/>
      <c r="G582" s="836"/>
      <c r="H582" s="836"/>
      <c r="I582" s="836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50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50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836" t="s">
        <v>2393</v>
      </c>
      <c r="B588" s="836"/>
      <c r="C588" s="836"/>
      <c r="D588" s="836"/>
      <c r="E588" s="836"/>
      <c r="F588" s="836"/>
      <c r="G588" s="836"/>
      <c r="H588" s="836"/>
      <c r="I588" s="836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50" t="s">
        <v>2406</v>
      </c>
      <c r="B592" s="850"/>
      <c r="C592" s="850"/>
      <c r="D592" s="850"/>
      <c r="E592" s="850"/>
      <c r="F592" s="850"/>
      <c r="G592" s="850"/>
      <c r="H592" s="850"/>
      <c r="I592" s="850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50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50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50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50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50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50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50" t="s">
        <v>2406</v>
      </c>
      <c r="B601" s="850"/>
      <c r="C601" s="850"/>
      <c r="D601" s="850"/>
      <c r="E601" s="850"/>
      <c r="F601" s="850"/>
      <c r="G601" s="850"/>
      <c r="H601" s="850"/>
      <c r="I601" s="850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836" t="s">
        <v>2437</v>
      </c>
      <c r="B606" s="836"/>
      <c r="C606" s="836"/>
      <c r="D606" s="836"/>
      <c r="E606" s="836"/>
      <c r="F606" s="836"/>
      <c r="G606" s="836"/>
      <c r="H606" s="836"/>
      <c r="I606" s="836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50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50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50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836" t="s">
        <v>2406</v>
      </c>
      <c r="B613" s="836"/>
      <c r="C613" s="836"/>
      <c r="D613" s="836"/>
      <c r="E613" s="836"/>
      <c r="F613" s="836"/>
      <c r="G613" s="836"/>
      <c r="H613" s="836"/>
      <c r="I613" s="836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0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0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0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0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0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0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0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0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0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0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836" t="s">
        <v>2406</v>
      </c>
      <c r="B627" s="836"/>
      <c r="C627" s="836"/>
      <c r="D627" s="836"/>
      <c r="E627" s="836"/>
      <c r="F627" s="836"/>
      <c r="G627" s="836"/>
      <c r="H627" s="836"/>
      <c r="I627" s="836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048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048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048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048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048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048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048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048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048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048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048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048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048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048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049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050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050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050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050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051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052" t="s">
        <v>1646</v>
      </c>
      <c r="B655" s="1052"/>
      <c r="C655" s="1052"/>
      <c r="D655" s="1052"/>
      <c r="E655" s="1052"/>
      <c r="F655" s="1052"/>
      <c r="G655" s="1052"/>
      <c r="H655" s="1052"/>
      <c r="I655" s="1052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052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052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052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052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052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052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052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052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052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052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052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052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052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052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052" t="s">
        <v>1646</v>
      </c>
      <c r="B674" s="1052"/>
      <c r="C674" s="1052"/>
      <c r="D674" s="1052"/>
      <c r="E674" s="1052"/>
      <c r="F674" s="1052"/>
      <c r="G674" s="1052"/>
      <c r="H674" s="1052"/>
      <c r="I674" s="1052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052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052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052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052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052" t="s">
        <v>1646</v>
      </c>
      <c r="B681" s="1052"/>
      <c r="C681" s="1052"/>
      <c r="D681" s="1052"/>
      <c r="E681" s="1052"/>
      <c r="F681" s="1052"/>
      <c r="G681" s="1052"/>
      <c r="H681" s="1052"/>
      <c r="I681" s="1052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08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08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08" t="s">
        <v>1646</v>
      </c>
      <c r="B688" s="1108"/>
      <c r="C688" s="1108"/>
      <c r="D688" s="1108"/>
      <c r="E688" s="1108"/>
      <c r="F688" s="1108"/>
      <c r="G688" s="1108"/>
      <c r="H688" s="1108"/>
      <c r="I688" s="1108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048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048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048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048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048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048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048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08" t="s">
        <v>1646</v>
      </c>
      <c r="B699" s="1108"/>
      <c r="C699" s="1108"/>
      <c r="D699" s="1108"/>
      <c r="E699" s="1108"/>
      <c r="F699" s="1108"/>
      <c r="G699" s="1108"/>
      <c r="H699" s="1108"/>
      <c r="I699" s="1108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06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06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06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06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06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06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06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06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06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06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06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06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06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07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42" t="s">
        <v>1646</v>
      </c>
      <c r="B717" s="1042"/>
      <c r="C717" s="1042"/>
      <c r="D717" s="1042"/>
      <c r="E717" s="1042"/>
      <c r="F717" s="1042"/>
      <c r="G717" s="1042"/>
      <c r="H717" s="1042"/>
      <c r="I717" s="1042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43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44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44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44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44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44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44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45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42" t="s">
        <v>1646</v>
      </c>
      <c r="B731" s="1042"/>
      <c r="C731" s="1042"/>
      <c r="D731" s="1042"/>
      <c r="E731" s="1042"/>
      <c r="F731" s="1042"/>
      <c r="G731" s="1042"/>
      <c r="H731" s="1042"/>
      <c r="I731" s="1042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046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046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046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046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046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046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046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046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046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046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046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046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046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42" t="s">
        <v>1646</v>
      </c>
      <c r="B749" s="1042"/>
      <c r="C749" s="1042"/>
      <c r="D749" s="1042"/>
      <c r="E749" s="1042"/>
      <c r="F749" s="1042"/>
      <c r="G749" s="1042"/>
      <c r="H749" s="1042"/>
      <c r="I749" s="1042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037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038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038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038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038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038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038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038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047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32" t="s">
        <v>1646</v>
      </c>
      <c r="B762" s="1032"/>
      <c r="C762" s="1032"/>
      <c r="D762" s="1032"/>
      <c r="E762" s="1032"/>
      <c r="F762" s="1032"/>
      <c r="G762" s="1032"/>
      <c r="H762" s="1032"/>
      <c r="I762" s="1032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033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034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034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034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035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32" t="s">
        <v>1646</v>
      </c>
      <c r="B770" s="1032"/>
      <c r="C770" s="1032"/>
      <c r="D770" s="1032"/>
      <c r="E770" s="1032"/>
      <c r="F770" s="1032"/>
      <c r="G770" s="1032"/>
      <c r="H770" s="1032"/>
      <c r="I770" s="1032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041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041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041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041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041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32" t="s">
        <v>1646</v>
      </c>
      <c r="B778" s="1032"/>
      <c r="C778" s="1032"/>
      <c r="D778" s="1032"/>
      <c r="E778" s="1032"/>
      <c r="F778" s="1032"/>
      <c r="G778" s="1032"/>
      <c r="H778" s="1032"/>
      <c r="I778" s="1032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041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041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041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041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041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041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041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041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32" t="s">
        <v>1646</v>
      </c>
      <c r="B790" s="1032"/>
      <c r="C790" s="1032"/>
      <c r="D790" s="1032"/>
      <c r="E790" s="1032"/>
      <c r="F790" s="1032"/>
      <c r="G790" s="1032"/>
      <c r="H790" s="1032"/>
      <c r="I790" s="1032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037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038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038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038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038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038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038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038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32" t="s">
        <v>1646</v>
      </c>
      <c r="B802" s="1032"/>
      <c r="C802" s="1032"/>
      <c r="D802" s="1032"/>
      <c r="E802" s="1032"/>
      <c r="F802" s="1032"/>
      <c r="G802" s="1032"/>
      <c r="H802" s="1032"/>
      <c r="I802" s="1032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039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040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040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040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040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040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32" t="s">
        <v>1646</v>
      </c>
      <c r="B812" s="1032"/>
      <c r="C812" s="1032"/>
      <c r="D812" s="1032"/>
      <c r="E812" s="1032"/>
      <c r="F812" s="1032"/>
      <c r="G812" s="1032"/>
      <c r="H812" s="1032"/>
      <c r="I812" s="1032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50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50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32" t="s">
        <v>1646</v>
      </c>
      <c r="B819" s="1032"/>
      <c r="C819" s="1032"/>
      <c r="D819" s="1032"/>
      <c r="E819" s="1032"/>
      <c r="F819" s="1032"/>
      <c r="G819" s="1032"/>
      <c r="H819" s="1032"/>
      <c r="I819" s="1032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033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034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034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034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034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034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034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034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034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035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32" t="s">
        <v>1646</v>
      </c>
      <c r="B834" s="1032"/>
      <c r="C834" s="1032"/>
      <c r="D834" s="1032"/>
      <c r="E834" s="1032"/>
      <c r="F834" s="1032"/>
      <c r="G834" s="1032"/>
      <c r="H834" s="1032"/>
      <c r="I834" s="1032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033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034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035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32" t="s">
        <v>1646</v>
      </c>
      <c r="B841" s="1032"/>
      <c r="C841" s="1032"/>
      <c r="D841" s="1032"/>
      <c r="E841" s="1032"/>
      <c r="F841" s="1032"/>
      <c r="G841" s="1032"/>
      <c r="H841" s="1032"/>
      <c r="I841" s="1032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037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038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038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038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038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038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038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038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32" t="s">
        <v>1646</v>
      </c>
      <c r="B853" s="1032"/>
      <c r="C853" s="1032"/>
      <c r="D853" s="1032"/>
      <c r="E853" s="1032"/>
      <c r="F853" s="1032"/>
      <c r="G853" s="1032"/>
      <c r="H853" s="1032"/>
      <c r="I853" s="1032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033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034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034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034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034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034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034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034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034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034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034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034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034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034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034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034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034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034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034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035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32" t="s">
        <v>1646</v>
      </c>
      <c r="B876" s="1032"/>
      <c r="C876" s="1032"/>
      <c r="D876" s="1032"/>
      <c r="E876" s="1032"/>
      <c r="F876" s="1032"/>
      <c r="G876" s="1032"/>
      <c r="H876" s="1032"/>
      <c r="I876" s="1032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034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034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034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034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034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034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034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32" t="s">
        <v>1646</v>
      </c>
      <c r="B887" s="1032"/>
      <c r="C887" s="1032"/>
      <c r="D887" s="1032"/>
      <c r="E887" s="1032"/>
      <c r="F887" s="1032"/>
      <c r="G887" s="1032"/>
      <c r="H887" s="1032"/>
      <c r="I887" s="1032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030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031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031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031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031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031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031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031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031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031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031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32" t="s">
        <v>1646</v>
      </c>
      <c r="B904" s="1032"/>
      <c r="C904" s="1032"/>
      <c r="D904" s="1032"/>
      <c r="E904" s="1032"/>
      <c r="F904" s="1032"/>
      <c r="G904" s="1032"/>
      <c r="H904" s="1032"/>
      <c r="I904" s="1032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030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031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031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031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031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031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031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031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031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031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031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32" t="s">
        <v>1646</v>
      </c>
      <c r="B919" s="1032"/>
      <c r="C919" s="1032"/>
      <c r="D919" s="1032"/>
      <c r="E919" s="1032"/>
      <c r="F919" s="1032"/>
      <c r="G919" s="1032"/>
      <c r="H919" s="1032"/>
      <c r="I919" s="1032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033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034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034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034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035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32" t="s">
        <v>1646</v>
      </c>
      <c r="B930" s="1032"/>
      <c r="C930" s="1032"/>
      <c r="D930" s="1032"/>
      <c r="E930" s="1032"/>
      <c r="F930" s="1032"/>
      <c r="G930" s="1032"/>
      <c r="H930" s="1032"/>
      <c r="I930" s="1032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036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036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036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036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036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036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036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036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036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036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036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32" t="s">
        <v>1646</v>
      </c>
      <c r="B944" s="1032"/>
      <c r="C944" s="1032"/>
      <c r="D944" s="1032"/>
      <c r="E944" s="1032"/>
      <c r="F944" s="1032"/>
      <c r="G944" s="1032"/>
      <c r="H944" s="1032"/>
      <c r="I944" s="1032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103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104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104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105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32" t="s">
        <v>1646</v>
      </c>
      <c r="B952" s="1032"/>
      <c r="C952" s="1032"/>
      <c r="D952" s="1032"/>
      <c r="E952" s="1032"/>
      <c r="F952" s="1032"/>
      <c r="G952" s="1032"/>
      <c r="H952" s="1032"/>
      <c r="I952" s="1032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32" t="s">
        <v>1646</v>
      </c>
      <c r="B956" s="1032"/>
      <c r="C956" s="1032"/>
      <c r="D956" s="1032"/>
      <c r="E956" s="1032"/>
      <c r="F956" s="1032"/>
      <c r="G956" s="1032"/>
      <c r="H956" s="1032"/>
      <c r="I956" s="1032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50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50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50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50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32" t="s">
        <v>1646</v>
      </c>
      <c r="B964" s="1032"/>
      <c r="C964" s="1032"/>
      <c r="D964" s="1032"/>
      <c r="E964" s="1032"/>
      <c r="F964" s="1032"/>
      <c r="G964" s="1032"/>
      <c r="H964" s="1032"/>
      <c r="I964" s="1032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43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44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44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44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44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44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44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44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45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32" t="s">
        <v>1646</v>
      </c>
      <c r="B976" s="1032"/>
      <c r="C976" s="1032"/>
      <c r="D976" s="1032"/>
      <c r="E976" s="1032"/>
      <c r="F976" s="1032"/>
      <c r="G976" s="1032"/>
      <c r="H976" s="1032"/>
      <c r="I976" s="1032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6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32" t="s">
        <v>1646</v>
      </c>
      <c r="B982" s="1032"/>
      <c r="C982" s="1032"/>
      <c r="D982" s="1032"/>
      <c r="E982" s="1032"/>
      <c r="F982" s="1032"/>
      <c r="G982" s="1032"/>
      <c r="H982" s="1032"/>
      <c r="I982" s="1032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50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50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32" t="s">
        <v>1646</v>
      </c>
      <c r="B989" s="1032"/>
      <c r="C989" s="1032"/>
      <c r="D989" s="1032"/>
      <c r="E989" s="1032"/>
      <c r="F989" s="1032"/>
      <c r="G989" s="1032"/>
      <c r="H989" s="1032"/>
      <c r="I989" s="1032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07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08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08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08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08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08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08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08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09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32" t="s">
        <v>1646</v>
      </c>
      <c r="B1003" s="1032"/>
      <c r="C1003" s="1032"/>
      <c r="D1003" s="1032"/>
      <c r="E1003" s="1032"/>
      <c r="F1003" s="1032"/>
      <c r="G1003" s="1032"/>
      <c r="H1003" s="1032"/>
      <c r="I1003" s="1032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09" t="s">
        <v>6800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110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110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110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110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110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110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110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110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110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111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32" t="s">
        <v>1646</v>
      </c>
      <c r="B1018" s="1032"/>
      <c r="C1018" s="1032"/>
      <c r="D1018" s="1032"/>
      <c r="E1018" s="1032"/>
      <c r="F1018" s="1032"/>
      <c r="G1018" s="1032"/>
      <c r="H1018" s="1032"/>
      <c r="I1018" s="1032"/>
      <c r="J1018" s="618">
        <f>SUM(J1007:J1017)</f>
        <v>26</v>
      </c>
      <c r="K1018" s="654"/>
    </row>
  </sheetData>
  <autoFilter ref="A349:L357"/>
  <mergeCells count="360"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50" t="s">
        <v>5385</v>
      </c>
      <c r="I12" s="850"/>
      <c r="J12" s="850"/>
      <c r="K12" s="850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50" t="s">
        <v>5386</v>
      </c>
      <c r="I20" s="850"/>
      <c r="J20" s="850"/>
      <c r="K20" s="850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2026-08-13T04:59:35Z</cp:lastPrinted>
  <dcterms:created xsi:type="dcterms:W3CDTF">2022-12-21T07:00:17Z</dcterms:created>
  <dcterms:modified xsi:type="dcterms:W3CDTF">2026-09-04T05:54:35Z</dcterms:modified>
</cp:coreProperties>
</file>