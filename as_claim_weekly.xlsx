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<sst xmlns="http://schemas.openxmlformats.org/spreadsheetml/2006/main" count="19814" uniqueCount="5515">
  <si>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</si>
  <si>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</si>
  <si>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</si>
  <si>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</si>
  <si>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</si>
  <si>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</si>
  <si>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</si>
  <si>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</si>
  <si>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</si>
  <si>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</si>
  <si>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</si>
  <si>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</si>
  <si>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</si>
  <si>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</si>
  <si>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</si>
  <si>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</si>
  <si>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</si>
  <si>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</si>
  <si>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</si>
  <si>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</si>
  <si>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</si>
  <si>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</si>
  <si>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</si>
  <si>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</si>
  <si>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</si>
  <si>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</si>
  <si>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</si>
  <si>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</si>
  <si>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</si>
  <si>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</si>
  <si>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</si>
  <si>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</si>
  <si>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</si>
  <si>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</si>
  <si>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</si>
  <si>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</si>
  <si>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</si>
  <si>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</si>
  <si>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</si>
  <si>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</si>
  <si>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</si>
  <si>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</si>
  <si>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</si>
  <si>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</si>
  <si>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</si>
  <si>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</si>
  <si>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</si>
  <si>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</si>
  <si>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</si>
  <si>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</si>
  <si>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</si>
  <si>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</si>
  <si>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</si>
  <si>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</si>
  <si>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</si>
  <si>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</si>
  <si>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</si>
  <si>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</si>
  <si>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</si>
  <si>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</si>
  <si>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</si>
  <si>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</si>
  <si>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</si>
  <si>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</si>
  <si>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</si>
  <si>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</si>
  <si>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</si>
  <si>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</si>
  <si>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</si>
  <si>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</si>
  <si>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</si>
  <si>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</si>
  <si>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</si>
  <si>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</si>
  <si>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</si>
  <si>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</si>
  <si>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</si>
  <si>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</si>
  <si>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</si>
  <si>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</si>
  <si>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</si>
  <si>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</si>
  <si>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</si>
  <si>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</si>
  <si>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</si>
  <si>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</si>
  <si>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</si>
  <si>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</si>
  <si>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</si>
  <si>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</si>
  <si>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</si>
  <si>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</si>
  <si>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</si>
  <si>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</si>
  <si>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</si>
  <si>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</si>
  <si>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</si>
  <si>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</si>
  <si>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</si>
  <si>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</si>
  <si>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</si>
  <si>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</si>
  <si>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</si>
  <si>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</si>
  <si>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</si>
  <si>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</si>
  <si>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</si>
  <si>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</si>
  <si>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</si>
  <si>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</si>
  <si>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</si>
  <si>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</si>
  <si>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</si>
  <si>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</si>
  <si>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</si>
  <si>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</si>
  <si>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</si>
  <si>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</si>
  <si>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</si>
  <si>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</si>
  <si>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</si>
  <si>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</si>
  <si>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</si>
  <si>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</si>
  <si>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</si>
  <si>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</si>
  <si>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</si>
  <si>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</si>
  <si>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</si>
  <si>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</si>
  <si>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</si>
  <si>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</si>
  <si>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</si>
  <si>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</si>
  <si>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</si>
  <si>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</si>
  <si>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</si>
  <si>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</si>
  <si>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</si>
  <si>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</si>
  <si>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</si>
  <si>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</si>
  <si>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</si>
  <si>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</si>
  <si>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</si>
  <si>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</si>
  <si>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</si>
  <si>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</si>
  <si>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</si>
  <si>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</si>
  <si>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</si>
  <si>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</si>
  <si>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</si>
  <si>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</si>
  <si>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</si>
  <si>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</si>
  <si>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</si>
  <si>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</si>
  <si>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</si>
  <si>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</si>
  <si>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</si>
  <si>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</si>
  <si>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</si>
  <si>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</si>
  <si>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</si>
  <si>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</si>
  <si>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</si>
  <si>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</si>
  <si>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</si>
  <si>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</si>
  <si>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</si>
  <si>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</si>
  <si>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</si>
  <si>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</si>
  <si>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</si>
  <si>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</si>
  <si>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</si>
  <si>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</si>
  <si>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</si>
  <si>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</si>
  <si>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</si>
  <si>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</si>
  <si>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</si>
  <si>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</si>
  <si>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</si>
  <si>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</si>
  <si>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</si>
  <si>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</si>
  <si>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</si>
  <si>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</si>
  <si>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</si>
  <si>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</si>
  <si>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</si>
  <si>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</si>
  <si>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</si>
  <si>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</si>
  <si>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</si>
  <si>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</si>
  <si>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</si>
  <si>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</si>
  <si>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</si>
  <si>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</si>
  <si>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</si>
  <si>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</si>
  <si>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</si>
  <si>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</si>
  <si>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</si>
  <si>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</si>
  <si>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</si>
  <si>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</si>
  <si>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</si>
  <si>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</si>
  <si>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</si>
  <si>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</si>
  <si>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</si>
  <si>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</si>
  <si>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</si>
  <si>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</si>
  <si>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</si>
  <si>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</si>
  <si>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</si>
  <si>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</si>
  <si>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</si>
  <si>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</si>
  <si>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</si>
  <si>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</si>
  <si>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</si>
  <si>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</si>
  <si>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</si>
  <si>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</si>
  <si>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</si>
  <si>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</si>
  <si>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</si>
  <si>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</si>
  <si>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</si>
  <si>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</si>
  <si>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</si>
  <si>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</si>
  <si>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</si>
  <si>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</si>
  <si>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</si>
  <si>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</si>
  <si>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</si>
  <si>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</si>
  <si>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</si>
  <si>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</si>
  <si>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</si>
  <si>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</si>
  <si>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</si>
  <si>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</si>
  <si>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</si>
  <si>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</si>
  <si>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</si>
  <si>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</si>
  <si>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</si>
  <si>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</si>
  <si>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</si>
  <si>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</si>
  <si>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</si>
  <si>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</si>
  <si>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</si>
  <si>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</si>
  <si>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</si>
  <si>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</si>
  <si>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</si>
  <si>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</si>
  <si>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</si>
  <si>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</si>
  <si>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</si>
  <si>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</si>
  <si>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</si>
  <si>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</si>
  <si>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</si>
  <si>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</si>
  <si>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</si>
  <si>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</si>
  <si>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</si>
  <si>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</si>
  <si>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</si>
  <si>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</si>
  <si>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</si>
  <si>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</si>
  <si>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</si>
  <si>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</si>
  <si>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</si>
  <si>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</si>
  <si>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</si>
  <si>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</si>
  <si>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</si>
  <si>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</si>
  <si>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</si>
  <si>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</si>
  <si>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</si>
  <si>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</si>
  <si>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</si>
  <si>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</si>
  <si>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</si>
  <si>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</si>
  <si>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</si>
  <si>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</si>
  <si>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</si>
  <si>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</si>
  <si>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</si>
  <si>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</si>
  <si>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</si>
  <si>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</si>
  <si>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</si>
  <si>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</si>
  <si>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</si>
  <si>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</si>
  <si>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</si>
  <si>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</si>
  <si>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</si>
  <si>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</si>
  <si>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</si>
  <si>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</si>
  <si>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</si>
  <si>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</si>
  <si>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</si>
  <si>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</si>
  <si>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</si>
  <si>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</si>
  <si>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</si>
  <si>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</si>
  <si>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</si>
  <si>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</si>
  <si>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</si>
  <si>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</si>
  <si>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</si>
  <si>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</si>
  <si>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</si>
  <si>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</si>
  <si>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</si>
  <si>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</si>
  <si>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</si>
  <si>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</si>
  <si>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</si>
  <si>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</si>
  <si>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</si>
  <si>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</si>
  <si>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</si>
  <si>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</si>
  <si>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</si>
  <si>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</si>
  <si>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</si>
  <si>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</si>
  <si>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</si>
  <si>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</si>
  <si>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</si>
  <si>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</si>
  <si>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</si>
  <si>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</si>
  <si>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</si>
  <si>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</si>
  <si>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</si>
  <si>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</si>
  <si>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</si>
  <si>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</si>
  <si>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</si>
  <si>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</si>
  <si>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</si>
  <si>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</si>
  <si>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</si>
  <si>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</si>
  <si>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</si>
  <si>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</si>
  <si>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</si>
  <si>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</si>
  <si>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</si>
  <si>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</si>
  <si>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</si>
  <si>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</si>
  <si>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</si>
  <si>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</si>
  <si>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</si>
  <si>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</si>
  <si>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</si>
  <si>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</si>
  <si>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</si>
  <si>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</si>
  <si>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</si>
  <si>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</si>
  <si>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</si>
  <si>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</si>
  <si>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</si>
  <si>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</si>
  <si>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</si>
  <si>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</si>
  <si>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</si>
  <si>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</si>
  <si>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</si>
  <si>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</si>
  <si>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</si>
  <si>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</si>
  <si>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</si>
  <si>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</si>
  <si>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</si>
  <si>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</si>
  <si>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</si>
  <si>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</si>
  <si>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</si>
  <si>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</si>
  <si>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</si>
  <si>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</si>
  <si>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</si>
  <si>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</si>
  <si>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</si>
  <si>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</si>
  <si>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</si>
  <si>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</si>
  <si>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</si>
  <si>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</si>
  <si>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</si>
  <si>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</si>
  <si>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</si>
  <si>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</si>
  <si>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</si>
  <si>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</si>
  <si>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</si>
  <si>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</si>
  <si>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</si>
  <si>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</si>
  <si>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</si>
  <si>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</si>
  <si>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</si>
  <si>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</si>
  <si>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</si>
  <si>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</si>
  <si>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</si>
  <si>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</si>
  <si>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</si>
  <si>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</si>
  <si>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</si>
  <si>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</si>
  <si>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</si>
  <si>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</si>
  <si>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</si>
  <si>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</si>
  <si>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</si>
  <si>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</si>
  <si>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</si>
  <si>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</si>
  <si>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</si>
  <si>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</si>
  <si>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</si>
  <si>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</si>
  <si>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</si>
  <si>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</si>
  <si>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</si>
  <si>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</si>
  <si>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</si>
  <si>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</si>
  <si>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</si>
  <si>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</si>
  <si>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</si>
  <si>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</si>
  <si>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</si>
  <si>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</si>
  <si>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</si>
  <si>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</si>
  <si>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</si>
  <si>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</si>
  <si>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</si>
  <si>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</si>
  <si>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</si>
  <si>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</si>
  <si>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</si>
  <si>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</si>
  <si>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</si>
  <si>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</si>
  <si>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</si>
  <si>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</si>
  <si>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</si>
  <si>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</si>
  <si>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</si>
  <si>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</si>
  <si>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</si>
  <si>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</si>
  <si>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</si>
  <si>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</si>
  <si>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</si>
  <si>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</si>
  <si>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</si>
  <si>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</si>
  <si>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</si>
  <si>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</si>
  <si>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</si>
  <si>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</si>
  <si>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</si>
  <si>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</si>
  <si>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</si>
  <si>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</si>
  <si>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</si>
  <si>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</si>
  <si>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</si>
  <si>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</si>
  <si>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</si>
  <si>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</si>
  <si>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</si>
  <si>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</si>
  <si>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</si>
  <si>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</si>
  <si>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</si>
  <si>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</si>
  <si>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</si>
  <si>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</si>
  <si>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</si>
  <si>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</si>
  <si>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</si>
  <si>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</si>
  <si>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</si>
  <si>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</si>
  <si>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</si>
  <si>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</si>
  <si>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</si>
  <si>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</si>
  <si>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</si>
  <si>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</si>
  <si>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</si>
  <si>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</si>
  <si>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</si>
  <si>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</si>
  <si>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</si>
  <si>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</si>
  <si>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</si>
  <si>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</si>
  <si>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</si>
  <si>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</si>
  <si>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</si>
  <si>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</si>
  <si>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</si>
  <si>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</si>
  <si>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</si>
  <si>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</si>
  <si>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</si>
  <si>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</si>
  <si>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</si>
  <si>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</si>
  <si>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</si>
  <si>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</si>
  <si>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</si>
  <si>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</si>
  <si>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</si>
  <si>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</si>
  <si>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</si>
  <si>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</si>
  <si>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</si>
  <si>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</si>
  <si>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</si>
  <si>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</si>
  <si>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</si>
  <si>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</si>
  <si>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</si>
  <si>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</si>
  <si>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</si>
  <si>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</si>
  <si>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</si>
  <si>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</si>
  <si>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</si>
  <si>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</si>
  <si>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</si>
  <si>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</si>
  <si>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</si>
  <si>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</si>
  <si>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</si>
  <si>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</si>
  <si>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</si>
  <si>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</si>
  <si>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</si>
  <si>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</si>
  <si>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</si>
  <si>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</si>
  <si>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</si>
  <si>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</si>
  <si>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</si>
  <si>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</si>
  <si>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</si>
  <si>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</si>
  <si>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</si>
  <si>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</si>
  <si>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</si>
  <si>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</si>
  <si>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</si>
  <si>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</si>
  <si>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</si>
  <si>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</si>
  <si>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</si>
  <si>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</si>
  <si>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</si>
  <si>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</si>
  <si>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</si>
  <si>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</si>
  <si>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</si>
  <si>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</si>
  <si>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</si>
  <si>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</si>
  <si>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</si>
  <si>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</si>
  <si>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</si>
  <si>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</si>
  <si>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</si>
  <si>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</si>
  <si>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</si>
  <si>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</si>
  <si>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</si>
  <si>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</si>
  <si>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</si>
  <si>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</si>
  <si>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</si>
  <si>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</si>
  <si>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</si>
  <si>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</si>
  <si>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</si>
  <si>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</si>
  <si>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</si>
  <si>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</si>
  <si>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</si>
  <si>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</si>
  <si>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</si>
  <si>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</si>
  <si>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</si>
  <si>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</si>
  <si>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</si>
  <si>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</si>
  <si>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</si>
  <si>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</si>
  <si>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</si>
  <si>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</si>
  <si>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</si>
  <si>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</si>
  <si>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</si>
  <si>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</si>
  <si>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</si>
  <si>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</si>
  <si>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</si>
  <si>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</si>
  <si>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</si>
  <si>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</si>
  <si>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</si>
  <si>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</si>
  <si>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</si>
  <si>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</si>
  <si>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</si>
  <si>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</si>
  <si>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</si>
  <si>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</si>
  <si>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</si>
  <si>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</si>
  <si>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</si>
  <si>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</si>
  <si>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</si>
  <si>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</si>
  <si>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</si>
  <si>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</si>
  <si>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</si>
  <si>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</si>
  <si>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</si>
  <si>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</si>
  <si>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</si>
  <si>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</si>
  <si>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</si>
  <si>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</si>
  <si>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</si>
  <si>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</si>
  <si>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</si>
  <si>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</si>
  <si>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</si>
  <si>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</si>
  <si>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</si>
  <si>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</si>
  <si>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</si>
  <si>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</si>
  <si>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</si>
  <si>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</si>
  <si>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</si>
  <si>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</si>
  <si>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</si>
  <si>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</si>
  <si>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</si>
  <si>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</si>
  <si>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</si>
  <si>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</si>
  <si>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</si>
  <si>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</si>
  <si>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</si>
  <si>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</si>
  <si>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</si>
  <si>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</si>
  <si>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</si>
  <si>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</si>
  <si>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</si>
  <si>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</si>
  <si>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</si>
  <si>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</si>
  <si>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</si>
  <si>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</si>
  <si>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</si>
  <si>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</si>
  <si>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</si>
  <si>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</si>
  <si>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</si>
  <si>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</si>
  <si>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</si>
  <si>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</si>
  <si>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</si>
  <si>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</si>
  <si>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</si>
  <si>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</si>
  <si>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</si>
  <si>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</si>
  <si>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</si>
  <si>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</si>
  <si>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</si>
  <si>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</si>
  <si>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</si>
  <si>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</si>
  <si>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</si>
  <si>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</si>
  <si>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</si>
  <si>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</si>
  <si>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</si>
  <si>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</si>
  <si>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</si>
  <si>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</si>
  <si>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</si>
  <si>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</si>
  <si>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</si>
  <si>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</si>
  <si>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</si>
  <si>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</si>
  <si>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</si>
  <si>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</si>
  <si>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</si>
  <si>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</si>
  <si>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</si>
  <si>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</si>
  <si>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</si>
  <si>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</si>
  <si>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</si>
  <si>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</si>
  <si>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</si>
  <si>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</si>
  <si>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</si>
  <si>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</si>
  <si>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</si>
  <si>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</si>
  <si>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</si>
  <si>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</si>
  <si>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</si>
  <si>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</si>
  <si>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</si>
  <si>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</si>
  <si>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</si>
  <si>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</si>
  <si>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</si>
  <si>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</si>
  <si>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</si>
  <si>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</si>
  <si>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</si>
  <si>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</si>
  <si>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</si>
  <si>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</si>
  <si>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</si>
  <si>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</si>
  <si>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</si>
  <si>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</si>
  <si>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</si>
  <si>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</si>
  <si>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</si>
  <si>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</si>
  <si>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</si>
  <si>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</si>
  <si>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</si>
  <si>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</si>
  <si>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</si>
  <si>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</si>
  <si>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</si>
  <si>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</si>
  <si>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</si>
  <si>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</si>
  <si>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</si>
  <si>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</si>
  <si>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</si>
  <si>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</si>
  <si>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</si>
  <si>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</si>
  <si>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</si>
  <si>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</si>
  <si>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</si>
  <si>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</si>
  <si>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</si>
  <si>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</si>
  <si>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</si>
  <si>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</si>
  <si>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</si>
  <si>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</si>
  <si>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</si>
  <si>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</si>
  <si>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</si>
  <si>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</si>
  <si>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</si>
  <si>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</si>
  <si>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</si>
  <si>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</si>
  <si>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</si>
  <si>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</si>
  <si>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</si>
  <si>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</si>
  <si>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</si>
  <si>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</si>
  <si>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</si>
  <si>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</si>
  <si>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</si>
  <si>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</si>
  <si>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</si>
  <si>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</si>
  <si>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</si>
  <si>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</si>
  <si>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</si>
  <si>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</si>
  <si>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</si>
  <si>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</si>
  <si>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</si>
  <si>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</si>
  <si>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</si>
  <si>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</si>
  <si>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</si>
  <si>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</si>
  <si>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</si>
  <si>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</si>
  <si>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</si>
  <si>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</si>
  <si>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</si>
  <si>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</si>
  <si>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</si>
  <si>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</si>
  <si>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</si>
  <si>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</si>
  <si>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</si>
  <si>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</si>
  <si>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</si>
  <si>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</si>
  <si>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</si>
  <si>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</si>
  <si>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</si>
  <si>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</si>
  <si>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</si>
  <si>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</si>
  <si>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</si>
  <si>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</si>
  <si>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</si>
  <si>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</si>
  <si>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</si>
  <si>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</si>
  <si>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</si>
  <si>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</si>
  <si>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</si>
  <si>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</si>
  <si>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</si>
  <si>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</si>
  <si>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</si>
  <si>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</si>
  <si>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</si>
  <si>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</si>
  <si>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</si>
  <si>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</si>
  <si>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</si>
  <si>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</si>
  <si>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</si>
  <si>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</si>
  <si>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</si>
  <si>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</si>
  <si>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</si>
  <si>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</si>
  <si>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</si>
  <si>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</si>
  <si>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</si>
  <si>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</si>
  <si>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</si>
  <si>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</si>
  <si>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</si>
  <si>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</si>
  <si>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</si>
  <si>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</si>
  <si>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</si>
  <si>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</si>
  <si>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</si>
  <si>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</si>
  <si>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</si>
  <si>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</si>
  <si>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</si>
  <si>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</si>
  <si>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</si>
  <si>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</si>
  <si>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</si>
  <si>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</si>
  <si>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</si>
  <si>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</si>
  <si>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</si>
  <si>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</si>
  <si>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</si>
  <si>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</si>
  <si>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</si>
  <si>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</si>
  <si>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</si>
  <si>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</si>
  <si>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</si>
  <si>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</si>
  <si>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</si>
  <si>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</si>
  <si>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</si>
  <si>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</si>
  <si>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</si>
  <si>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</si>
  <si>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</si>
  <si>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</si>
  <si>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</si>
  <si>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</si>
  <si>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</si>
  <si>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</si>
  <si>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</si>
  <si>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</si>
  <si>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</si>
  <si>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</si>
  <si>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</si>
  <si>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</si>
  <si>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</si>
  <si>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</si>
  <si>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</si>
  <si>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</si>
  <si>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</si>
  <si>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</si>
  <si>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</si>
  <si>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</si>
  <si>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</si>
  <si>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</si>
  <si>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</si>
  <si>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</si>
  <si>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</si>
  <si>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</si>
  <si>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</si>
  <si>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</si>
  <si>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</si>
  <si>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</si>
  <si>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</si>
  <si>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</si>
  <si>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</si>
  <si>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</si>
  <si>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</si>
  <si>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</si>
  <si>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</si>
  <si>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</si>
  <si>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</si>
  <si>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</si>
  <si>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</si>
  <si>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</si>
  <si>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</si>
  <si>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</si>
  <si>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</si>
  <si>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</si>
  <si>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</si>
  <si>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</si>
  <si>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</si>
  <si>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</si>
  <si>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</si>
  <si>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</si>
  <si>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</si>
  <si>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</si>
  <si>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</si>
  <si>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</si>
  <si>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</si>
  <si>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</si>
  <si>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</si>
  <si>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</si>
  <si>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</si>
  <si>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</si>
  <si>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</si>
  <si>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</si>
  <si>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</si>
  <si>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</si>
  <si>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</si>
  <si>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</si>
  <si>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</si>
  <si>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</si>
  <si>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</si>
  <si>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</si>
  <si>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</si>
  <si>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</si>
  <si>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</si>
  <si>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</si>
  <si>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</si>
  <si>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</si>
  <si>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</si>
  <si>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</si>
  <si>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</si>
  <si>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</si>
  <si>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</si>
  <si>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</si>
  <si>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</si>
  <si>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</si>
  <si>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</si>
  <si>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</si>
  <si>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</si>
  <si>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</si>
  <si>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</si>
  <si>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</si>
  <si>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</si>
  <si>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</si>
  <si>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</si>
  <si>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</si>
  <si>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</si>
  <si>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</si>
  <si>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</si>
  <si>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</si>
  <si>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</si>
  <si>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</si>
  <si>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</si>
  <si>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</si>
  <si>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</si>
  <si>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</si>
  <si>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</si>
  <si>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</si>
  <si>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</si>
  <si>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</si>
  <si>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</si>
  <si>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</si>
  <si>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</si>
  <si>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</si>
  <si>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</si>
  <si>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</si>
  <si>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</si>
  <si>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</si>
  <si>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</si>
  <si>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</si>
  <si>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</si>
  <si>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</si>
  <si>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</si>
  <si>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</si>
  <si>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</si>
  <si>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</si>
  <si>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</si>
  <si>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</si>
  <si>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</si>
  <si>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</si>
  <si>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</si>
  <si>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</si>
  <si>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</si>
  <si>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</si>
  <si>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</si>
  <si>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</si>
  <si>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</si>
  <si>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</si>
  <si>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</si>
  <si>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</si>
  <si>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</si>
  <si>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</si>
  <si>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</si>
  <si>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</si>
  <si>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</si>
  <si>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</si>
  <si>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</si>
  <si>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</si>
  <si>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</si>
  <si>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</si>
  <si>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</si>
  <si>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</si>
  <si>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</si>
  <si>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</si>
  <si>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</si>
  <si>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</si>
  <si>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</si>
  <si>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</si>
  <si>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</si>
  <si>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</si>
  <si>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</si>
  <si>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</si>
  <si>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</si>
  <si>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</si>
  <si>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</si>
  <si>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</si>
  <si>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</si>
  <si>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</si>
  <si>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</si>
  <si>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</si>
  <si>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</si>
  <si>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</si>
  <si>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</si>
  <si>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</si>
  <si>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</si>
  <si>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</si>
  <si>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</si>
  <si>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</si>
  <si>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</si>
  <si>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</si>
  <si>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</si>
  <si>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</si>
  <si>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</si>
  <si>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</si>
  <si>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</si>
  <si>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</si>
  <si>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</si>
  <si>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</si>
  <si>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</si>
  <si>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</si>
  <si>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</si>
  <si>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</si>
  <si>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</si>
  <si>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</si>
  <si>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</si>
  <si>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</si>
  <si>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</si>
  <si>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</si>
  <si>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</si>
  <si>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</si>
  <si>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</si>
  <si>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</si>
  <si>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</si>
  <si>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</si>
  <si>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</si>
  <si>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</si>
  <si>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</si>
  <si>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</si>
  <si>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</si>
  <si>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</si>
  <si>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</si>
  <si>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</si>
  <si>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</si>
  <si>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</si>
  <si>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</si>
  <si>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</si>
  <si>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</si>
  <si>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</si>
  <si>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</si>
  <si>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</si>
  <si>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</si>
  <si>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</si>
  <si>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</si>
  <si>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</si>
  <si>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</si>
  <si>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</si>
  <si>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</si>
  <si>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</si>
  <si>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</si>
  <si>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</si>
  <si>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</si>
  <si>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</si>
  <si>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</si>
  <si>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</si>
  <si>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</si>
  <si>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</si>
  <si>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</si>
  <si>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</si>
  <si>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</si>
  <si>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</si>
  <si>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</si>
  <si>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</si>
  <si>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</si>
  <si>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</si>
  <si>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</si>
  <si>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</si>
  <si>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</si>
  <si>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</si>
  <si>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</si>
  <si>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</si>
  <si>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</si>
  <si>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</si>
  <si>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</si>
  <si>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</si>
  <si>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</si>
  <si>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</si>
  <si>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</si>
  <si>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</si>
  <si>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</si>
  <si>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</si>
  <si>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</si>
  <si>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</si>
  <si>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</si>
  <si>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</si>
  <si>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</si>
  <si>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</si>
  <si>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</si>
  <si>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</si>
  <si>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</si>
  <si>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</si>
  <si>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</si>
  <si>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</si>
  <si>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</si>
  <si>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</si>
  <si>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</si>
  <si>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</si>
  <si>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</si>
  <si>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</si>
  <si>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</si>
  <si>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</si>
  <si>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</si>
  <si>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</si>
  <si>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</si>
  <si>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</si>
  <si>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</si>
  <si>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</si>
  <si>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</si>
  <si>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</si>
  <si>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</si>
  <si>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</si>
  <si>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</si>
  <si>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</si>
  <si>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</si>
  <si>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</si>
  <si>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</si>
  <si>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</si>
  <si>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</si>
  <si>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</si>
  <si>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</si>
  <si>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</si>
  <si>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</si>
  <si>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</si>
  <si>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</si>
  <si>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</si>
  <si>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</si>
  <si>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</si>
  <si>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</si>
  <si>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</si>
  <si>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</si>
  <si>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</si>
  <si>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</si>
  <si>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</si>
  <si>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</si>
  <si>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</si>
  <si>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</si>
  <si>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</si>
  <si>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</si>
  <si>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</si>
  <si>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</si>
  <si>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</si>
  <si>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</si>
  <si>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</si>
  <si>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</si>
  <si>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</si>
  <si>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</si>
  <si>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</si>
  <si>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</si>
  <si>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</si>
  <si>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</si>
  <si>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</si>
  <si>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</si>
  <si>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</si>
  <si>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</si>
  <si>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</si>
  <si>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</si>
  <si>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</si>
  <si>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</si>
  <si>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</si>
  <si>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</si>
  <si>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</si>
  <si>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</si>
  <si>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</si>
  <si>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</si>
  <si>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</si>
  <si>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</si>
  <si>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</si>
  <si>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</si>
  <si>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</si>
  <si>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</si>
  <si>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</si>
  <si>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</si>
  <si>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</si>
  <si>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</si>
  <si>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</si>
  <si>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</si>
  <si>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</si>
  <si>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</si>
  <si>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</si>
  <si>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</si>
  <si>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</si>
  <si>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</si>
  <si>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</si>
  <si>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</si>
  <si>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</si>
  <si>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</si>
  <si>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</si>
  <si>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</si>
  <si>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</si>
  <si>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</si>
  <si>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</si>
  <si>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</si>
  <si>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</si>
  <si>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</si>
  <si>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</si>
  <si>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</si>
  <si>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</si>
  <si>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</si>
  <si>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</si>
  <si>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</si>
  <si>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</si>
  <si>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</si>
  <si>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</si>
  <si>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</si>
  <si>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</si>
  <si>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</si>
  <si>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</si>
  <si>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</si>
  <si>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</si>
  <si>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</si>
  <si>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</si>
  <si>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</si>
  <si>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</si>
  <si>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</si>
  <si>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</si>
  <si>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</si>
  <si>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</si>
  <si>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</si>
  <si>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</si>
  <si>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</si>
  <si>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</si>
  <si>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</si>
  <si>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</si>
  <si>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</si>
  <si>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</si>
  <si>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</si>
  <si>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</si>
  <si>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</si>
  <si>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</si>
  <si>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</si>
  <si>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</si>
  <si>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</si>
  <si>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</si>
  <si>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</si>
  <si>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</si>
  <si>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</si>
  <si>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</si>
  <si>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</si>
  <si>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</si>
  <si>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</si>
  <si>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</si>
  <si>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</si>
  <si>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</si>
  <si>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</si>
  <si>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</si>
  <si>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</si>
  <si>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</si>
  <si>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</si>
  <si>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</si>
  <si>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</si>
  <si>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</si>
  <si>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</si>
  <si>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</si>
  <si>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</si>
  <si>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</si>
  <si>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</si>
  <si>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</si>
  <si>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</si>
  <si>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</si>
  <si>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</si>
  <si>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</si>
  <si>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</si>
  <si>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</si>
  <si>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</si>
  <si>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</si>
  <si>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</si>
  <si>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</si>
  <si>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</si>
  <si>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</si>
  <si>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</si>
  <si>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</si>
  <si>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</si>
  <si>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</si>
  <si>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</si>
  <si>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</si>
  <si>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</si>
  <si>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</si>
  <si>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</si>
  <si>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</si>
  <si>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</si>
  <si>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</si>
  <si>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</si>
  <si>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</si>
  <si>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</si>
  <si>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</si>
  <si>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</si>
  <si>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</si>
  <si>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</si>
  <si>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</si>
  <si>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</si>
  <si>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</si>
  <si>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</si>
  <si>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</si>
  <si>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</si>
  <si>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</si>
  <si>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</si>
  <si>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</si>
  <si>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</si>
  <si>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</si>
  <si>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</si>
  <si>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</si>
  <si>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</si>
  <si>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</si>
  <si>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</si>
  <si>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</si>
  <si>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</si>
  <si>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</si>
  <si>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</si>
  <si>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</si>
  <si>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</si>
  <si>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</si>
  <si>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</si>
  <si>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</si>
  <si>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</si>
  <si>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</si>
  <si>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</si>
  <si>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</si>
  <si>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</si>
  <si>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</si>
  <si>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</si>
  <si>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</si>
  <si>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</si>
  <si>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</si>
  <si>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</si>
  <si>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</si>
  <si>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</si>
  <si>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</si>
  <si>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</si>
  <si>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</si>
  <si>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</si>
  <si>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</si>
  <si>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</si>
  <si>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</si>
  <si>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</si>
  <si>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</si>
  <si>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</si>
  <si>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</si>
  <si>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</si>
  <si>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</si>
  <si>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</si>
  <si>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</si>
  <si>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</si>
  <si>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</si>
  <si>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</si>
  <si>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</si>
  <si>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</si>
  <si>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</si>
  <si>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</si>
  <si>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</si>
  <si>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</si>
  <si>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</si>
  <si>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</si>
  <si>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</si>
  <si>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</si>
  <si>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</si>
  <si>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</si>
  <si>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</si>
  <si>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</si>
  <si>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</si>
  <si>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</si>
  <si>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</si>
  <si>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</si>
  <si>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</si>
  <si>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</si>
  <si>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</si>
  <si>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</si>
  <si>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</si>
  <si>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</si>
  <si>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</si>
  <si>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</si>
  <si>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</si>
  <si>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</si>
  <si>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</si>
  <si>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</si>
  <si>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</si>
  <si>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</si>
  <si>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</si>
  <si>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</si>
  <si>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</si>
  <si>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</si>
  <si>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</si>
  <si>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</si>
  <si>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</si>
  <si>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</si>
  <si>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</si>
  <si>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</si>
  <si>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</si>
  <si>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</si>
  <si>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</si>
  <si>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</si>
  <si>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</si>
  <si>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</si>
  <si>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</si>
  <si>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</si>
  <si>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</si>
  <si>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</si>
  <si>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</si>
  <si>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</si>
  <si>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</si>
  <si>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</si>
  <si>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</si>
  <si>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</si>
  <si>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</si>
  <si>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</si>
  <si>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</si>
  <si>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</si>
  <si>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</si>
  <si>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</si>
  <si>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</si>
  <si>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</si>
  <si>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</si>
  <si>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</si>
  <si>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</si>
  <si>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</si>
  <si>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</si>
  <si>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</si>
  <si>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</si>
  <si>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</si>
  <si>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</si>
  <si>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</si>
  <si>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</si>
  <si>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</si>
  <si>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</si>
  <si>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</si>
  <si>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</si>
  <si>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</si>
  <si>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</si>
  <si>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</si>
  <si>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</si>
  <si>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</si>
  <si>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</si>
  <si>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</si>
  <si>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</si>
  <si>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</si>
  <si>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</si>
  <si>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</si>
  <si>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</si>
  <si>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</si>
  <si>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</si>
  <si>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</si>
  <si>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</si>
  <si>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</si>
  <si>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</si>
  <si>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</si>
  <si>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</si>
  <si>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</si>
  <si>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</si>
  <si>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</si>
  <si>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</si>
  <si>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</si>
  <si>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</si>
  <si>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</si>
  <si>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</si>
  <si>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</si>
  <si>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</si>
  <si>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</si>
  <si>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</si>
  <si>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</si>
  <si>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</si>
  <si>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</si>
  <si>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</si>
  <si>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</si>
  <si>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</si>
  <si>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</si>
  <si>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</si>
  <si>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</si>
  <si>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</si>
  <si>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</si>
  <si>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</si>
  <si>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</si>
  <si>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</si>
  <si>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</si>
  <si>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</si>
  <si>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</si>
  <si>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</si>
  <si>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</si>
  <si>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</si>
  <si>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</si>
  <si>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</si>
  <si>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</si>
  <si>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</si>
  <si>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</si>
  <si>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</si>
  <si>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</si>
  <si>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</si>
  <si>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</si>
  <si>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</si>
  <si>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</si>
  <si>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</si>
  <si>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</si>
  <si>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</si>
  <si>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</si>
  <si>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</si>
  <si>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</si>
  <si>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</si>
  <si>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</si>
  <si>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</si>
  <si>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</si>
  <si>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</si>
  <si>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</si>
  <si>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</si>
  <si>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</si>
  <si>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</si>
  <si>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</si>
  <si>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</si>
  <si>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</si>
  <si>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</si>
  <si>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</si>
  <si>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</si>
  <si>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</si>
  <si>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</si>
  <si>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</si>
  <si>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</si>
  <si>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</si>
  <si>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</si>
  <si>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</si>
  <si>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</si>
  <si>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</si>
  <si>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</si>
  <si>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</si>
  <si>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</si>
  <si>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</si>
  <si>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</si>
  <si>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</si>
  <si>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</si>
  <si>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</si>
  <si>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</si>
  <si>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</si>
  <si>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</si>
  <si>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</si>
  <si>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</si>
  <si>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</si>
  <si>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</si>
  <si>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</si>
  <si>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</si>
  <si>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</si>
  <si>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</si>
  <si>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</si>
  <si>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</si>
  <si>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</si>
  <si>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</si>
  <si>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</si>
  <si>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</si>
  <si>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</si>
  <si>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</si>
  <si>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</si>
  <si>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</si>
  <si>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</si>
  <si>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</si>
  <si>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</si>
  <si>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</si>
  <si>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</si>
  <si>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</si>
  <si>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</si>
  <si>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</si>
  <si>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</si>
  <si>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</si>
  <si>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</si>
  <si>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</si>
  <si>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</si>
  <si>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</si>
  <si>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</si>
  <si>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</si>
  <si>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</si>
  <si>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</si>
  <si>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</si>
  <si>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</si>
  <si>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</si>
  <si>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</si>
  <si>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</si>
  <si>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</si>
  <si>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</si>
  <si>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</si>
  <si>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</si>
  <si>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</si>
  <si>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</si>
  <si>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</si>
  <si>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</si>
  <si>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</si>
  <si>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</si>
  <si>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</si>
  <si>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</si>
  <si>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</si>
  <si>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</si>
  <si>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</si>
  <si>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</si>
  <si>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</si>
  <si>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</si>
  <si>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</si>
  <si>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</si>
  <si>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</si>
  <si>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</si>
  <si>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</si>
  <si>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</si>
  <si>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</si>
  <si>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</si>
  <si>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</si>
  <si>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</si>
  <si>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</si>
  <si>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</si>
  <si>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</si>
  <si>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</si>
  <si>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</si>
  <si>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</si>
  <si>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</si>
  <si>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</si>
  <si>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</si>
  <si>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</si>
  <si>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</si>
  <si>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</si>
  <si>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</si>
  <si>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</si>
  <si>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</si>
  <si>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</si>
  <si>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</si>
  <si>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</si>
  <si>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</si>
  <si>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</si>
  <si>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</si>
  <si>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</si>
  <si>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</si>
  <si>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</si>
  <si>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</si>
  <si>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</si>
  <si>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</si>
  <si>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</si>
  <si>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</si>
  <si>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</si>
  <si>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</si>
  <si>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</si>
  <si>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</si>
  <si>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</si>
  <si>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</si>
  <si>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</si>
  <si>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</si>
  <si>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</si>
  <si>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</si>
  <si>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</si>
  <si>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</si>
  <si>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</si>
  <si>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</si>
  <si>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</si>
  <si>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</si>
  <si>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</si>
  <si>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</si>
  <si>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</si>
  <si>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</si>
  <si>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</si>
  <si>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</si>
  <si>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</si>
  <si>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</si>
  <si>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</si>
  <si>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</si>
  <si>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</si>
  <si>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</si>
  <si>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</si>
  <si>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</si>
  <si>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</si>
  <si>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</si>
  <si>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</si>
  <si>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</si>
  <si>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</si>
  <si>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</si>
  <si>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</si>
  <si>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</si>
  <si>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</si>
  <si>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</si>
  <si>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</si>
  <si>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</si>
  <si>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</si>
  <si>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</si>
  <si>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</si>
  <si>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</si>
  <si>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</si>
  <si>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</si>
  <si>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</si>
  <si>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</si>
  <si>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</si>
  <si>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</si>
  <si>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</si>
  <si>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</si>
  <si>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</si>
  <si>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</si>
  <si>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</si>
  <si>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</si>
  <si>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</si>
  <si>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</si>
  <si>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</si>
  <si>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</si>
  <si>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</si>
  <si>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</si>
  <si>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</si>
  <si>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</si>
  <si>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</si>
  <si>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</si>
  <si>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</si>
  <si>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</si>
  <si>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</si>
  <si>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</si>
  <si>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</si>
  <si>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</si>
  <si>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</si>
  <si>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</si>
  <si>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</si>
  <si>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</si>
  <si>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</si>
  <si>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</si>
  <si>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</si>
  <si>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</si>
  <si>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</si>
  <si>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</si>
  <si>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</si>
  <si>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</si>
  <si>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</si>
  <si>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</si>
  <si>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</si>
  <si>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</si>
  <si>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</si>
  <si>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</si>
  <si>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</si>
  <si>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</si>
  <si>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</si>
  <si>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</si>
  <si>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</si>
  <si>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</si>
  <si>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</si>
  <si>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</si>
  <si>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</si>
  <si>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</si>
  <si>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</si>
  <si>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</si>
  <si>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</si>
  <si>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</si>
  <si>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</si>
  <si>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</si>
  <si>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</si>
  <si>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</si>
  <si>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</si>
  <si>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</si>
  <si>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</si>
  <si>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</si>
  <si>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</si>
  <si>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</si>
  <si>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</si>
  <si>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</si>
  <si>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</si>
  <si>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</si>
  <si>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</si>
  <si>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</si>
  <si>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</si>
  <si>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</si>
  <si>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</si>
  <si>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</si>
  <si>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</si>
  <si>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</si>
  <si>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</si>
  <si>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</si>
  <si>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</si>
  <si>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</si>
  <si>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</si>
  <si>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</si>
  <si>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</si>
  <si>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</si>
  <si>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</si>
  <si>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</si>
  <si>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</si>
  <si>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</si>
  <si>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</si>
  <si>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</si>
  <si>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</si>
  <si>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</si>
  <si>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</si>
  <si>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</si>
  <si>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</si>
  <si>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</si>
  <si>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</si>
  <si>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</si>
  <si>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</si>
  <si>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</si>
  <si>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</si>
  <si>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</si>
  <si>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</si>
  <si>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</si>
  <si>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</si>
  <si>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</si>
  <si>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</si>
  <si>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</si>
  <si>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</si>
  <si>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</si>
  <si>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</si>
  <si>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</si>
  <si>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</si>
  <si>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</si>
  <si>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</si>
  <si>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</si>
  <si>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</si>
  <si>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</si>
  <si>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</si>
  <si>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</si>
  <si>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</si>
  <si>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</si>
  <si>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</si>
  <si>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</si>
  <si>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</si>
  <si>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</si>
  <si>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</si>
  <si>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</si>
  <si>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</si>
  <si>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</si>
  <si>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</si>
  <si>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</si>
  <si>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</si>
  <si>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</si>
  <si>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</si>
  <si>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</si>
  <si>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</si>
  <si>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</si>
  <si>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</si>
  <si>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</si>
  <si>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</si>
  <si>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</si>
  <si>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</si>
  <si>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</si>
  <si>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</si>
  <si>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</si>
  <si>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</si>
  <si>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</si>
  <si>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</si>
  <si>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</si>
  <si>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</si>
  <si>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</si>
  <si>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</si>
  <si>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</si>
  <si>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</si>
  <si>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</si>
  <si>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</si>
  <si>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</si>
  <si>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</si>
  <si>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</si>
  <si>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</si>
  <si>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</si>
  <si>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</si>
  <si>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</si>
  <si>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</si>
  <si>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</si>
  <si>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</si>
  <si>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</si>
  <si>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</si>
  <si>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</si>
  <si>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</si>
  <si>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</si>
  <si>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</si>
  <si>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</si>
  <si>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</si>
  <si>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</si>
  <si>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</si>
  <si>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</si>
  <si>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</si>
  <si>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</si>
  <si>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</si>
  <si>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</si>
  <si>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</si>
  <si>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</si>
  <si>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</si>
  <si>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</si>
  <si>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</si>
  <si>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</si>
  <si>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</si>
  <si>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</si>
  <si>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</si>
  <si>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</si>
  <si>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</si>
  <si>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</si>
  <si>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</si>
  <si>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</si>
  <si>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</si>
  <si>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</si>
  <si>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</si>
  <si>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</si>
  <si>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</si>
  <si>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</si>
  <si>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</si>
  <si>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</si>
  <si>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</si>
  <si>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</si>
  <si>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</si>
  <si>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</si>
  <si>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</si>
  <si>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</si>
  <si>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</si>
  <si>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</si>
  <si>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</si>
  <si>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</si>
  <si>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</si>
  <si>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</si>
  <si>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</si>
  <si>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</si>
  <si>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</si>
  <si>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</si>
  <si>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</si>
  <si>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</si>
  <si>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</si>
  <si>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</si>
  <si>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</si>
  <si>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</si>
  <si>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</si>
  <si>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</si>
  <si>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</si>
  <si>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</si>
  <si>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</si>
  <si>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</si>
  <si>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</si>
  <si>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</si>
  <si>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</si>
  <si>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</si>
  <si>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</si>
  <si>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</si>
  <si>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</si>
  <si>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</si>
  <si>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</si>
  <si>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</si>
  <si>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</si>
  <si>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</si>
  <si>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</si>
  <si>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</si>
  <si>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</si>
  <si>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</si>
  <si>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</si>
  <si>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</si>
  <si>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</si>
  <si>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</si>
  <si>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</si>
  <si>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</si>
  <si>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</si>
  <si>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</si>
  <si>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</si>
  <si>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</si>
  <si>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</si>
  <si>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</si>
  <si>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</si>
  <si>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</si>
  <si>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</si>
  <si>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</si>
  <si>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</si>
  <si>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</si>
  <si>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</si>
  <si>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</si>
  <si>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</si>
  <si>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</si>
  <si>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</si>
  <si>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</si>
  <si>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</si>
  <si>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</si>
  <si>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</si>
  <si>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</si>
  <si>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</si>
  <si>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</si>
  <si>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</si>
  <si>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</si>
  <si>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</si>
  <si>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</si>
  <si>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</si>
  <si>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</si>
  <si>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</si>
  <si>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</si>
  <si>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</si>
  <si>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</si>
  <si>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</si>
  <si>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</si>
  <si>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</si>
  <si>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</si>
  <si>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</si>
  <si>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</si>
  <si>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</si>
  <si>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</si>
  <si>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</si>
  <si>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</si>
  <si>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</si>
  <si>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</si>
  <si>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</si>
  <si>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</si>
  <si>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</si>
  <si>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</si>
  <si>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</si>
  <si>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</si>
  <si>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</si>
  <si>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</si>
  <si>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</si>
  <si>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</si>
  <si>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</si>
  <si>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</si>
  <si>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</si>
  <si>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</si>
  <si>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</si>
  <si>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</si>
  <si>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</si>
  <si>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</si>
  <si>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</si>
  <si>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</si>
  <si>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</si>
  <si>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</si>
  <si>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</si>
  <si>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</si>
  <si>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</si>
  <si>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</si>
  <si>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</si>
  <si>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</si>
  <si>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</si>
  <si>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</si>
  <si>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</si>
  <si>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</si>
  <si>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</si>
  <si>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</si>
  <si>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</si>
  <si>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</si>
  <si>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</si>
  <si>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</si>
  <si>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</si>
  <si>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</si>
  <si>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</si>
  <si>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</si>
  <si>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</si>
  <si>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</si>
  <si>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</si>
  <si>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</si>
  <si>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</si>
  <si>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</si>
  <si>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</si>
  <si>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</si>
  <si>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</si>
  <si>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</si>
  <si>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</si>
  <si>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</si>
  <si>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</si>
  <si>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</si>
  <si>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</si>
  <si>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</si>
  <si>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</si>
  <si>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</si>
  <si>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</si>
  <si>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</si>
  <si>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</si>
  <si>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</si>
  <si>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</si>
  <si>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</si>
  <si>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</si>
  <si>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</si>
  <si>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</si>
  <si>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</si>
  <si>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</si>
  <si>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</si>
  <si>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</si>
  <si>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</si>
  <si>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</si>
  <si>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</si>
  <si>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</si>
  <si>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</si>
  <si>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</si>
  <si>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</si>
  <si>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</si>
  <si>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</si>
  <si>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</si>
  <si>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</si>
  <si>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</si>
  <si>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</si>
  <si>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</si>
  <si>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</si>
  <si>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</si>
  <si>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</si>
  <si>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</si>
  <si>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</si>
  <si>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</si>
  <si>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</si>
  <si>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</si>
  <si>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</si>
  <si>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</si>
  <si>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</si>
  <si>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</si>
  <si>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</si>
  <si>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</si>
  <si>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</si>
  <si>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</si>
  <si>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</si>
  <si>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</si>
  <si>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</si>
  <si>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</si>
  <si>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</si>
  <si>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</si>
  <si>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</si>
  <si>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</si>
  <si>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</si>
  <si>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</si>
  <si>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</si>
  <si>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</si>
  <si>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</si>
  <si>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</si>
  <si>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</si>
  <si>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</si>
  <si>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</si>
  <si>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</si>
  <si>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</si>
  <si>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</si>
  <si>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</si>
  <si>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</si>
  <si>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</si>
  <si>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</si>
  <si>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</si>
  <si>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</si>
  <si>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</si>
  <si>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</si>
  <si>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</si>
  <si>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</si>
  <si>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</si>
  <si>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</si>
  <si>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</si>
  <si>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</si>
  <si>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</si>
  <si>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</si>
  <si>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</si>
  <si>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</si>
  <si>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</si>
  <si>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</si>
  <si>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</si>
  <si>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</si>
  <si>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</si>
  <si>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</si>
  <si>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</si>
  <si>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</si>
  <si>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</si>
  <si>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</si>
  <si>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</si>
  <si>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</si>
  <si>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</si>
  <si>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</si>
  <si>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</si>
  <si>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</si>
  <si>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</si>
  <si>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</si>
  <si>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</si>
  <si>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</si>
  <si>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</si>
  <si>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</si>
  <si>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</si>
  <si>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</si>
  <si>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</si>
  <si>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</si>
  <si>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</si>
  <si>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</si>
  <si>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</si>
  <si>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</si>
  <si>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</si>
  <si>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</si>
  <si>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</si>
  <si>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</si>
  <si>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</si>
  <si>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</si>
  <si>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</si>
  <si>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</si>
  <si>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</si>
  <si>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</si>
  <si>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</si>
  <si>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</si>
  <si>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</si>
  <si>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</si>
  <si>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</si>
  <si>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</si>
  <si>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</si>
  <si>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</si>
  <si>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</si>
  <si>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</si>
  <si>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</si>
  <si>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</si>
  <si>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</si>
  <si>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</si>
  <si>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</si>
  <si>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</si>
  <si>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</si>
  <si>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</si>
  <si>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</si>
  <si>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</si>
  <si>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</si>
  <si>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</si>
  <si>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</si>
  <si>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</si>
  <si>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</si>
  <si>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</si>
  <si>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</si>
  <si>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</si>
  <si>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</si>
  <si>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</si>
  <si>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</si>
  <si>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</si>
  <si>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</si>
  <si>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</si>
  <si>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</si>
  <si>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</si>
  <si>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</si>
  <si>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</si>
  <si>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</si>
  <si>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</si>
  <si>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</si>
  <si>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</si>
  <si>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</si>
  <si>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</si>
  <si>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</si>
  <si>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</si>
  <si>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</si>
  <si>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</si>
  <si>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</si>
  <si>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</si>
  <si>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</si>
  <si>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</si>
  <si>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</si>
  <si>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</si>
  <si>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</si>
  <si>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</si>
  <si>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</si>
  <si>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</si>
  <si>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</si>
  <si>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</si>
  <si>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</si>
  <si>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</si>
  <si>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</si>
  <si>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</si>
  <si>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</si>
  <si>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</si>
  <si>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</si>
  <si>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</si>
  <si>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</si>
  <si>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</si>
  <si>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</si>
  <si>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</si>
  <si>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</si>
  <si>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</si>
  <si>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</si>
  <si>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</si>
  <si>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</si>
  <si>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</si>
  <si>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</si>
  <si>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</si>
  <si>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</si>
  <si>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</si>
  <si>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</si>
  <si>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</si>
  <si>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</si>
  <si>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</si>
  <si>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</si>
  <si>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</si>
  <si>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</si>
  <si>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</si>
  <si>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</si>
  <si>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</si>
  <si>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</si>
  <si>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</si>
  <si>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</si>
  <si>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</si>
  <si>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</si>
  <si>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</si>
  <si>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</si>
  <si>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</si>
  <si>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</si>
  <si>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</si>
  <si>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</si>
  <si>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</si>
  <si>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</si>
  <si>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</si>
  <si>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</si>
  <si>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</si>
  <si>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</si>
  <si>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</si>
  <si>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</si>
  <si>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</si>
  <si>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</si>
  <si>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</si>
  <si>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</si>
  <si>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</si>
  <si>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</si>
  <si>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</si>
  <si>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</si>
  <si>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</si>
  <si>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</si>
  <si>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</si>
  <si>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</si>
  <si>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</si>
  <si>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</si>
  <si>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</si>
  <si>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</si>
  <si>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</si>
  <si>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</si>
  <si>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</si>
  <si>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</si>
  <si>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</si>
  <si>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</si>
  <si>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</si>
  <si>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</si>
  <si>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</si>
  <si>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</si>
  <si>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</si>
  <si>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</si>
  <si>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</si>
  <si>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</si>
  <si>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</si>
  <si>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</si>
  <si>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</si>
  <si>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</si>
  <si>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</si>
  <si>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</si>
  <si>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</si>
  <si>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</si>
  <si>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</si>
  <si>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</si>
  <si>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</si>
  <si>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</si>
  <si>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</si>
  <si>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</si>
  <si>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</si>
  <si>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</si>
  <si>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</si>
  <si>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</si>
  <si>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</si>
  <si>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</si>
  <si>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</si>
  <si>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</si>
  <si>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</si>
  <si>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</si>
  <si>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</si>
  <si>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</si>
  <si>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</si>
  <si>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</si>
  <si>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</si>
  <si>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</si>
  <si>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</si>
  <si>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</si>
  <si>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</si>
  <si>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</si>
  <si>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</si>
  <si>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</si>
  <si>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</si>
  <si>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</si>
  <si>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</si>
  <si>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</si>
  <si>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</si>
  <si>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</si>
  <si>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</si>
  <si>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</si>
  <si>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</si>
  <si>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</si>
  <si>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</si>
  <si>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</si>
  <si>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</si>
  <si>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</si>
  <si>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</si>
  <si>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</si>
  <si>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</si>
  <si>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</si>
  <si>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</si>
  <si>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</si>
  <si>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</si>
  <si>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</si>
  <si>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</si>
  <si>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</si>
  <si>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</si>
  <si>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</si>
  <si>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</si>
  <si>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</si>
  <si>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</si>
  <si>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</si>
  <si>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</si>
  <si>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</si>
  <si>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</si>
  <si>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</si>
  <si>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</si>
  <si>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</si>
  <si>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</si>
  <si>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</si>
  <si>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</si>
  <si>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</si>
  <si>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</si>
  <si>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</si>
  <si>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</si>
  <si>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</si>
  <si>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</si>
  <si>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</si>
  <si>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</si>
  <si>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</si>
  <si>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</si>
  <si>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</si>
  <si>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</si>
  <si>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</si>
  <si>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</si>
  <si>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</si>
  <si>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</si>
  <si>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</si>
  <si>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</si>
  <si>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</si>
  <si>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</si>
  <si>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</si>
  <si>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</si>
  <si>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</si>
  <si>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</si>
  <si>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</si>
  <si>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</si>
  <si>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</si>
  <si>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</si>
  <si>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</si>
  <si>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</si>
  <si>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</si>
  <si>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</si>
  <si>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</si>
  <si>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</si>
  <si>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</si>
  <si>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</si>
  <si>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</si>
  <si>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</si>
  <si>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</si>
  <si>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</si>
  <si>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</si>
  <si>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</si>
  <si>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</si>
  <si>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</si>
  <si>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</si>
  <si>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</si>
  <si>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</si>
  <si>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</si>
  <si>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</si>
  <si>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</si>
  <si>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</si>
  <si>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</si>
  <si>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</si>
  <si>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</si>
  <si>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</si>
  <si>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</si>
  <si>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</si>
  <si>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</si>
  <si>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</si>
  <si>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</si>
  <si>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</si>
  <si>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</si>
  <si>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</si>
  <si>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</si>
  <si>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</si>
  <si>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</si>
  <si>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</si>
  <si>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</si>
  <si>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</si>
  <si>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</si>
  <si>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</si>
  <si>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</si>
  <si>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</si>
  <si>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</si>
  <si>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</si>
  <si>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</si>
  <si>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</si>
  <si>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</si>
  <si>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</si>
  <si>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</si>
  <si>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</si>
  <si>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</si>
  <si>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</si>
  <si>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</si>
  <si>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</si>
  <si>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</si>
  <si>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</si>
  <si>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</si>
  <si>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</si>
  <si>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</si>
  <si>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</si>
  <si>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</si>
  <si>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</si>
  <si>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</si>
  <si>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</si>
  <si>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</si>
  <si>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</si>
  <si>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</si>
  <si>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</si>
  <si>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</si>
  <si>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</si>
  <si>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</si>
  <si>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</si>
  <si>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</si>
  <si>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</si>
  <si>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</si>
  <si>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</si>
  <si>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</si>
  <si>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</si>
  <si>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</si>
  <si>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</si>
  <si>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</si>
  <si>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</si>
  <si>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</si>
  <si>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</si>
  <si>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</si>
  <si>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</si>
  <si>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</si>
  <si>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</si>
  <si>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</si>
  <si>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</si>
  <si>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</si>
  <si>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</si>
  <si>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</si>
  <si>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</si>
  <si>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</si>
  <si>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</si>
  <si>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</si>
  <si>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</si>
  <si>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</si>
  <si>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</si>
  <si>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</si>
  <si>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</si>
  <si>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</si>
  <si>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</si>
  <si>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</si>
  <si>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</si>
  <si>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</si>
  <si>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</si>
  <si>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</si>
  <si>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</si>
  <si>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</si>
  <si>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</si>
  <si>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</si>
  <si>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</si>
  <si>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</si>
  <si>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</si>
  <si>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</si>
  <si>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</si>
  <si>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</si>
  <si>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</si>
  <si>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</si>
  <si>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</si>
  <si>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</si>
  <si>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</si>
  <si>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</si>
  <si>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</si>
  <si>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</si>
  <si>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</si>
  <si>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</si>
  <si>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</si>
  <si>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</si>
  <si>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</si>
  <si>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</si>
  <si>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</si>
  <si>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</si>
  <si>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</si>
  <si>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</si>
  <si>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</si>
  <si>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</si>
  <si>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</si>
  <si>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</si>
  <si>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</si>
  <si>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</si>
  <si>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</si>
  <si>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</si>
  <si>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</si>
  <si>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</si>
  <si>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</si>
  <si>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</si>
  <si>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</si>
  <si>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</si>
  <si>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</si>
  <si>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</si>
  <si>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</si>
  <si>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</si>
  <si>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</si>
  <si>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</si>
  <si>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</si>
  <si>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</si>
  <si>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</si>
  <si>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</si>
  <si>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</si>
  <si>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</si>
  <si>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</si>
  <si>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</si>
  <si>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</si>
  <si>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</si>
  <si>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</si>
  <si>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</si>
  <si>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</si>
  <si>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</si>
  <si>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</si>
  <si>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</si>
  <si>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</si>
  <si>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</si>
  <si>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</si>
  <si>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</si>
  <si>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</si>
  <si>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</si>
  <si>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</si>
  <si>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</si>
  <si>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</si>
  <si>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</si>
  <si>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</si>
  <si>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</si>
  <si>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</si>
  <si>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</si>
  <si>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</si>
  <si>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</si>
  <si>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</si>
  <si>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</si>
  <si>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</si>
  <si>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</si>
  <si>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</si>
  <si>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</si>
  <si>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</si>
  <si>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</si>
  <si>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</si>
  <si>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</si>
  <si>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</si>
  <si>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</si>
  <si>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</si>
  <si>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</si>
  <si>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</si>
  <si>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</si>
  <si>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</si>
  <si>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</si>
  <si>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</si>
  <si>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</si>
  <si>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</si>
  <si>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</si>
  <si>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</si>
  <si>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</si>
  <si>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</si>
  <si>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</si>
  <si>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</si>
  <si>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</si>
  <si>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</si>
  <si>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</si>
  <si>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</si>
  <si>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</si>
  <si>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</si>
  <si>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</si>
  <si>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</si>
  <si>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</si>
  <si>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</si>
  <si>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</si>
  <si>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</si>
  <si>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</si>
  <si>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</si>
  <si>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</si>
  <si>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</si>
  <si>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</si>
  <si>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</si>
  <si>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</si>
  <si>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</si>
  <si>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</si>
  <si>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</si>
  <si>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</si>
  <si>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</si>
  <si>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</si>
  <si>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</si>
  <si>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</si>
  <si>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</si>
  <si>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</si>
  <si>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</si>
  <si>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</si>
  <si>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</si>
  <si>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</si>
  <si>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</si>
  <si>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</si>
  <si>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</si>
  <si>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</si>
  <si>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</si>
  <si>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</si>
  <si>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</si>
  <si>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</si>
  <si>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</si>
  <si>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</si>
  <si>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</si>
  <si>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</si>
  <si>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</si>
  <si>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</si>
  <si>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</si>
  <si>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</si>
  <si>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</si>
  <si>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</si>
  <si>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</si>
  <si>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</si>
  <si>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</si>
  <si>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</si>
  <si>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</si>
  <si>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</si>
  <si>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</si>
  <si>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</si>
  <si>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</si>
  <si>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</si>
  <si>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</si>
  <si>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</si>
  <si>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</si>
  <si>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</si>
  <si>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</si>
  <si>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</si>
  <si>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</si>
  <si>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</si>
  <si>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</si>
  <si>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</si>
  <si>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</si>
  <si>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</si>
  <si>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</si>
  <si>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</si>
  <si>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</si>
  <si>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</si>
  <si>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</si>
  <si>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</si>
  <si>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</si>
  <si>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</si>
  <si>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</si>
  <si>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</si>
  <si>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</si>
  <si>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</si>
  <si>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</si>
  <si>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</si>
  <si>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</si>
  <si>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</si>
  <si>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</si>
  <si>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</si>
  <si>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</si>
  <si>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</si>
  <si>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</si>
  <si>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</si>
  <si>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</si>
  <si>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</si>
  <si>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</si>
  <si>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</si>
  <si>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</si>
  <si>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</si>
  <si>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</si>
  <si>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</si>
  <si>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</si>
  <si>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</si>
  <si>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</si>
  <si>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</si>
  <si>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</si>
  <si>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</si>
  <si>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</si>
  <si>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</si>
  <si>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</si>
  <si>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</si>
  <si>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</si>
  <si>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</si>
  <si>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</si>
  <si>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</si>
  <si>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</si>
  <si>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</si>
  <si>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</si>
  <si>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</si>
  <si>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</si>
  <si>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</si>
  <si>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</si>
  <si>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</si>
  <si>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</si>
  <si>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</si>
  <si>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</si>
  <si>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</si>
  <si>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</si>
  <si>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</si>
  <si>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</si>
  <si>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</si>
  <si>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</si>
  <si>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</si>
  <si>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</si>
  <si>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</si>
  <si>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</si>
  <si>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</si>
  <si>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</si>
  <si>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</si>
  <si>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</si>
  <si>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</si>
  <si>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</si>
  <si>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</si>
  <si>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</si>
  <si>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</si>
  <si>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</si>
  <si>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</si>
  <si>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</si>
  <si>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</si>
  <si>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</si>
  <si>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</si>
  <si>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</si>
  <si>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</si>
  <si>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</si>
  <si>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</si>
  <si>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</si>
  <si>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</si>
  <si>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</si>
  <si>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</si>
  <si>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</si>
  <si>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</si>
  <si>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</si>
  <si>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</si>
  <si>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</si>
  <si>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</si>
  <si>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</si>
  <si>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</si>
  <si>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</si>
  <si>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</si>
  <si>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</si>
  <si>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</si>
  <si>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</si>
  <si>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</si>
  <si>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</si>
  <si>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</si>
  <si>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</si>
  <si>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</si>
  <si>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</si>
  <si>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</si>
  <si>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</si>
  <si>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</si>
  <si>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</si>
  <si>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</si>
  <si>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</si>
  <si>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</si>
  <si>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</si>
  <si>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</si>
  <si>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</si>
  <si>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</si>
  <si>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</si>
  <si>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</si>
  <si>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</si>
  <si>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</si>
  <si>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</si>
  <si>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</si>
  <si>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</si>
  <si>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</si>
  <si>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</si>
  <si>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</si>
  <si>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</si>
  <si>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</si>
  <si>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</si>
  <si>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</si>
  <si>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</si>
  <si>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</si>
  <si>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</si>
  <si>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</si>
  <si>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</si>
  <si>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</si>
  <si>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</si>
  <si>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</si>
  <si>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</si>
  <si>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</si>
  <si>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</si>
  <si>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</si>
  <si>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</si>
  <si>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</si>
  <si>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</si>
  <si>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</si>
  <si>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</si>
  <si>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</si>
  <si>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</si>
  <si>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</si>
  <si>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</si>
  <si>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</si>
  <si>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</si>
  <si>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</si>
  <si>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</si>
  <si>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</si>
  <si>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</si>
  <si>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</si>
  <si>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</si>
  <si>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</si>
  <si>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</si>
  <si>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</si>
  <si>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</si>
  <si>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</si>
  <si>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</si>
  <si>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</si>
  <si>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</si>
  <si>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</si>
  <si>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</si>
  <si>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</si>
  <si>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</si>
  <si>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</si>
  <si>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</si>
  <si>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</si>
  <si>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</si>
  <si>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</si>
  <si>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</si>
  <si>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</si>
  <si>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</si>
  <si>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</si>
  <si>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</si>
  <si>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</si>
  <si>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</si>
  <si>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</si>
  <si>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</si>
  <si>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</si>
  <si>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</si>
  <si>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</si>
  <si>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</si>
  <si>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</si>
  <si>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</si>
  <si>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</si>
  <si>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</si>
  <si>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</si>
  <si>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</si>
  <si>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</si>
  <si>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</si>
  <si>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</si>
  <si>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</si>
  <si>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</si>
  <si>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</si>
  <si>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</si>
  <si>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</si>
  <si>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</si>
  <si>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</si>
  <si>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</si>
  <si>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</si>
  <si>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</si>
  <si>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</si>
  <si>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</si>
  <si>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</si>
  <si>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</si>
  <si>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</si>
  <si>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</si>
  <si>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</si>
  <si>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</si>
  <si>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</si>
  <si>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</si>
  <si>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</si>
  <si>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</si>
  <si>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</si>
  <si>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</si>
  <si>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</si>
  <si>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</si>
  <si>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</si>
  <si>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</si>
  <si>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</si>
  <si>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</si>
  <si>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</si>
  <si>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</si>
  <si>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</si>
  <si>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</si>
  <si>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</si>
  <si>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</si>
  <si>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</si>
  <si>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</si>
  <si>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</si>
  <si>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</si>
  <si>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</si>
  <si>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</si>
  <si>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</si>
  <si>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</si>
  <si>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</si>
  <si>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</si>
  <si>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</si>
  <si>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</si>
  <si>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</si>
  <si>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</si>
  <si>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</si>
  <si>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</si>
  <si>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</si>
  <si>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</si>
  <si>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</si>
  <si>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</si>
  <si>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</si>
  <si>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</si>
  <si>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</si>
  <si>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</si>
  <si>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</si>
  <si>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</si>
  <si>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</si>
  <si>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</si>
  <si>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</si>
  <si>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</si>
  <si>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</si>
  <si>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</si>
  <si>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</si>
  <si>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</si>
  <si>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</si>
  <si>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</si>
  <si>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</si>
  <si>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</si>
  <si>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</si>
  <si>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</si>
  <si>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</si>
  <si>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</si>
  <si>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</si>
  <si>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</si>
  <si>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</si>
  <si>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</si>
  <si>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</si>
  <si>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</si>
  <si>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</si>
  <si>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</si>
  <si>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</si>
  <si>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</si>
  <si>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</si>
  <si>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</si>
  <si>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</si>
  <si>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</si>
  <si>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</si>
  <si>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</si>
  <si>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</si>
  <si>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</si>
  <si>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</si>
  <si>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</si>
  <si>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</si>
  <si>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</si>
  <si>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</si>
  <si>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</si>
  <si>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</si>
  <si>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</si>
  <si>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</si>
  <si>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</si>
  <si>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</si>
  <si>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</si>
  <si>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</si>
  <si>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</si>
  <si>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</si>
  <si>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</si>
  <si>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</si>
  <si>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</si>
  <si>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</si>
  <si>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</si>
  <si>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</si>
  <si>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</si>
  <si>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</si>
  <si>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</si>
  <si>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</si>
  <si>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</si>
  <si>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</si>
  <si>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</si>
  <si>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</si>
  <si>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</si>
  <si>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</si>
  <si>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</si>
  <si>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</si>
  <si>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</si>
  <si>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</si>
  <si>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</si>
  <si>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</si>
  <si>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</si>
  <si>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</si>
  <si>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</si>
  <si>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</si>
  <si>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</si>
  <si>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</si>
  <si>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</si>
  <si>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</si>
  <si>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</si>
  <si>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</si>
  <si>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</si>
  <si>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</si>
  <si>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</si>
  <si>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</si>
  <si>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</si>
  <si>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</si>
  <si>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</si>
  <si>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</si>
  <si>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</si>
  <si>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</si>
  <si>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</si>
  <si>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</si>
  <si>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</si>
  <si>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</si>
  <si>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</si>
  <si>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</si>
  <si>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</si>
  <si>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</si>
  <si>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</si>
  <si>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</si>
  <si>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</si>
  <si>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</si>
  <si>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</si>
  <si>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</si>
  <si>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</si>
  <si>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</si>
  <si>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</si>
  <si>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</si>
  <si>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</si>
  <si>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</si>
  <si>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</si>
  <si>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</si>
  <si>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</si>
  <si>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</si>
  <si>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</si>
  <si>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</si>
  <si>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</si>
  <si>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</si>
  <si>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</si>
  <si>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</si>
  <si>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</si>
  <si>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</si>
  <si>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</si>
  <si>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</si>
  <si>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</si>
  <si>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</si>
  <si>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</si>
  <si>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</si>
  <si>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</si>
  <si>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</si>
  <si>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</si>
  <si>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</si>
  <si>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</si>
  <si>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</si>
  <si>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</si>
  <si>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</si>
  <si>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</si>
  <si>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</si>
  <si>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</si>
  <si>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</si>
  <si>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</si>
  <si>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</si>
  <si>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</si>
  <si>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</si>
  <si>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</si>
  <si>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</si>
  <si>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</si>
  <si>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</si>
  <si>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</si>
  <si>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</si>
  <si>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</si>
  <si>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</si>
  <si>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</si>
  <si>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</si>
  <si>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</si>
  <si>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</si>
  <si>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</si>
  <si>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</si>
  <si>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</si>
  <si>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</si>
  <si>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</si>
  <si>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</si>
  <si>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</si>
  <si>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</si>
  <si>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</si>
  <si>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</si>
  <si>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</si>
  <si>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</si>
  <si>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</si>
  <si>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</si>
  <si>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</si>
  <si>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</si>
  <si>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</si>
  <si>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</si>
  <si>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</si>
  <si>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</si>
  <si>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</si>
  <si>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</si>
  <si>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</si>
  <si>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</si>
  <si>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</si>
  <si>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</si>
  <si>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</si>
  <si>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</si>
  <si>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</si>
  <si>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</si>
  <si>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</si>
  <si>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</si>
  <si>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</si>
  <si>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</si>
  <si>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</si>
  <si>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</si>
  <si>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</si>
  <si>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</si>
  <si>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</si>
  <si>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</si>
  <si>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</si>
  <si>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</si>
  <si>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</si>
  <si>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</si>
  <si>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</si>
  <si>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</si>
  <si>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</si>
  <si>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</si>
  <si>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</si>
  <si>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</si>
  <si>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</si>
  <si>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</si>
  <si>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</si>
  <si>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</si>
  <si>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</si>
  <si>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</si>
  <si>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</si>
  <si>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</si>
  <si>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</si>
  <si>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</si>
  <si>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</si>
  <si>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</si>
  <si>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</si>
  <si>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</si>
  <si>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</si>
  <si>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</si>
  <si>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</si>
  <si>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</si>
  <si>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</si>
  <si>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</si>
  <si>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</si>
  <si>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</si>
  <si>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</si>
  <si>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</si>
  <si>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</si>
  <si>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</si>
  <si>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</si>
  <si>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</si>
  <si>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</si>
  <si>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</si>
  <si>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</si>
  <si>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</si>
  <si>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</si>
  <si>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</si>
  <si>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</si>
  <si>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</si>
  <si>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</si>
  <si>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</si>
  <si>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</si>
  <si>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</si>
  <si>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</si>
  <si>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</si>
  <si>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</si>
  <si>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</si>
  <si>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</si>
  <si>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</si>
  <si>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</si>
  <si>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</si>
  <si>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</si>
  <si>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</si>
  <si>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</si>
  <si>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</si>
  <si>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</si>
  <si>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</si>
  <si>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</si>
  <si>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</si>
  <si>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</si>
  <si>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</si>
  <si>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</si>
  <si>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</si>
  <si>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</si>
  <si>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</si>
  <si>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</si>
  <si>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</si>
  <si>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</si>
  <si>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</si>
  <si>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</si>
  <si>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</si>
  <si>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</si>
  <si>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</si>
  <si>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</si>
  <si>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</si>
  <si>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</si>
  <si>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</si>
  <si>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</si>
  <si>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</si>
  <si>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</si>
  <si>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</si>
  <si>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</si>
  <si>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</si>
  <si>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</si>
  <si>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</si>
  <si>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</si>
  <si>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</si>
  <si>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</si>
  <si>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</si>
  <si>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</si>
  <si>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</si>
  <si>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</si>
  <si>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</si>
  <si>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</si>
  <si>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</si>
  <si>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</si>
  <si>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</si>
  <si>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</si>
  <si>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</si>
  <si>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</si>
  <si>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</si>
  <si>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</si>
  <si>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</si>
  <si>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</si>
  <si>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</si>
  <si>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</si>
  <si>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</si>
  <si>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</si>
  <si>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</si>
  <si>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</si>
  <si>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</si>
  <si>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</si>
  <si>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</si>
  <si>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</si>
  <si>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</si>
  <si>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</si>
  <si>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</si>
  <si>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</si>
  <si>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</si>
  <si>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</si>
  <si>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</si>
  <si>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</si>
  <si>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</si>
  <si>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</si>
  <si>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</si>
  <si>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</si>
  <si>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</si>
  <si>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</si>
  <si>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</si>
  <si>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</si>
  <si>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</si>
  <si>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</si>
  <si>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</si>
  <si>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</si>
  <si>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</si>
  <si>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</si>
  <si>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</si>
  <si>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</si>
  <si>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</si>
  <si>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</si>
  <si>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</si>
  <si>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</si>
  <si>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</si>
  <si>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</si>
  <si>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</si>
  <si>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</si>
  <si>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</si>
  <si>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</si>
  <si>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</si>
  <si>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</si>
  <si>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</si>
  <si>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</si>
  <si>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</si>
  <si>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</si>
  <si>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</si>
  <si>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</si>
  <si>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</si>
  <si>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</si>
  <si>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</si>
  <si>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</si>
  <si>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</si>
  <si>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</si>
  <si>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</si>
  <si>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</si>
  <si>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</si>
  <si>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</si>
  <si>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</si>
  <si>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</si>
  <si>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</si>
  <si>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</si>
  <si>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</si>
  <si>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</si>
  <si>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</si>
  <si>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</si>
  <si>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</si>
  <si>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</si>
  <si>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</si>
  <si>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</si>
  <si>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</si>
  <si>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</si>
  <si>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</si>
  <si>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</si>
  <si>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</si>
  <si>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</si>
  <si>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</si>
  <si>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</si>
  <si>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</si>
  <si>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</si>
  <si>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</si>
  <si>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</si>
  <si>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</si>
  <si>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</si>
  <si>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</si>
  <si>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</si>
  <si>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</si>
  <si>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</si>
  <si>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</si>
  <si>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</si>
  <si>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</si>
  <si>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</si>
  <si>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</si>
  <si>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</si>
  <si>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</si>
  <si>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</si>
  <si>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</si>
  <si>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</si>
  <si>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</si>
  <si>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</si>
  <si>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</si>
  <si>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</si>
  <si>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</si>
  <si>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</si>
  <si>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</si>
  <si>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</si>
  <si>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</si>
  <si>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</si>
  <si>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</si>
  <si>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</si>
  <si>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</si>
  <si>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</si>
  <si>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</si>
  <si>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</si>
  <si>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</si>
  <si>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</si>
  <si>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</si>
  <si>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</si>
  <si>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</si>
  <si>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</si>
  <si>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</si>
  <si>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</si>
  <si>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</si>
  <si>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</si>
  <si>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</si>
  <si>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</si>
  <si>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</si>
  <si>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</si>
  <si>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</si>
  <si>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</si>
  <si>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</si>
  <si>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</si>
  <si>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</si>
  <si>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</si>
  <si>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</si>
  <si>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</si>
  <si>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</si>
  <si>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</si>
  <si>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</si>
  <si>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</si>
  <si>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</si>
  <si>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</si>
  <si>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</si>
  <si>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</si>
  <si>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</si>
  <si>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</si>
  <si>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</si>
  <si>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</si>
  <si>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</si>
  <si>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</si>
  <si>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</si>
  <si>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</si>
  <si>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</si>
  <si>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</si>
  <si>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</si>
  <si>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</si>
  <si>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</si>
  <si>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</si>
  <si>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</si>
  <si>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</si>
  <si>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</si>
  <si>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</si>
  <si>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</si>
  <si>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</si>
  <si>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</si>
  <si>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</si>
  <si>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</si>
  <si>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</si>
  <si>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</si>
  <si>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</si>
  <si>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</si>
  <si>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</si>
  <si>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</si>
  <si>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</si>
  <si>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</si>
  <si>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</si>
  <si>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</si>
  <si>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</si>
  <si>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</si>
  <si>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</si>
  <si>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</si>
  <si>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</si>
  <si>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</si>
  <si>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</si>
  <si>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</si>
  <si>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</si>
  <si>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</si>
  <si>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</si>
  <si>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</si>
  <si>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</si>
  <si>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</si>
  <si>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</si>
  <si>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</si>
  <si>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</si>
  <si>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</si>
  <si>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</si>
  <si>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</si>
  <si>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</si>
  <si>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</si>
  <si>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</si>
  <si>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</si>
  <si>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</si>
  <si>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</si>
  <si>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</si>
  <si>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</si>
  <si>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</si>
  <si>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</si>
  <si>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</si>
  <si>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</si>
  <si>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</si>
  <si>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</si>
  <si>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</si>
  <si>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</si>
  <si>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</si>
  <si>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</si>
  <si>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</si>
  <si>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</si>
  <si>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</si>
  <si>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</si>
  <si>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</si>
  <si>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</si>
  <si>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</si>
  <si>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</si>
  <si>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</si>
  <si>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</si>
  <si>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</si>
  <si>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</si>
  <si>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</si>
  <si>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</si>
  <si>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</si>
  <si>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</si>
  <si>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</si>
  <si>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</si>
  <si>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</si>
  <si>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</si>
  <si>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</si>
  <si>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</si>
  <si>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</si>
  <si>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</si>
  <si>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</si>
  <si>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</si>
  <si>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</si>
  <si>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</si>
  <si>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</si>
  <si>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</si>
  <si>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</si>
  <si>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</si>
  <si>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</si>
  <si>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</si>
  <si>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</si>
  <si>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</si>
  <si>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</si>
  <si>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</si>
  <si>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</si>
  <si>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</si>
  <si>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</si>
  <si>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</si>
  <si>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</si>
  <si>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</si>
  <si>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</si>
  <si>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</si>
  <si>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</si>
  <si>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</si>
  <si>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</si>
  <si>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</si>
  <si>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</si>
  <si>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</si>
  <si>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</si>
  <si>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</si>
  <si>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</si>
  <si>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</si>
  <si>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</si>
  <si>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</si>
  <si>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</si>
  <si>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</si>
  <si>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</si>
  <si>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</si>
  <si>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</si>
  <si>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</si>
  <si>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</si>
  <si>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</si>
  <si>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</si>
  <si>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</si>
  <si>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</si>
  <si>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</si>
  <si>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</si>
  <si>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</si>
  <si>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</si>
  <si>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</si>
  <si>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</si>
  <si>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</si>
  <si>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</si>
  <si>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</si>
  <si>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</si>
  <si>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</si>
  <si>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</si>
  <si>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</si>
  <si>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</si>
  <si>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</si>
  <si>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</si>
  <si>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</si>
  <si>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</si>
  <si>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</si>
  <si>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</si>
  <si>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</si>
  <si>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</si>
  <si>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</si>
  <si>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</si>
  <si>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</si>
  <si>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</si>
  <si>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</si>
  <si>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</si>
  <si>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</si>
  <si>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</si>
  <si>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</si>
  <si>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</si>
  <si>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</si>
  <si>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</si>
  <si>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</si>
  <si>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</si>
  <si>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</si>
  <si>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</si>
  <si>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</si>
  <si>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</si>
  <si>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</si>
  <si>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</si>
  <si>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</si>
  <si>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</si>
  <si>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</si>
  <si>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</si>
  <si>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</si>
  <si>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</si>
  <si>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</si>
  <si>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</si>
  <si>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</si>
  <si>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</si>
  <si>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</si>
  <si>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</si>
  <si>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</si>
  <si>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</si>
  <si>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</si>
  <si>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</si>
  <si>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</si>
  <si>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</si>
  <si>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</si>
  <si>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</si>
  <si>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</si>
  <si>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</si>
  <si>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</si>
  <si>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</si>
  <si>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</si>
  <si>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</si>
  <si>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</si>
  <si>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</si>
  <si>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</si>
  <si>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</si>
  <si>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</si>
  <si>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</si>
  <si>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</si>
  <si>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</si>
  <si>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</si>
  <si>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</si>
  <si>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</si>
  <si>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</si>
  <si>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</si>
  <si>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</si>
  <si>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</si>
  <si>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</si>
  <si>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</si>
  <si>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</si>
  <si>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</si>
  <si>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</si>
  <si>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</si>
  <si>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</si>
  <si>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</si>
  <si>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</si>
  <si>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</si>
  <si>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</si>
  <si>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</si>
  <si>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</si>
  <si>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</si>
  <si>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</si>
  <si>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</si>
  <si>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</si>
  <si>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</si>
  <si>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</si>
  <si>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</si>
  <si>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</si>
  <si>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</si>
  <si>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</si>
  <si>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</si>
  <si>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</si>
  <si>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</si>
  <si>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</si>
  <si>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</si>
  <si>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</si>
  <si>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</si>
  <si>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</si>
  <si>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</si>
  <si>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</si>
  <si>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</si>
  <si>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</si>
  <si>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</si>
  <si>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</si>
  <si>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</si>
  <si>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</si>
  <si>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</si>
  <si>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</si>
  <si>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</si>
  <si>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</si>
  <si>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</si>
  <si>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</si>
  <si>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</si>
  <si>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</si>
  <si>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</si>
  <si>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</si>
  <si>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</si>
  <si>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</si>
  <si>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</si>
  <si>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</si>
  <si>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</si>
  <si>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</si>
  <si>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</si>
  <si>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</si>
  <si>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</si>
  <si>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</si>
  <si>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</si>
  <si>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</si>
  <si>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</si>
  <si>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</si>
  <si>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</si>
  <si>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</si>
  <si>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</si>
  <si>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</si>
  <si>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</si>
  <si>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</si>
  <si>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</si>
  <si>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</si>
  <si>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</si>
  <si>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</si>
  <si>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</si>
  <si>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</si>
  <si>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</si>
  <si>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</si>
  <si>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</si>
  <si>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</si>
  <si>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</si>
  <si>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</si>
  <si>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</si>
  <si>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</si>
  <si>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</si>
  <si>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</si>
  <si>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</si>
  <si>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</si>
  <si>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</si>
  <si>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</si>
  <si>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</si>
  <si>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</si>
  <si>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</si>
  <si>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</si>
  <si>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</si>
  <si>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</si>
  <si>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</si>
  <si>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</si>
  <si>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</si>
  <si>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</si>
  <si>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</si>
  <si>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</si>
  <si>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</si>
  <si>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</si>
  <si>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</si>
  <si>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</si>
  <si>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</si>
  <si>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</si>
  <si>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</si>
  <si>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</si>
  <si>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</si>
  <si>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</si>
  <si>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</si>
  <si>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</si>
  <si>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</si>
  <si>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</si>
  <si>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</si>
  <si>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</si>
  <si>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</si>
  <si>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</si>
  <si>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</si>
  <si>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</si>
  <si>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</si>
  <si>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</si>
  <si>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</si>
  <si>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</si>
  <si>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</si>
  <si>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</si>
  <si>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</si>
  <si>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</si>
  <si>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</si>
  <si>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</si>
  <si>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</si>
  <si>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</si>
  <si>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</si>
  <si>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</si>
  <si>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</si>
  <si>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</si>
  <si>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</si>
  <si>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</si>
  <si>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</si>
  <si>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</si>
  <si>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</si>
  <si>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</si>
  <si>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</si>
  <si>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</si>
  <si>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</si>
  <si>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</si>
  <si>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</si>
  <si>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</si>
  <si>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</si>
  <si>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</si>
  <si>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</si>
  <si>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</si>
  <si>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</si>
  <si>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</si>
  <si>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</si>
  <si>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</si>
  <si>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</si>
  <si>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</si>
  <si>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</si>
  <si>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</si>
  <si>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</si>
  <si>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</si>
  <si>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</si>
  <si>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</si>
  <si>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</si>
  <si>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</si>
  <si>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</si>
  <si>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</si>
  <si>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</si>
  <si>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</si>
  <si>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</si>
  <si>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</si>
  <si>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</si>
  <si>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</si>
  <si>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</si>
  <si>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</si>
  <si>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</si>
  <si>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</si>
  <si>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</si>
  <si>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</si>
  <si>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</si>
  <si>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</si>
  <si>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</si>
  <si>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</si>
  <si>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</si>
  <si>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</si>
  <si>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</si>
  <si>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</si>
  <si>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</si>
  <si>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</si>
  <si>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</si>
  <si>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</si>
  <si>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</si>
  <si>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</si>
  <si>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</si>
  <si>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</si>
  <si>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</si>
  <si>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</si>
  <si>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</si>
  <si>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</si>
  <si>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</si>
  <si>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</si>
  <si>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</si>
  <si>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</si>
  <si>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</si>
  <si>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</si>
  <si>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</si>
  <si>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</si>
  <si>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</si>
  <si>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</si>
  <si>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</si>
  <si>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</si>
  <si>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</si>
  <si>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</si>
  <si>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</si>
  <si>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</si>
  <si>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</si>
  <si>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</si>
  <si>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</si>
  <si>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</si>
  <si>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</si>
  <si>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</si>
  <si>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</si>
  <si>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</si>
  <si>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</si>
  <si>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</si>
  <si>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</si>
  <si>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</si>
  <si>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</si>
  <si>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</si>
  <si>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</si>
  <si>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</si>
  <si>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</si>
  <si>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</si>
  <si>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</si>
  <si>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</si>
  <si>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</si>
  <si>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</si>
  <si>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</si>
  <si>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</si>
  <si>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</si>
  <si>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</si>
  <si>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</si>
  <si>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</si>
  <si>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</si>
  <si>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</si>
  <si>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</si>
  <si>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</si>
  <si>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</si>
  <si>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</si>
  <si>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</si>
  <si>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</si>
  <si>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</si>
  <si>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</si>
  <si>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</si>
  <si>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</si>
  <si>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</si>
  <si>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</si>
  <si>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</si>
  <si>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</si>
  <si>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</si>
  <si>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</si>
  <si>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</si>
  <si>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</si>
  <si>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</si>
  <si>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</si>
  <si>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</si>
  <si>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</si>
  <si>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</si>
  <si>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</si>
  <si>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</si>
  <si>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</si>
  <si>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</si>
  <si>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</si>
  <si>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</si>
  <si>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</si>
  <si>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</si>
  <si>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</si>
  <si>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</si>
  <si>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</si>
  <si>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</si>
  <si>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</si>
  <si>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</si>
  <si>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</si>
  <si>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</si>
  <si>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</si>
  <si>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</si>
  <si>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</si>
  <si>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</si>
  <si>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</si>
  <si>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</si>
  <si>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</si>
  <si>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</si>
  <si>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</si>
  <si>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</si>
  <si>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</si>
  <si>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</si>
  <si>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</si>
  <si>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</si>
  <si>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</si>
  <si>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</si>
  <si>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</si>
  <si>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</si>
  <si>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</si>
  <si>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</si>
  <si>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</si>
  <si>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</si>
  <si>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</si>
  <si>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</si>
  <si>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</si>
  <si>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</si>
  <si>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</si>
  <si>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</si>
  <si>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</si>
  <si>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</si>
  <si>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</si>
  <si>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</si>
  <si>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</si>
  <si>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</si>
  <si>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</si>
  <si>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</si>
  <si>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</si>
  <si>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</si>
  <si>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</si>
  <si>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</si>
  <si>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</si>
  <si>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</si>
  <si>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</si>
  <si>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</si>
  <si>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</si>
  <si>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</si>
  <si>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</si>
  <si>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</si>
  <si>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</si>
  <si>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</si>
  <si>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</si>
  <si>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</si>
  <si>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</si>
  <si>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</si>
  <si>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</si>
  <si>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</si>
  <si>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</si>
  <si>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</si>
  <si>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</si>
  <si>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</si>
  <si>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</si>
  <si>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</si>
  <si>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</si>
  <si>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</si>
  <si>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</si>
  <si>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</si>
  <si>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</si>
  <si>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</si>
  <si>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</si>
  <si>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</si>
  <si>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</si>
  <si>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</si>
  <si>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</si>
  <si>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</si>
  <si>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</si>
  <si>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</si>
  <si>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</si>
  <si>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</si>
  <si>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</si>
  <si>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</si>
  <si>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</si>
  <si>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</si>
  <si>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</si>
  <si>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</si>
  <si>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</si>
  <si>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</si>
  <si>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</si>
  <si>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</si>
  <si>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</si>
  <si>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</si>
  <si>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</si>
  <si>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</si>
  <si>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</si>
  <si>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</si>
  <si>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</si>
  <si>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</si>
  <si>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</si>
  <si>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</si>
  <si>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</si>
  <si>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</si>
  <si>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</si>
  <si>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</si>
  <si>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</si>
  <si>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</si>
  <si>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</si>
  <si>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</si>
  <si>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</si>
  <si>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</si>
  <si>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</si>
  <si>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</si>
  <si>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</si>
  <si>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</si>
  <si>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</si>
  <si>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</si>
  <si>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</si>
  <si>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</si>
  <si>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</si>
  <si>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</si>
  <si>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</si>
  <si>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</si>
  <si>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</si>
  <si>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</si>
  <si>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</si>
  <si>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</si>
  <si>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</si>
  <si>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</si>
  <si>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</si>
  <si>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</si>
  <si>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</si>
  <si>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</si>
  <si>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</si>
  <si>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</si>
  <si>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</si>
  <si>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</si>
  <si>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</si>
  <si>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</si>
  <si>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</si>
  <si>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</si>
  <si>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</si>
  <si>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</si>
  <si>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</si>
  <si>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</si>
  <si>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</si>
  <si>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</si>
  <si>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</si>
  <si>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</si>
  <si>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</si>
  <si>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</si>
  <si>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</si>
  <si>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</si>
  <si>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</si>
  <si>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</si>
  <si>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</si>
  <si>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</si>
  <si>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</si>
  <si>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</si>
  <si>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</si>
  <si>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</si>
  <si>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</si>
  <si>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</si>
  <si>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</si>
  <si>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</si>
  <si>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</si>
  <si>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</si>
  <si>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</si>
  <si>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</si>
  <si>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</si>
  <si>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</si>
  <si>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</si>
  <si>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</si>
  <si>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</si>
  <si>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</si>
  <si>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</si>
  <si>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</si>
  <si>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</si>
  <si>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</si>
  <si>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</si>
  <si>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</si>
  <si>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</si>
  <si>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</si>
  <si>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</si>
  <si>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</si>
  <si>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</si>
  <si>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</si>
  <si>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</si>
  <si>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</si>
  <si>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</si>
  <si>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</si>
  <si>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</si>
  <si>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</si>
  <si>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</si>
  <si>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</si>
  <si>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</si>
  <si>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</si>
  <si>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</si>
  <si>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</si>
  <si>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</si>
  <si>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</si>
  <si>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</si>
  <si>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</si>
  <si>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</si>
  <si>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</si>
  <si>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</si>
  <si>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</si>
  <si>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</si>
  <si>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</si>
  <si>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</si>
  <si>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</si>
  <si>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</si>
  <si>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</si>
  <si>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</si>
  <si>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</si>
  <si>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</si>
  <si>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</si>
  <si>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</si>
  <si>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</si>
  <si>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</si>
  <si>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</si>
  <si>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</si>
  <si>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</si>
  <si>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</si>
  <si>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</si>
  <si>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</si>
  <si>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</si>
  <si>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</si>
  <si>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</si>
  <si>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</si>
  <si>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</si>
  <si>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</si>
  <si>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</si>
  <si>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</si>
  <si>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</si>
  <si>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</si>
  <si>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</si>
  <si>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</si>
  <si>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</si>
  <si>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</si>
  <si>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</si>
  <si>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</si>
  <si>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</si>
  <si>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</si>
  <si>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</si>
  <si>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</si>
  <si>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</si>
  <si>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</si>
  <si>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</si>
  <si>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</si>
  <si>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</si>
  <si>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</si>
  <si>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</si>
  <si>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</si>
  <si>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</si>
  <si>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</si>
  <si>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</si>
  <si>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</si>
  <si>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</si>
  <si>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</si>
  <si>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</si>
  <si>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</si>
  <si>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</si>
  <si>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</si>
  <si>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</si>
  <si>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</si>
  <si>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</si>
  <si>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</si>
  <si>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</si>
  <si>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</si>
  <si>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</si>
  <si>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</si>
  <si>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</si>
  <si>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</si>
  <si>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</si>
  <si>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</si>
  <si>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</si>
  <si>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</si>
  <si>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</si>
  <si>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</si>
  <si>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</si>
  <si>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</si>
  <si>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</si>
  <si>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</si>
  <si>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</si>
  <si>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</si>
  <si>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</si>
  <si>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</si>
  <si>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</si>
  <si>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</si>
  <si>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</si>
  <si>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</si>
  <si>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</si>
  <si>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</si>
  <si>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</si>
  <si>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</si>
  <si>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</si>
  <si>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</si>
  <si>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</si>
  <si>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</si>
  <si>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</si>
  <si>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</si>
  <si>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</si>
  <si>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</si>
  <si>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</si>
  <si>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</si>
  <si>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</si>
  <si>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</si>
  <si>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</si>
  <si>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</si>
  <si>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</si>
  <si>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</si>
  <si>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</si>
  <si>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</si>
  <si>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</si>
  <si>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</si>
  <si>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</si>
  <si>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</si>
  <si>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</si>
  <si>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</si>
  <si>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</si>
  <si>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</si>
  <si>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</si>
  <si>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</si>
  <si>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</si>
  <si>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</si>
  <si>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</si>
  <si>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</si>
  <si>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</si>
  <si>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</si>
  <si>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</si>
  <si>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</si>
  <si>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</si>
  <si>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</si>
  <si>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</si>
  <si>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</si>
  <si>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</si>
  <si>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</si>
  <si>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</si>
  <si>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</si>
  <si>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</si>
  <si>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</si>
  <si>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</si>
  <si>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</si>
  <si>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</si>
  <si>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</si>
  <si>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</si>
  <si>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</si>
  <si>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</si>
  <si>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</si>
  <si>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</si>
  <si>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</si>
  <si>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</si>
  <si>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</si>
  <si>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</si>
  <si>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</si>
  <si>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</si>
  <si>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</si>
  <si>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</si>
  <si>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</si>
  <si>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</si>
  <si>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</si>
  <si>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</si>
  <si>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</si>
  <si>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</si>
  <si>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</si>
  <si>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</si>
  <si>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</si>
  <si>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</si>
  <si>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</si>
  <si>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</si>
  <si>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</si>
  <si>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</si>
  <si>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</si>
  <si>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</si>
  <si>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</si>
  <si>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</si>
  <si>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</si>
  <si>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</si>
  <si>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</si>
  <si>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</si>
  <si>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</si>
  <si>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</si>
  <si>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</si>
  <si>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</si>
  <si>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</si>
  <si>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</si>
  <si>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</si>
  <si>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</si>
  <si>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</si>
  <si>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</si>
  <si>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</si>
  <si>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</si>
  <si>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</si>
  <si>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</si>
  <si>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</si>
  <si>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</si>
  <si>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</si>
  <si>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</si>
  <si>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</si>
  <si>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</si>
  <si>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</si>
  <si>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</si>
  <si>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</si>
  <si>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</si>
  <si>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</si>
  <si>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</si>
  <si>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</si>
  <si>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</si>
  <si>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</si>
  <si>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</si>
  <si>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</si>
  <si>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</si>
  <si>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</si>
  <si>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</si>
  <si>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</si>
  <si>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</si>
  <si>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</si>
  <si>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</si>
  <si>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</si>
  <si>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</si>
  <si>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</si>
  <si>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</si>
  <si>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</si>
  <si>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</si>
  <si>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</si>
  <si>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</si>
  <si>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</si>
  <si>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</si>
  <si>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</si>
  <si>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</si>
  <si>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</si>
  <si>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</si>
  <si>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</si>
  <si>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</si>
  <si>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</si>
  <si>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</si>
  <si>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</si>
  <si>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</si>
  <si>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</si>
  <si>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</si>
  <si>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</si>
  <si>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</si>
  <si>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</si>
  <si>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</si>
  <si>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</si>
  <si>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</si>
  <si>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</si>
  <si>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</si>
  <si>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</si>
  <si>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</si>
  <si>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</si>
  <si>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</si>
  <si>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</si>
  <si>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</si>
  <si>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</si>
  <si>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</si>
  <si>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</si>
  <si>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</si>
  <si>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</si>
  <si>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</si>
  <si>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</si>
  <si>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</si>
  <si>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</si>
  <si>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</si>
  <si>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</si>
  <si>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</si>
  <si>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</si>
  <si>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</si>
  <si>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</si>
  <si>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</si>
  <si>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</si>
  <si>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</si>
  <si>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</si>
  <si>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</si>
  <si>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</si>
  <si>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</si>
  <si>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</si>
  <si>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</si>
  <si>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</si>
  <si>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</si>
  <si>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</si>
  <si>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</si>
  <si>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</si>
  <si>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</si>
  <si>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</si>
  <si>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</si>
  <si>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</si>
  <si>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</si>
  <si>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</si>
  <si>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</si>
  <si>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</si>
  <si>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</si>
  <si>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</si>
  <si>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</si>
  <si>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</si>
  <si>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</si>
  <si>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</si>
  <si>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</si>
  <si>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</si>
  <si>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</si>
  <si>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</si>
  <si>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</si>
  <si>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</si>
  <si>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</si>
  <si>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</si>
  <si>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</si>
  <si>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</si>
  <si>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</si>
  <si>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</si>
  <si>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</si>
  <si>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</si>
  <si>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</si>
  <si>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</si>
  <si>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</si>
  <si>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</si>
  <si>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</si>
  <si>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</si>
  <si>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</si>
  <si>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</si>
  <si>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</si>
  <si>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</si>
  <si>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</si>
  <si>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</si>
  <si>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</si>
  <si>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</si>
  <si>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</si>
  <si>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</si>
  <si>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</si>
  <si>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</si>
  <si>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</si>
  <si>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</si>
  <si>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</si>
  <si>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</si>
  <si>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</si>
  <si>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</si>
  <si>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</si>
  <si>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</si>
  <si>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</si>
  <si>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</si>
  <si>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</si>
  <si>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</si>
  <si>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</si>
  <si>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</si>
  <si>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</si>
  <si>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</si>
  <si>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</si>
  <si>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</si>
  <si>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</si>
  <si>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</si>
  <si>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</si>
  <si>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</si>
  <si>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</si>
  <si>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</si>
  <si>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</si>
  <si>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</si>
  <si>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</si>
  <si>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</si>
  <si>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</si>
  <si>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</si>
  <si>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</si>
  <si>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</si>
  <si>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</si>
  <si>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</si>
  <si>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</si>
  <si>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</si>
  <si>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</si>
  <si>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</si>
  <si>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</si>
  <si>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</si>
  <si>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</si>
  <si>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</si>
  <si>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</si>
  <si>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</si>
  <si>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</si>
  <si>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</si>
  <si>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</si>
  <si>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</si>
  <si>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</si>
  <si>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</si>
  <si>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</si>
  <si>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</si>
  <si>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</si>
  <si>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</si>
  <si>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</si>
  <si>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</si>
  <si>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</si>
  <si>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</si>
  <si>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</si>
  <si>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</si>
  <si>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</si>
  <si>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</si>
  <si>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</si>
  <si>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</si>
  <si>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</si>
  <si>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</si>
  <si>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</si>
  <si>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</si>
  <si>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</si>
  <si>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</si>
  <si>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</si>
  <si>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</si>
  <si>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</si>
  <si>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</si>
  <si>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</si>
  <si>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</si>
  <si>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</si>
  <si>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</si>
  <si>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</si>
  <si>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</si>
  <si>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</si>
  <si>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</si>
  <si>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</si>
  <si>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</si>
  <si>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</si>
  <si>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</si>
  <si>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</si>
  <si>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</si>
  <si>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</si>
  <si>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</si>
  <si>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</si>
  <si>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</si>
  <si>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</si>
  <si>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</si>
  <si>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</si>
  <si>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</si>
  <si>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</si>
  <si>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</si>
  <si>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</si>
  <si>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</si>
  <si>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</si>
  <si>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</si>
  <si>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</si>
  <si>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</si>
  <si>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</si>
  <si>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</si>
  <si>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</si>
  <si>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</si>
  <si>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</si>
  <si>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</si>
  <si>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</si>
  <si>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</si>
  <si>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</si>
  <si>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</si>
  <si>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</si>
  <si>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</si>
  <si>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</si>
  <si>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</si>
  <si>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</si>
  <si>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</si>
  <si>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</si>
  <si>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</si>
  <si>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</si>
  <si>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</si>
  <si>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</si>
  <si>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</si>
  <si>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</si>
  <si>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</si>
  <si>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</si>
  <si>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</si>
  <si>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</si>
  <si>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</si>
  <si>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</si>
  <si>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</si>
  <si>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</si>
  <si>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</si>
  <si>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</si>
  <si>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</si>
  <si>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</si>
  <si>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</si>
  <si>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</si>
  <si>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</si>
  <si>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</si>
  <si>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</si>
  <si>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</si>
  <si>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</si>
  <si>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</si>
  <si>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</si>
  <si>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</si>
  <si>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</si>
  <si>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</si>
  <si>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</si>
  <si>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</si>
  <si>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</si>
  <si>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</si>
  <si>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</si>
  <si>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</si>
  <si>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</si>
  <si>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</si>
  <si>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</si>
  <si>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</si>
  <si>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</si>
  <si>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</si>
  <si>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</si>
  <si>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</si>
  <si>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</si>
  <si>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</si>
  <si>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</si>
  <si>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</si>
  <si>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</si>
  <si>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</si>
  <si>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</si>
  <si>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</si>
  <si>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</si>
  <si>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</si>
  <si>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</si>
  <si>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</si>
  <si>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</si>
  <si>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</si>
  <si>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</si>
  <si>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</si>
  <si>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</si>
  <si>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</si>
  <si>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</si>
  <si>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</si>
  <si>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</si>
  <si>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</si>
  <si>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</si>
  <si>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</si>
  <si>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</si>
  <si>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</si>
  <si>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</si>
  <si>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</si>
  <si>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</si>
  <si>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</si>
  <si>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</si>
  <si>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</si>
  <si>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</si>
  <si>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</si>
  <si>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</si>
  <si>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</si>
  <si>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</si>
  <si>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</si>
  <si>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</si>
  <si>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</si>
  <si>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</si>
  <si>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</si>
  <si>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</si>
  <si>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</si>
  <si>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</si>
  <si>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</si>
  <si>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</si>
  <si>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</si>
  <si>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</si>
  <si>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</si>
  <si>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</si>
  <si>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</si>
  <si>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</si>
  <si>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</si>
  <si>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</si>
  <si>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</si>
  <si>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</si>
  <si>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</si>
  <si>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</si>
  <si>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</si>
  <si>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</si>
  <si>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</si>
  <si>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</si>
  <si>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</si>
  <si>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</si>
  <si>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</si>
  <si>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</si>
  <si>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</si>
  <si>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</si>
  <si>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</si>
  <si>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</si>
  <si>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</si>
  <si>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</si>
  <si>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</si>
  <si>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</si>
  <si>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</si>
  <si>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</si>
  <si>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</si>
  <si>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</si>
  <si>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</si>
  <si>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</si>
  <si>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</si>
  <si>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</si>
  <si>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</si>
  <si>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</si>
  <si>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</si>
  <si>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</si>
  <si>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</si>
  <si>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</si>
  <si>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</si>
  <si>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</si>
  <si>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</si>
  <si>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</si>
  <si>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</si>
  <si>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</si>
  <si>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</si>
  <si>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</si>
  <si>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</si>
  <si>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</si>
  <si>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</si>
  <si>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</si>
  <si>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</si>
  <si>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</si>
  <si>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</si>
  <si>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</si>
  <si>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</si>
  <si>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</si>
  <si>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</si>
  <si>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</si>
  <si>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</si>
  <si>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</si>
  <si>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</si>
  <si>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</si>
  <si>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</si>
  <si>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</si>
  <si>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</si>
  <si>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</si>
  <si>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</si>
  <si>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</si>
  <si>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</si>
  <si>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</si>
  <si>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</si>
  <si>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</si>
  <si>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</si>
  <si>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</si>
  <si>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</si>
  <si>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</si>
  <si>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</si>
  <si>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</si>
  <si>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</si>
  <si>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</si>
  <si>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</si>
  <si>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</si>
  <si>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</si>
  <si>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</si>
  <si>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</si>
  <si>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</si>
  <si>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</si>
  <si>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</si>
  <si>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</si>
  <si>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</si>
  <si>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</si>
  <si>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</si>
  <si>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</si>
  <si>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</si>
  <si>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</si>
  <si>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</si>
  <si>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</si>
  <si>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</si>
  <si>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</si>
  <si>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</si>
  <si>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</si>
  <si>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</si>
  <si>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</si>
  <si>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</si>
  <si>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</si>
  <si>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</si>
  <si>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</si>
  <si>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</si>
  <si>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</si>
  <si>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</si>
  <si>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</si>
  <si>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</si>
  <si>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</si>
  <si>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</si>
  <si>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</si>
  <si>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</si>
  <si>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</si>
  <si>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</si>
  <si>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</si>
  <si>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</si>
  <si>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</si>
  <si>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</si>
  <si>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</si>
  <si>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</si>
  <si>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</si>
  <si>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</si>
  <si>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</si>
  <si>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</si>
  <si>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</si>
  <si>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</si>
  <si>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</si>
  <si>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</si>
  <si>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</si>
  <si>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</si>
  <si>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</si>
  <si>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</si>
  <si>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</si>
  <si>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</si>
  <si>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</si>
  <si>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</si>
  <si>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</si>
  <si>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</si>
  <si>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</si>
  <si>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</si>
  <si>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</si>
  <si>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</si>
  <si>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</si>
  <si>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</si>
  <si>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</si>
  <si>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</si>
  <si>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</si>
  <si>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</si>
  <si>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</si>
  <si>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</si>
  <si>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</si>
  <si>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</si>
  <si>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</si>
  <si>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</si>
  <si>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</si>
  <si>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</si>
  <si>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</si>
  <si>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</si>
  <si>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</si>
  <si>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</si>
  <si>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</si>
  <si>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</si>
  <si>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</si>
  <si>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</si>
  <si>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</si>
  <si>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</si>
  <si>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</si>
  <si>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</si>
  <si>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</si>
  <si>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</si>
  <si>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</si>
  <si>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</si>
  <si>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</si>
  <si>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</si>
  <si>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</si>
  <si>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</si>
  <si>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</si>
  <si>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</si>
  <si>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</si>
  <si>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</si>
  <si>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</si>
  <si>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</si>
  <si>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</si>
  <si>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</si>
  <si>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</si>
  <si>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</si>
  <si>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</si>
  <si>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</si>
  <si>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</si>
  <si>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</si>
  <si>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</si>
  <si>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</si>
  <si>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</si>
  <si>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</si>
  <si>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</si>
  <si>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</si>
  <si>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</si>
  <si>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</si>
  <si>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</si>
  <si>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</si>
  <si>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</si>
  <si>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</si>
  <si>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</si>
  <si>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</si>
  <si>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</si>
  <si>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</si>
  <si>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</si>
  <si>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</si>
  <si>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</si>
  <si>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</si>
  <si>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</si>
  <si>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</si>
  <si>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</si>
  <si>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</si>
  <si>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</si>
  <si>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</si>
  <si>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</si>
  <si>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</si>
  <si>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</si>
  <si>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</si>
  <si>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</si>
  <si>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</si>
  <si>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</si>
  <si>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</si>
  <si>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</si>
  <si>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</si>
  <si>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</si>
  <si>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</si>
  <si>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</si>
  <si>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</si>
  <si>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</si>
  <si>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</si>
  <si>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</si>
  <si>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</si>
  <si>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</si>
  <si>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</si>
  <si>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</si>
  <si>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</si>
  <si>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</si>
  <si>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</si>
  <si>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</si>
  <si>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</si>
  <si>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</si>
  <si>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</si>
  <si>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</si>
  <si>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</si>
  <si>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</si>
  <si>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</si>
  <si>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</si>
  <si>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</si>
  <si>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</si>
  <si>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</si>
  <si>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</si>
  <si>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</si>
  <si>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</si>
  <si>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</si>
  <si>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</si>
  <si>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</si>
  <si>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</si>
  <si>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</si>
  <si>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</si>
  <si>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</si>
  <si>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</si>
  <si>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</si>
  <si>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</si>
  <si>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</si>
  <si>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</si>
  <si>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</si>
  <si>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</si>
  <si>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</si>
  <si>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</si>
  <si>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</si>
  <si>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</si>
  <si>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</si>
  <si>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</si>
  <si>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</si>
  <si>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</si>
  <si>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</si>
  <si>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</si>
  <si>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</si>
  <si>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</si>
  <si>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</si>
  <si>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</si>
  <si>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</si>
  <si>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</si>
  <si>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</si>
  <si>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</si>
  <si>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</si>
  <si>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</si>
  <si>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</si>
  <si>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</si>
  <si>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</si>
  <si>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</si>
  <si>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</si>
  <si>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</si>
  <si>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</si>
  <si>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</si>
  <si>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</si>
  <si>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</si>
  <si>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</si>
  <si>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</si>
  <si>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</si>
  <si>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</si>
  <si>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</si>
  <si>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</si>
  <si>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</si>
  <si>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</si>
  <si>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</si>
  <si>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</si>
  <si>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</si>
  <si>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</si>
  <si>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</si>
  <si>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</si>
  <si>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</si>
  <si>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</si>
  <si>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</si>
  <si>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</si>
  <si>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</si>
  <si>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</si>
  <si>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</si>
  <si>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</si>
  <si>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</si>
  <si>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</si>
  <si>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</si>
  <si>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</si>
  <si>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</si>
  <si>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</si>
  <si>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</si>
  <si>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</si>
  <si>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</si>
  <si>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</si>
  <si>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</si>
  <si>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</si>
  <si>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</si>
  <si>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</si>
  <si>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</si>
  <si>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</si>
  <si>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</si>
  <si>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</si>
  <si>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</si>
  <si>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</si>
  <si>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</si>
  <si>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</si>
  <si>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</si>
  <si>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</si>
  <si>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</si>
  <si>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</si>
  <si>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</si>
  <si>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</si>
  <si>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</si>
  <si>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</si>
  <si>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</si>
  <si>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</si>
  <si>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</si>
  <si>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</si>
  <si>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</si>
  <si>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</si>
  <si>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</si>
  <si>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</si>
  <si>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</si>
  <si>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</si>
  <si>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</si>
  <si>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</si>
  <si>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</si>
  <si>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</si>
  <si>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</si>
  <si>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</si>
  <si>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</si>
  <si>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</si>
  <si>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</si>
  <si>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</si>
  <si>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</si>
  <si>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</si>
  <si>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</si>
  <si>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</si>
  <si>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</si>
  <si>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</si>
  <si>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</si>
  <si>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</si>
  <si>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</si>
  <si>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</si>
  <si>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</si>
  <si>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</si>
  <si>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</si>
  <si>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</si>
  <si>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</si>
  <si>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</si>
  <si>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</si>
  <si>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</si>
  <si>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</si>
  <si>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</si>
  <si>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</si>
  <si>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</si>
  <si>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</si>
  <si>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</si>
  <si>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</si>
  <si>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</si>
  <si>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</si>
  <si>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</si>
  <si>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</si>
  <si>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</si>
  <si>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</si>
  <si>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</si>
  <si>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</si>
  <si>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</si>
  <si>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</si>
  <si>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</si>
  <si>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</si>
  <si>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</si>
  <si>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</si>
  <si>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</si>
  <si>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</si>
  <si>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</si>
  <si>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</si>
  <si>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</si>
  <si>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</si>
  <si>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</si>
  <si>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</si>
  <si>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</si>
  <si>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</si>
  <si>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</si>
  <si>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</si>
  <si>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</si>
  <si>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</si>
  <si>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</si>
  <si>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</si>
  <si>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</si>
  <si>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</si>
  <si>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</si>
  <si>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</si>
  <si>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</si>
  <si>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</si>
  <si>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</si>
  <si>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</si>
  <si>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</si>
  <si>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</si>
  <si>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</si>
  <si>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</si>
  <si>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</si>
  <si>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</si>
  <si>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</si>
  <si>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</si>
  <si>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</si>
  <si>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</si>
  <si>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</si>
  <si>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</si>
  <si>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</si>
  <si>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</si>
  <si>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</si>
  <si>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</si>
  <si>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</si>
  <si>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</si>
  <si>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</si>
  <si>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</si>
  <si>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</si>
  <si>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</si>
  <si>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</si>
  <si>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</si>
  <si>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</si>
  <si>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</si>
  <si>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</si>
  <si>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</si>
  <si>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</si>
  <si>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</si>
  <si>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</si>
  <si>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</si>
  <si>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</si>
  <si>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</si>
  <si>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</si>
  <si>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</si>
  <si>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</si>
  <si>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</si>
  <si>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</si>
  <si>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</si>
  <si>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</si>
  <si>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</si>
  <si>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</si>
  <si>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</si>
  <si>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</si>
  <si>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</si>
  <si>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</si>
  <si>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</si>
  <si>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</si>
  <si>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</si>
  <si>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</si>
  <si>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</si>
  <si>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</si>
  <si>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</si>
  <si>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</si>
  <si>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</si>
  <si>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</si>
  <si>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</si>
  <si>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</si>
  <si>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</si>
  <si>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</si>
  <si>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</si>
  <si>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</si>
  <si>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</si>
  <si>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</si>
  <si>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</si>
  <si>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</si>
  <si>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</si>
  <si>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</si>
  <si>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</si>
  <si>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</si>
  <si>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</si>
  <si>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</si>
  <si>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</si>
  <si>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</si>
  <si>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</si>
  <si>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</si>
  <si>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</si>
  <si>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</si>
  <si>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</si>
  <si>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</si>
  <si>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</si>
  <si>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</si>
  <si>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</si>
  <si>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</si>
  <si>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</si>
  <si>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</si>
  <si>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</si>
  <si>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</si>
  <si>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</si>
  <si>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</si>
  <si>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</si>
  <si>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</si>
  <si>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</si>
  <si>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</si>
  <si>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</si>
  <si>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</si>
  <si>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</si>
  <si>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</si>
  <si>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</si>
  <si>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</si>
  <si>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</si>
  <si>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</si>
  <si>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</si>
  <si>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</si>
  <si>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</si>
  <si>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</si>
  <si>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</si>
  <si>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</si>
  <si>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</si>
  <si>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</si>
  <si>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</si>
  <si>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</si>
  <si>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</si>
  <si>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</si>
  <si>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</si>
  <si>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</si>
  <si>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</si>
  <si>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</si>
  <si>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</si>
  <si>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</si>
  <si>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</si>
  <si>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</si>
  <si>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</si>
  <si>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</si>
  <si>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</si>
  <si>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</si>
  <si>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</si>
  <si>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</si>
  <si>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</si>
  <si>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</si>
  <si>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</si>
  <si>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</si>
  <si>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</si>
  <si>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</si>
  <si>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</si>
  <si>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</si>
  <si>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</si>
  <si>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</si>
  <si>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</si>
  <si>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</si>
  <si>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</si>
  <si>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</si>
  <si>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</si>
  <si>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</si>
  <si>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</si>
  <si>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</si>
  <si>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</si>
  <si>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</si>
  <si>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</si>
  <si>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</si>
  <si>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</si>
  <si>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</si>
  <si>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</si>
  <si>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</si>
  <si>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</si>
  <si>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</si>
  <si>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</si>
  <si>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</si>
  <si>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</si>
  <si>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</si>
  <si>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</si>
  <si>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</si>
  <si>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</si>
  <si>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</si>
  <si>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</si>
  <si>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</si>
  <si>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</si>
  <si>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</si>
  <si>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</si>
  <si>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</si>
  <si>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</si>
  <si>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</si>
  <si>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</si>
  <si>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</si>
  <si>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</si>
  <si>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</si>
  <si>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</si>
  <si>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</si>
  <si>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</si>
  <si>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</si>
  <si>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</si>
  <si>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</si>
  <si>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</si>
  <si>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</si>
  <si>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</si>
  <si>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</si>
  <si>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</si>
  <si>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</si>
  <si>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</si>
  <si>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</si>
  <si>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</si>
  <si>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</si>
  <si>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</si>
  <si>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</si>
  <si>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</si>
  <si>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</si>
  <si>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</si>
  <si>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</si>
  <si>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</si>
  <si>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</si>
  <si>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</si>
  <si>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</si>
  <si>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</si>
  <si>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</si>
  <si>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</si>
  <si>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</si>
  <si>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</si>
  <si>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</si>
  <si>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</si>
  <si>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</si>
  <si>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</si>
  <si>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</si>
  <si>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</si>
  <si>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</si>
  <si>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</si>
  <si>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</si>
  <si>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</si>
  <si>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</si>
  <si>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</si>
  <si>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</si>
  <si>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</si>
  <si>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</si>
  <si>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</si>
  <si>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</si>
  <si>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</si>
  <si>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</si>
  <si>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</si>
  <si>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</si>
  <si>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</si>
  <si>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</si>
  <si>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</si>
  <si>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</si>
  <si>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</si>
  <si>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</si>
  <si>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</si>
  <si>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</si>
  <si>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</si>
  <si>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</si>
  <si>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</si>
  <si>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</si>
  <si>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</si>
  <si>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</si>
  <si>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</si>
  <si>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</si>
  <si>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</si>
  <si>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</si>
  <si>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</si>
  <si>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</si>
  <si>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</si>
  <si>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</si>
  <si>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</si>
  <si>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</si>
  <si>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</si>
  <si>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</si>
  <si>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</si>
  <si>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</si>
  <si>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</si>
  <si>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</si>
  <si>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</si>
  <si>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</si>
  <si>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</si>
  <si>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</si>
  <si>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</si>
  <si>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</si>
  <si>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</si>
  <si>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</si>
  <si>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</si>
  <si>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</si>
  <si>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</si>
  <si>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</si>
  <si>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</si>
  <si>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</si>
  <si>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</si>
  <si>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</si>
  <si>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</si>
  <si>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</si>
  <si>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</si>
  <si>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</si>
  <si>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</si>
  <si>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</si>
  <si>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</si>
  <si>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</si>
  <si>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</si>
  <si>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</si>
  <si>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</si>
  <si>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</si>
  <si>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</si>
  <si>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</si>
  <si>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</si>
  <si>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</si>
  <si>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</si>
  <si>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</si>
  <si>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</si>
  <si>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</si>
  <si>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</si>
  <si>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</si>
  <si>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</si>
  <si>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</si>
  <si>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</si>
  <si>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</si>
  <si>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</si>
  <si>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</si>
  <si>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</si>
  <si>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</si>
  <si>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</si>
  <si>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HD, RCS</t>
    <phoneticPr fontId="2" type="noConversion"/>
  </si>
  <si>
    <t>H/D 속도 조절 (닫힘 작동 시간 초과) / RCS UP-LIMIT 교체</t>
    <phoneticPr fontId="2" type="noConversion"/>
  </si>
  <si>
    <t>박성용</t>
    <phoneticPr fontId="2" type="noConversion"/>
  </si>
  <si>
    <t>무상</t>
    <phoneticPr fontId="2" type="noConversion"/>
  </si>
  <si>
    <t>진진(1), 기타외주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</si>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</sst>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8"/>
  <sheetViews>
    <sheetView showGridLines="0" tabSelected="1" topLeftCell="A228" zoomScaleNormal="100" workbookViewId="0">
      <selection activeCell="I238" sqref="I23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5472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5456</v>
      </c>
      <c r="I216" s="480"/>
      <c r="J216" s="479" t="s">
        <v>5419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5475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5474</v>
      </c>
      <c r="P219" s="647" t="s">
        <v>5340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5456</v>
      </c>
      <c r="I220" s="551"/>
      <c r="J220" s="479" t="s">
        <v>5419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5451</v>
      </c>
      <c r="K222" s="136" t="s">
        <v>105</v>
      </c>
      <c r="L222" s="485" t="s">
        <v>5450</v>
      </c>
      <c r="M222" s="8">
        <v>3</v>
      </c>
      <c r="N222" s="198"/>
      <c r="O222" s="650" t="s">
        <v>5476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5451</v>
      </c>
      <c r="K223" s="136" t="s">
        <v>105</v>
      </c>
      <c r="L223" s="485" t="s">
        <v>4559</v>
      </c>
      <c r="M223" s="641">
        <v>3</v>
      </c>
      <c r="N223" s="31"/>
      <c r="O223" s="650" t="s">
        <v>5474</v>
      </c>
      <c r="P223" s="647" t="s">
        <v>5473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5472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5393</v>
      </c>
      <c r="H225" s="479" t="s">
        <v>216</v>
      </c>
      <c r="I225" s="562" t="s">
        <v>5418</v>
      </c>
      <c r="J225" s="562" t="s">
        <v>5459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5484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5466</v>
      </c>
      <c r="I228" s="551" t="s">
        <v>5465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5485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5497</v>
      </c>
      <c r="K229" s="136" t="s">
        <v>15</v>
      </c>
      <c r="L229" s="485" t="s">
        <v>4383</v>
      </c>
      <c r="M229" s="481">
        <v>3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5458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4" t="s">
        <v>138</v>
      </c>
      <c r="D231" s="4" t="s">
        <v>5460</v>
      </c>
      <c r="E231" s="480" t="s">
        <v>1791</v>
      </c>
      <c r="F231" s="479" t="s">
        <v>5293</v>
      </c>
      <c r="G231" s="485" t="s">
        <v>5461</v>
      </c>
      <c r="H231" s="656" t="s">
        <v>5496</v>
      </c>
      <c r="I231" s="654"/>
      <c r="J231" s="656" t="s">
        <v>1877</v>
      </c>
      <c r="K231" s="125" t="s">
        <v>5462</v>
      </c>
      <c r="L231" s="16" t="s">
        <v>5463</v>
      </c>
      <c r="M231" s="655">
        <v>2</v>
      </c>
      <c r="N231" s="654"/>
      <c r="O231" s="651"/>
      <c r="P231" s="645"/>
    </row>
    <row r="232" spans="1:16" s="17" customFormat="1" ht="33" customHeight="1">
      <c r="A232" s="447"/>
      <c r="B232" s="377">
        <v>46120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633" t="s">
        <v>5415</v>
      </c>
      <c r="I232" s="551" t="s">
        <v>90</v>
      </c>
      <c r="J232" s="551"/>
      <c r="K232" s="555" t="s">
        <v>105</v>
      </c>
      <c r="L232" s="553">
        <v>9080</v>
      </c>
      <c r="M232" s="556">
        <v>1</v>
      </c>
      <c r="N232" s="634"/>
      <c r="O232" s="653" t="s">
        <v>5477</v>
      </c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5482</v>
      </c>
      <c r="F233" s="484" t="s">
        <v>4519</v>
      </c>
      <c r="G233" s="485" t="s">
        <v>35</v>
      </c>
      <c r="H233" s="479" t="s">
        <v>5339</v>
      </c>
      <c r="I233" s="479" t="s">
        <v>5481</v>
      </c>
      <c r="J233" s="479"/>
      <c r="K233" s="136" t="s">
        <v>15</v>
      </c>
      <c r="L233" s="16">
        <v>9080</v>
      </c>
      <c r="M233" s="8">
        <v>3</v>
      </c>
      <c r="N233" s="444"/>
      <c r="O233" s="649" t="s">
        <v>5483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5466</v>
      </c>
      <c r="I234" s="31" t="s">
        <v>5464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651" t="s">
        <v>5486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5469</v>
      </c>
      <c r="G235" s="485" t="s">
        <v>143</v>
      </c>
      <c r="H235" s="479" t="s">
        <v>5455</v>
      </c>
      <c r="I235" s="634" t="s">
        <v>5464</v>
      </c>
      <c r="J235" s="630" t="s">
        <v>641</v>
      </c>
      <c r="K235" s="136" t="s">
        <v>15</v>
      </c>
      <c r="L235" s="485" t="s">
        <v>4559</v>
      </c>
      <c r="M235" s="481">
        <v>3</v>
      </c>
      <c r="N235" s="630"/>
      <c r="O235" s="651"/>
      <c r="P235" s="328"/>
    </row>
    <row r="236" spans="1:16" s="17" customFormat="1" ht="33" customHeight="1">
      <c r="A236" s="447"/>
      <c r="B236" s="412">
        <v>46121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5488</v>
      </c>
      <c r="M236" s="481">
        <v>2</v>
      </c>
      <c r="N236" s="548"/>
      <c r="O236" s="651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5303</v>
      </c>
      <c r="F237" s="480" t="s">
        <v>2333</v>
      </c>
      <c r="G237" s="485" t="s">
        <v>23</v>
      </c>
      <c r="H237" s="479" t="s">
        <v>5510</v>
      </c>
      <c r="I237" s="480"/>
      <c r="J237" s="479" t="s">
        <v>487</v>
      </c>
      <c r="K237" s="136" t="s">
        <v>15</v>
      </c>
      <c r="L237" s="485" t="s">
        <v>5488</v>
      </c>
      <c r="M237" s="481">
        <v>2</v>
      </c>
      <c r="N237" s="654"/>
      <c r="O237" s="651"/>
      <c r="P237" s="328"/>
    </row>
    <row r="238" spans="1:16" s="17" customFormat="1" ht="33" customHeight="1">
      <c r="A238" s="447"/>
      <c r="B238" s="412">
        <v>46122</v>
      </c>
      <c r="C238" s="3" t="s">
        <v>21</v>
      </c>
      <c r="D238" s="3" t="s">
        <v>31</v>
      </c>
      <c r="E238" s="480" t="s">
        <v>5303</v>
      </c>
      <c r="F238" s="480">
        <v>7064</v>
      </c>
      <c r="G238" s="485" t="s">
        <v>83</v>
      </c>
      <c r="H238" s="479" t="s">
        <v>5304</v>
      </c>
      <c r="I238" s="479"/>
      <c r="J238" s="479" t="s">
        <v>487</v>
      </c>
      <c r="K238" s="136" t="s">
        <v>15</v>
      </c>
      <c r="L238" s="485" t="s">
        <v>5488</v>
      </c>
      <c r="M238" s="481">
        <v>2</v>
      </c>
      <c r="N238" s="31" t="s">
        <v>4674</v>
      </c>
      <c r="O238" s="649"/>
      <c r="P238" s="647" t="s">
        <v>5317</v>
      </c>
    </row>
    <row r="239" spans="1:16" s="17" customFormat="1" ht="33" customHeight="1">
      <c r="A239" s="447"/>
      <c r="B239" s="377">
        <v>46122</v>
      </c>
      <c r="C239" s="4" t="s">
        <v>4897</v>
      </c>
      <c r="D239" s="4" t="s">
        <v>4898</v>
      </c>
      <c r="E239" s="480" t="s">
        <v>1791</v>
      </c>
      <c r="F239" s="489" t="s">
        <v>4912</v>
      </c>
      <c r="G239" s="16" t="s">
        <v>4913</v>
      </c>
      <c r="H239" s="490" t="s">
        <v>4914</v>
      </c>
      <c r="I239" s="489"/>
      <c r="J239" s="489" t="s">
        <v>4911</v>
      </c>
      <c r="K239" s="125" t="s">
        <v>4915</v>
      </c>
      <c r="L239" s="16" t="s">
        <v>5289</v>
      </c>
      <c r="M239" s="8">
        <v>2</v>
      </c>
      <c r="N239" s="31"/>
      <c r="O239" s="649"/>
      <c r="P239" s="645" t="s">
        <v>5478</v>
      </c>
    </row>
    <row r="240" spans="1:16" s="17" customFormat="1" ht="33" customHeight="1">
      <c r="A240" s="447"/>
      <c r="B240" s="412">
        <v>46122</v>
      </c>
      <c r="C240" s="3" t="s">
        <v>21</v>
      </c>
      <c r="D240" s="3" t="s">
        <v>14</v>
      </c>
      <c r="E240" s="480" t="s">
        <v>1791</v>
      </c>
      <c r="F240" s="479" t="s">
        <v>5470</v>
      </c>
      <c r="G240" s="485" t="s">
        <v>143</v>
      </c>
      <c r="H240" s="479" t="s">
        <v>5471</v>
      </c>
      <c r="I240" s="634"/>
      <c r="J240" s="634" t="s">
        <v>641</v>
      </c>
      <c r="K240" s="136" t="s">
        <v>15</v>
      </c>
      <c r="L240" s="485" t="s">
        <v>4559</v>
      </c>
      <c r="M240" s="481">
        <v>2</v>
      </c>
      <c r="N240" s="634"/>
      <c r="O240" s="649"/>
      <c r="P240" s="645"/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4" t="s">
        <v>5498</v>
      </c>
      <c r="G241" s="485" t="s">
        <v>23</v>
      </c>
      <c r="H241" s="635" t="s">
        <v>5499</v>
      </c>
      <c r="I241" s="634"/>
      <c r="J241" s="635" t="s">
        <v>120</v>
      </c>
      <c r="K241" s="125" t="s">
        <v>5500</v>
      </c>
      <c r="L241" s="16">
        <v>9080</v>
      </c>
      <c r="M241" s="641">
        <v>1</v>
      </c>
      <c r="N241" s="634"/>
      <c r="O241" s="649" t="s">
        <v>5487</v>
      </c>
      <c r="P241" s="645"/>
    </row>
    <row r="242" spans="1:16" s="17" customFormat="1" ht="33" customHeight="1">
      <c r="A242" s="447"/>
      <c r="B242" s="412">
        <v>46123</v>
      </c>
      <c r="C242" s="3"/>
      <c r="D242" s="3"/>
      <c r="E242" s="480"/>
      <c r="F242" s="480"/>
      <c r="G242" s="485"/>
      <c r="H242" s="479"/>
      <c r="I242" s="479"/>
      <c r="J242" s="479"/>
      <c r="K242" s="555"/>
      <c r="L242" s="481"/>
      <c r="M242" s="8"/>
      <c r="N242" s="198"/>
      <c r="O242" s="461"/>
      <c r="P242" s="645"/>
    </row>
    <row r="243" spans="1:16" s="17" customFormat="1" ht="33" customHeight="1">
      <c r="A243" s="448"/>
      <c r="B243" s="412">
        <v>46123</v>
      </c>
      <c r="C243" s="4"/>
      <c r="D243" s="4"/>
      <c r="E243" s="31"/>
      <c r="F243" s="31"/>
      <c r="G243" s="16"/>
      <c r="H243" s="198"/>
      <c r="I243" s="198"/>
      <c r="J243" s="198"/>
      <c r="K243" s="125"/>
      <c r="L243" s="16"/>
      <c r="M243" s="8"/>
      <c r="N243" s="31"/>
      <c r="O243" s="455"/>
      <c r="P243" s="645"/>
    </row>
    <row r="244" spans="1:16" s="17" customFormat="1" ht="33" customHeight="1">
      <c r="A244" s="449" t="s">
        <v>0</v>
      </c>
      <c r="B244" s="331" t="s">
        <v>1</v>
      </c>
      <c r="C244" s="330" t="s">
        <v>2</v>
      </c>
      <c r="D244" s="330" t="s">
        <v>3</v>
      </c>
      <c r="E244" s="330" t="s">
        <v>4</v>
      </c>
      <c r="F244" s="330" t="s">
        <v>5</v>
      </c>
      <c r="G244" s="330" t="s">
        <v>6</v>
      </c>
      <c r="H244" s="332" t="s">
        <v>7</v>
      </c>
      <c r="I244" s="330" t="s">
        <v>8</v>
      </c>
      <c r="J244" s="330" t="s">
        <v>9</v>
      </c>
      <c r="K244" s="333" t="s">
        <v>10</v>
      </c>
      <c r="L244" s="334" t="s">
        <v>11</v>
      </c>
      <c r="M244" s="330" t="s">
        <v>12</v>
      </c>
      <c r="N244" s="335" t="s">
        <v>13</v>
      </c>
      <c r="O244" s="450" t="s">
        <v>63</v>
      </c>
      <c r="P244" s="450" t="s">
        <v>5472</v>
      </c>
    </row>
    <row r="245" spans="1:16" s="17" customFormat="1" ht="33" customHeight="1">
      <c r="A245" s="446" t="s">
        <v>4501</v>
      </c>
      <c r="B245" s="412">
        <v>46125</v>
      </c>
      <c r="C245" s="4" t="s">
        <v>5394</v>
      </c>
      <c r="D245" s="4" t="s">
        <v>5397</v>
      </c>
      <c r="E245" s="31" t="s">
        <v>5395</v>
      </c>
      <c r="F245" s="198" t="s">
        <v>5396</v>
      </c>
      <c r="G245" s="16" t="s">
        <v>5398</v>
      </c>
      <c r="H245" s="198" t="s">
        <v>5399</v>
      </c>
      <c r="I245" s="31" t="s">
        <v>5406</v>
      </c>
      <c r="J245" s="31" t="s">
        <v>5480</v>
      </c>
      <c r="K245" s="125" t="s">
        <v>5408</v>
      </c>
      <c r="L245" s="16" t="s">
        <v>5410</v>
      </c>
      <c r="M245" s="8">
        <v>2</v>
      </c>
      <c r="N245" s="31"/>
      <c r="O245" s="454"/>
      <c r="P245" s="645"/>
    </row>
    <row r="246" spans="1:16" s="17" customFormat="1" ht="33" customHeight="1">
      <c r="A246" s="447"/>
      <c r="B246" s="377">
        <v>46125</v>
      </c>
      <c r="C246" s="4" t="s">
        <v>21</v>
      </c>
      <c r="D246" s="4" t="s">
        <v>5400</v>
      </c>
      <c r="E246" s="557" t="s">
        <v>5395</v>
      </c>
      <c r="F246" s="31" t="s">
        <v>5401</v>
      </c>
      <c r="G246" s="16" t="s">
        <v>5402</v>
      </c>
      <c r="H246" s="198" t="s">
        <v>5403</v>
      </c>
      <c r="I246" s="31" t="s">
        <v>5404</v>
      </c>
      <c r="J246" s="31" t="s">
        <v>5407</v>
      </c>
      <c r="K246" s="125" t="s">
        <v>5409</v>
      </c>
      <c r="L246" s="16" t="s">
        <v>5410</v>
      </c>
      <c r="M246" s="8">
        <v>2</v>
      </c>
      <c r="N246" s="31"/>
      <c r="O246" s="649" t="s">
        <v>5405</v>
      </c>
      <c r="P246" s="645"/>
    </row>
    <row r="247" spans="1:16" s="17" customFormat="1" ht="33" customHeight="1">
      <c r="A247" s="447"/>
      <c r="B247" s="377">
        <v>46125</v>
      </c>
      <c r="C247" s="4" t="s">
        <v>4897</v>
      </c>
      <c r="D247" s="4" t="s">
        <v>4898</v>
      </c>
      <c r="E247" s="480" t="s">
        <v>1791</v>
      </c>
      <c r="F247" s="654" t="s">
        <v>5502</v>
      </c>
      <c r="G247" s="485" t="s">
        <v>5503</v>
      </c>
      <c r="H247" s="656" t="s">
        <v>5504</v>
      </c>
      <c r="I247" s="654" t="s">
        <v>5505</v>
      </c>
      <c r="J247" s="656" t="s">
        <v>221</v>
      </c>
      <c r="K247" s="125" t="s">
        <v>5506</v>
      </c>
      <c r="L247" s="16" t="s">
        <v>4383</v>
      </c>
      <c r="M247" s="655">
        <v>2</v>
      </c>
      <c r="N247" s="654"/>
      <c r="O247" s="649"/>
      <c r="P247" s="645"/>
    </row>
    <row r="248" spans="1:16" s="17" customFormat="1" ht="33" customHeight="1">
      <c r="A248" s="447"/>
      <c r="B248" s="412">
        <v>46126</v>
      </c>
      <c r="C248" s="550" t="s">
        <v>5411</v>
      </c>
      <c r="D248" s="550" t="s">
        <v>5412</v>
      </c>
      <c r="E248" s="554" t="s">
        <v>5413</v>
      </c>
      <c r="F248" s="551">
        <v>7060</v>
      </c>
      <c r="G248" s="553" t="s">
        <v>5414</v>
      </c>
      <c r="H248" s="563" t="s">
        <v>5416</v>
      </c>
      <c r="I248" s="31" t="s">
        <v>5417</v>
      </c>
      <c r="J248" s="198" t="s">
        <v>5507</v>
      </c>
      <c r="K248" s="125" t="s">
        <v>105</v>
      </c>
      <c r="L248" s="16" t="s">
        <v>5449</v>
      </c>
      <c r="M248" s="8"/>
      <c r="N248" s="444"/>
      <c r="O248" s="453"/>
      <c r="P248" s="645"/>
    </row>
    <row r="249" spans="1:16" s="17" customFormat="1" ht="33" customHeight="1">
      <c r="A249" s="447"/>
      <c r="B249" s="412">
        <v>46126</v>
      </c>
      <c r="C249" s="3" t="s">
        <v>21</v>
      </c>
      <c r="D249" s="3" t="s">
        <v>31</v>
      </c>
      <c r="E249" s="480" t="s">
        <v>5303</v>
      </c>
      <c r="F249" s="480" t="s">
        <v>2333</v>
      </c>
      <c r="G249" s="485" t="s">
        <v>23</v>
      </c>
      <c r="H249" s="479" t="s">
        <v>5509</v>
      </c>
      <c r="I249" s="654" t="s">
        <v>5417</v>
      </c>
      <c r="J249" s="656" t="s">
        <v>5507</v>
      </c>
      <c r="K249" s="125" t="s">
        <v>105</v>
      </c>
      <c r="L249" s="16" t="s">
        <v>5449</v>
      </c>
      <c r="M249" s="8"/>
      <c r="N249" s="444"/>
      <c r="O249" s="453"/>
      <c r="P249" s="645"/>
    </row>
    <row r="250" spans="1:16" s="17" customFormat="1" ht="33" customHeight="1">
      <c r="A250" s="447"/>
      <c r="B250" s="412">
        <v>46127</v>
      </c>
      <c r="C250" s="550" t="s">
        <v>21</v>
      </c>
      <c r="D250" s="550" t="s">
        <v>17</v>
      </c>
      <c r="E250" s="554" t="s">
        <v>78</v>
      </c>
      <c r="F250" s="551">
        <v>7060</v>
      </c>
      <c r="G250" s="553" t="s">
        <v>36</v>
      </c>
      <c r="H250" s="636" t="s">
        <v>5416</v>
      </c>
      <c r="I250" s="634" t="s">
        <v>90</v>
      </c>
      <c r="J250" s="656" t="s">
        <v>5507</v>
      </c>
      <c r="K250" s="125" t="s">
        <v>105</v>
      </c>
      <c r="L250" s="16" t="s">
        <v>4383</v>
      </c>
      <c r="M250" s="8"/>
      <c r="N250" s="31" t="s">
        <v>4674</v>
      </c>
      <c r="O250" s="453"/>
      <c r="P250" s="645"/>
    </row>
    <row r="251" spans="1:16" s="17" customFormat="1" ht="33" customHeight="1">
      <c r="A251" s="447"/>
      <c r="B251" s="412">
        <v>46127</v>
      </c>
      <c r="C251" s="4" t="s">
        <v>5491</v>
      </c>
      <c r="D251" s="4" t="s">
        <v>5492</v>
      </c>
      <c r="E251" s="298" t="s">
        <v>3313</v>
      </c>
      <c r="F251" s="31" t="s">
        <v>5493</v>
      </c>
      <c r="G251" s="16" t="s">
        <v>5494</v>
      </c>
      <c r="H251" s="198" t="s">
        <v>5495</v>
      </c>
      <c r="I251" s="31"/>
      <c r="J251" s="31"/>
      <c r="K251" s="125"/>
      <c r="L251" s="16"/>
      <c r="M251" s="8"/>
      <c r="N251" s="31"/>
      <c r="O251" s="455"/>
      <c r="P251" s="645"/>
    </row>
    <row r="252" spans="1:16" s="17" customFormat="1" ht="33" customHeight="1">
      <c r="A252" s="447"/>
      <c r="B252" s="412">
        <v>46128</v>
      </c>
      <c r="C252" s="3" t="s">
        <v>21</v>
      </c>
      <c r="D252" s="3" t="s">
        <v>30</v>
      </c>
      <c r="E252" s="480" t="s">
        <v>107</v>
      </c>
      <c r="F252" s="480" t="s">
        <v>2570</v>
      </c>
      <c r="G252" s="485" t="s">
        <v>3746</v>
      </c>
      <c r="H252" s="479" t="s">
        <v>4852</v>
      </c>
      <c r="I252" s="480" t="s">
        <v>202</v>
      </c>
      <c r="J252" s="480" t="s">
        <v>4393</v>
      </c>
      <c r="K252" s="136" t="s">
        <v>15</v>
      </c>
      <c r="L252" s="485" t="s">
        <v>5453</v>
      </c>
      <c r="M252" s="8">
        <v>3</v>
      </c>
      <c r="N252" s="444"/>
      <c r="O252" s="453"/>
      <c r="P252" s="645"/>
    </row>
    <row r="253" spans="1:16" s="17" customFormat="1" ht="33" customHeight="1">
      <c r="A253" s="447"/>
      <c r="B253" s="412">
        <v>46128</v>
      </c>
      <c r="C253" s="4" t="s">
        <v>5206</v>
      </c>
      <c r="D253" s="4" t="s">
        <v>5245</v>
      </c>
      <c r="E253" s="298" t="s">
        <v>5246</v>
      </c>
      <c r="F253" s="31" t="s">
        <v>5247</v>
      </c>
      <c r="G253" s="16" t="s">
        <v>5248</v>
      </c>
      <c r="H253" s="198" t="s">
        <v>5249</v>
      </c>
      <c r="I253" s="31" t="s">
        <v>5250</v>
      </c>
      <c r="J253" s="31"/>
      <c r="K253" s="125" t="s">
        <v>5251</v>
      </c>
      <c r="L253" s="16" t="s">
        <v>5252</v>
      </c>
      <c r="M253" s="8">
        <v>1</v>
      </c>
      <c r="N253" s="31"/>
      <c r="O253" s="455"/>
      <c r="P253" s="645"/>
    </row>
    <row r="254" spans="1:16" s="17" customFormat="1" ht="33" customHeight="1">
      <c r="A254" s="447"/>
      <c r="B254" s="377">
        <v>46128</v>
      </c>
      <c r="C254" s="4" t="s">
        <v>4897</v>
      </c>
      <c r="D254" s="4" t="s">
        <v>4898</v>
      </c>
      <c r="E254" s="480" t="s">
        <v>1791</v>
      </c>
      <c r="F254" s="654" t="s">
        <v>5498</v>
      </c>
      <c r="G254" s="485" t="s">
        <v>23</v>
      </c>
      <c r="H254" s="635" t="s">
        <v>5501</v>
      </c>
      <c r="I254" s="480"/>
      <c r="J254" s="479"/>
      <c r="K254" s="136"/>
      <c r="L254" s="485"/>
      <c r="M254" s="481"/>
      <c r="N254" s="634"/>
      <c r="O254" s="651" t="s">
        <v>5490</v>
      </c>
      <c r="P254" s="645"/>
    </row>
    <row r="255" spans="1:16" s="17" customFormat="1" ht="33" customHeight="1">
      <c r="A255" s="447"/>
      <c r="B255" s="377">
        <v>46128</v>
      </c>
      <c r="C255" s="4"/>
      <c r="D255" s="4"/>
      <c r="E255" s="480"/>
      <c r="F255" s="654"/>
      <c r="G255" s="485"/>
      <c r="H255" s="656"/>
      <c r="I255" s="480"/>
      <c r="J255" s="479"/>
      <c r="K255" s="136"/>
      <c r="L255" s="485"/>
      <c r="M255" s="481"/>
      <c r="N255" s="654"/>
      <c r="O255" s="651"/>
      <c r="P255" s="645"/>
    </row>
    <row r="256" spans="1:16" s="17" customFormat="1" ht="33" customHeight="1">
      <c r="A256" s="447"/>
      <c r="B256" s="412">
        <v>46129</v>
      </c>
      <c r="C256" s="3"/>
      <c r="D256" s="3"/>
      <c r="E256" s="480"/>
      <c r="F256" s="480"/>
      <c r="G256" s="485"/>
      <c r="H256" s="479"/>
      <c r="I256" s="479"/>
      <c r="J256" s="479"/>
      <c r="K256" s="555"/>
      <c r="L256" s="644"/>
      <c r="M256" s="8"/>
      <c r="N256" s="31" t="s">
        <v>4674</v>
      </c>
      <c r="O256" s="452"/>
      <c r="P256" s="645" t="s">
        <v>5479</v>
      </c>
    </row>
    <row r="257" spans="1:16" s="17" customFormat="1" ht="33" customHeight="1">
      <c r="A257" s="447"/>
      <c r="B257" s="377">
        <v>46129</v>
      </c>
      <c r="C257" s="3" t="s">
        <v>21</v>
      </c>
      <c r="D257" s="3" t="s">
        <v>30</v>
      </c>
      <c r="E257" s="480" t="s">
        <v>107</v>
      </c>
      <c r="F257" s="480" t="s">
        <v>1972</v>
      </c>
      <c r="G257" s="485" t="s">
        <v>376</v>
      </c>
      <c r="H257" s="479" t="s">
        <v>5452</v>
      </c>
      <c r="I257" s="480"/>
      <c r="J257" s="480" t="s">
        <v>5454</v>
      </c>
      <c r="K257" s="136" t="s">
        <v>15</v>
      </c>
      <c r="L257" s="485" t="s">
        <v>5453</v>
      </c>
      <c r="M257" s="8"/>
      <c r="N257" s="31"/>
      <c r="O257" s="451"/>
      <c r="P257" s="645"/>
    </row>
    <row r="258" spans="1:16" s="17" customFormat="1" ht="33" customHeight="1">
      <c r="A258" s="447"/>
      <c r="B258" s="900"/>
      <c r="C258" s="3"/>
      <c r="D258" s="3"/>
      <c r="E258" s="480"/>
      <c r="F258" s="480"/>
      <c r="G258" s="485"/>
      <c r="H258" s="479"/>
      <c r="I258" s="480"/>
      <c r="J258" s="479"/>
      <c r="K258" s="136"/>
      <c r="L258" s="485"/>
      <c r="M258" s="655"/>
      <c r="N258" s="654"/>
      <c r="O258" s="451"/>
      <c r="P258" s="645"/>
    </row>
    <row r="259" spans="1:16" s="17" customFormat="1" ht="33" customHeight="1">
      <c r="A259" s="447"/>
      <c r="B259" s="412">
        <v>46130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34</v>
      </c>
      <c r="H259" s="479" t="s">
        <v>5324</v>
      </c>
      <c r="I259" s="479" t="s">
        <v>5404</v>
      </c>
      <c r="J259" s="479" t="s">
        <v>5467</v>
      </c>
      <c r="K259" s="555" t="s">
        <v>15</v>
      </c>
      <c r="L259" s="644" t="s">
        <v>5468</v>
      </c>
      <c r="M259" s="8"/>
      <c r="N259" s="198"/>
      <c r="O259" s="461"/>
      <c r="P259" s="645"/>
    </row>
    <row r="260" spans="1:16" s="17" customFormat="1" ht="33" customHeight="1">
      <c r="A260" s="448"/>
      <c r="B260" s="412">
        <v>46130</v>
      </c>
      <c r="C260" s="4"/>
      <c r="D260" s="4"/>
      <c r="E260" s="31"/>
      <c r="F260" s="31"/>
      <c r="G260" s="16"/>
      <c r="H260" s="198"/>
      <c r="I260" s="198"/>
      <c r="J260" s="198"/>
      <c r="K260" s="125"/>
      <c r="L260" s="16"/>
      <c r="M260" s="8"/>
      <c r="N260" s="31"/>
      <c r="O260" s="455"/>
      <c r="P260" s="645"/>
    </row>
    <row r="261" spans="1:16" s="17" customFormat="1" ht="33" customHeight="1">
      <c r="A261" s="449" t="s">
        <v>0</v>
      </c>
      <c r="B261" s="331" t="s">
        <v>1</v>
      </c>
      <c r="C261" s="330" t="s">
        <v>2</v>
      </c>
      <c r="D261" s="330" t="s">
        <v>3</v>
      </c>
      <c r="E261" s="330" t="s">
        <v>4</v>
      </c>
      <c r="F261" s="330" t="s">
        <v>5</v>
      </c>
      <c r="G261" s="330" t="s">
        <v>6</v>
      </c>
      <c r="H261" s="332" t="s">
        <v>7</v>
      </c>
      <c r="I261" s="330" t="s">
        <v>8</v>
      </c>
      <c r="J261" s="330" t="s">
        <v>9</v>
      </c>
      <c r="K261" s="333" t="s">
        <v>10</v>
      </c>
      <c r="L261" s="334" t="s">
        <v>11</v>
      </c>
      <c r="M261" s="330" t="s">
        <v>12</v>
      </c>
      <c r="N261" s="335" t="s">
        <v>13</v>
      </c>
      <c r="O261" s="450" t="s">
        <v>63</v>
      </c>
      <c r="P261" s="450" t="s">
        <v>5472</v>
      </c>
    </row>
    <row r="262" spans="1:16" s="17" customFormat="1" ht="33" customHeight="1">
      <c r="A262" s="446" t="s">
        <v>4502</v>
      </c>
      <c r="B262" s="412">
        <v>46132</v>
      </c>
      <c r="C262" s="3" t="s">
        <v>21</v>
      </c>
      <c r="D262" s="3" t="s">
        <v>99</v>
      </c>
      <c r="E262" s="479" t="s">
        <v>3313</v>
      </c>
      <c r="F262" s="480" t="s">
        <v>2838</v>
      </c>
      <c r="G262" s="485" t="s">
        <v>5420</v>
      </c>
      <c r="H262" s="479" t="s">
        <v>5421</v>
      </c>
      <c r="I262" s="630" t="s">
        <v>90</v>
      </c>
      <c r="J262" s="630"/>
      <c r="K262" s="125" t="s">
        <v>105</v>
      </c>
      <c r="L262" s="16" t="s">
        <v>4383</v>
      </c>
      <c r="M262" s="8">
        <v>1</v>
      </c>
      <c r="N262" s="31" t="s">
        <v>4674</v>
      </c>
      <c r="O262" s="454"/>
      <c r="P262" s="645"/>
    </row>
    <row r="263" spans="1:16" s="17" customFormat="1" ht="33" customHeight="1">
      <c r="A263" s="447"/>
      <c r="B263" s="412">
        <v>46132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4"/>
      <c r="P263" s="645"/>
    </row>
    <row r="264" spans="1:16" s="17" customFormat="1" ht="33" customHeight="1">
      <c r="A264" s="447"/>
      <c r="B264" s="412">
        <v>46133</v>
      </c>
      <c r="C264" s="4" t="s">
        <v>138</v>
      </c>
      <c r="D264" s="4" t="s">
        <v>14</v>
      </c>
      <c r="E264" s="630" t="s">
        <v>1791</v>
      </c>
      <c r="F264" s="630" t="s">
        <v>2139</v>
      </c>
      <c r="G264" s="16" t="s">
        <v>142</v>
      </c>
      <c r="H264" s="479" t="s">
        <v>5286</v>
      </c>
      <c r="I264" s="479" t="s">
        <v>90</v>
      </c>
      <c r="J264" s="479" t="s">
        <v>5287</v>
      </c>
      <c r="K264" s="136" t="s">
        <v>105</v>
      </c>
      <c r="L264" s="485" t="s">
        <v>33</v>
      </c>
      <c r="M264" s="481">
        <v>6</v>
      </c>
      <c r="N264" s="444"/>
      <c r="O264" s="453"/>
      <c r="P264" s="645"/>
    </row>
    <row r="265" spans="1:16" s="17" customFormat="1" ht="33" customHeight="1">
      <c r="A265" s="447"/>
      <c r="B265" s="412">
        <v>46133</v>
      </c>
      <c r="C265" s="4"/>
      <c r="D265" s="4"/>
      <c r="E265" s="31"/>
      <c r="F265" s="31"/>
      <c r="G265" s="16"/>
      <c r="H265" s="198"/>
      <c r="I265" s="31"/>
      <c r="J265" s="198"/>
      <c r="K265" s="125"/>
      <c r="L265" s="16"/>
      <c r="M265" s="8"/>
      <c r="N265" s="444"/>
      <c r="O265" s="453"/>
      <c r="P265" s="645"/>
    </row>
    <row r="266" spans="1:16" s="17" customFormat="1" ht="33" customHeight="1">
      <c r="A266" s="447"/>
      <c r="B266" s="412">
        <v>46134</v>
      </c>
      <c r="C266" s="4" t="s">
        <v>138</v>
      </c>
      <c r="D266" s="4" t="s">
        <v>14</v>
      </c>
      <c r="E266" s="630" t="s">
        <v>1791</v>
      </c>
      <c r="F266" s="630" t="s">
        <v>2139</v>
      </c>
      <c r="G266" s="16" t="s">
        <v>142</v>
      </c>
      <c r="H266" s="479" t="s">
        <v>5286</v>
      </c>
      <c r="I266" s="479" t="s">
        <v>90</v>
      </c>
      <c r="J266" s="479" t="s">
        <v>5287</v>
      </c>
      <c r="K266" s="136" t="s">
        <v>105</v>
      </c>
      <c r="L266" s="485" t="s">
        <v>33</v>
      </c>
      <c r="M266" s="481">
        <v>6</v>
      </c>
      <c r="N266" s="31" t="s">
        <v>4674</v>
      </c>
      <c r="O266" s="453"/>
      <c r="P266" s="645"/>
    </row>
    <row r="267" spans="1:16" s="17" customFormat="1" ht="33" customHeight="1">
      <c r="A267" s="447"/>
      <c r="B267" s="412">
        <v>46134</v>
      </c>
      <c r="C267" s="4"/>
      <c r="D267" s="4"/>
      <c r="E267" s="298"/>
      <c r="F267" s="31"/>
      <c r="G267" s="16"/>
      <c r="H267" s="198"/>
      <c r="I267" s="31"/>
      <c r="J267" s="31"/>
      <c r="K267" s="125"/>
      <c r="L267" s="16"/>
      <c r="M267" s="8"/>
      <c r="N267" s="31"/>
      <c r="O267" s="455"/>
      <c r="P267" s="645"/>
    </row>
    <row r="268" spans="1:16" s="17" customFormat="1" ht="33" customHeight="1">
      <c r="A268" s="447"/>
      <c r="B268" s="412">
        <v>46135</v>
      </c>
      <c r="C268" s="4" t="s">
        <v>138</v>
      </c>
      <c r="D268" s="4" t="s">
        <v>14</v>
      </c>
      <c r="E268" s="630" t="s">
        <v>1791</v>
      </c>
      <c r="F268" s="630" t="s">
        <v>2139</v>
      </c>
      <c r="G268" s="16" t="s">
        <v>142</v>
      </c>
      <c r="H268" s="479" t="s">
        <v>5319</v>
      </c>
      <c r="I268" s="479" t="s">
        <v>90</v>
      </c>
      <c r="J268" s="479" t="s">
        <v>5311</v>
      </c>
      <c r="K268" s="136" t="s">
        <v>105</v>
      </c>
      <c r="L268" s="485" t="s">
        <v>33</v>
      </c>
      <c r="M268" s="481">
        <v>4</v>
      </c>
      <c r="N268" s="444"/>
      <c r="O268" s="453"/>
      <c r="P268" s="645"/>
    </row>
    <row r="269" spans="1:16" s="17" customFormat="1" ht="33" customHeight="1">
      <c r="A269" s="447"/>
      <c r="B269" s="412">
        <v>46135</v>
      </c>
      <c r="C269" s="4"/>
      <c r="D269" s="4"/>
      <c r="E269" s="298"/>
      <c r="F269" s="31"/>
      <c r="G269" s="16"/>
      <c r="H269" s="198"/>
      <c r="I269" s="31"/>
      <c r="J269" s="31"/>
      <c r="K269" s="125"/>
      <c r="L269" s="16"/>
      <c r="M269" s="8"/>
      <c r="N269" s="31"/>
      <c r="O269" s="455"/>
      <c r="P269" s="645"/>
    </row>
    <row r="270" spans="1:16" s="17" customFormat="1" ht="33" customHeight="1">
      <c r="A270" s="447"/>
      <c r="B270" s="412">
        <v>46136</v>
      </c>
      <c r="C270" s="4"/>
      <c r="D270" s="4"/>
      <c r="E270" s="31"/>
      <c r="F270" s="298"/>
      <c r="G270" s="16"/>
      <c r="H270" s="198"/>
      <c r="I270" s="31"/>
      <c r="J270" s="198"/>
      <c r="K270" s="125"/>
      <c r="L270" s="16"/>
      <c r="M270" s="8"/>
      <c r="N270" s="31" t="s">
        <v>4674</v>
      </c>
      <c r="O270" s="452"/>
      <c r="P270" s="645"/>
    </row>
    <row r="271" spans="1:16" s="17" customFormat="1" ht="33" customHeight="1">
      <c r="A271" s="447"/>
      <c r="B271" s="412">
        <v>46136</v>
      </c>
      <c r="C271" s="4"/>
      <c r="D271" s="4"/>
      <c r="E271" s="31"/>
      <c r="F271" s="31"/>
      <c r="G271" s="16"/>
      <c r="H271" s="198"/>
      <c r="I271" s="31"/>
      <c r="J271" s="31"/>
      <c r="K271" s="125"/>
      <c r="L271" s="16"/>
      <c r="M271" s="8"/>
      <c r="N271" s="31"/>
      <c r="O271" s="451"/>
      <c r="P271" s="645"/>
    </row>
    <row r="272" spans="1:16" s="17" customFormat="1" ht="33" customHeight="1">
      <c r="A272" s="447"/>
      <c r="B272" s="412">
        <v>46137</v>
      </c>
      <c r="C272" s="4"/>
      <c r="D272" s="4"/>
      <c r="E272" s="31"/>
      <c r="F272" s="31"/>
      <c r="G272" s="16"/>
      <c r="H272" s="198"/>
      <c r="I272" s="198"/>
      <c r="J272" s="198"/>
      <c r="K272" s="125"/>
      <c r="L272" s="16"/>
      <c r="M272" s="8"/>
      <c r="N272" s="198"/>
      <c r="O272" s="461"/>
      <c r="P272" s="645"/>
    </row>
    <row r="273" spans="1:16" s="17" customFormat="1" ht="33" customHeight="1">
      <c r="A273" s="448"/>
      <c r="B273" s="412">
        <v>46137</v>
      </c>
      <c r="C273" s="4"/>
      <c r="D273" s="4"/>
      <c r="E273" s="31"/>
      <c r="F273" s="31"/>
      <c r="G273" s="16"/>
      <c r="H273" s="198"/>
      <c r="I273" s="198"/>
      <c r="J273" s="198"/>
      <c r="K273" s="125"/>
      <c r="L273" s="16"/>
      <c r="M273" s="8"/>
      <c r="N273" s="31"/>
      <c r="O273" s="455"/>
      <c r="P273" s="645"/>
    </row>
    <row r="274" spans="1:16" s="17" customFormat="1" ht="33" customHeight="1">
      <c r="A274" s="449" t="s">
        <v>0</v>
      </c>
      <c r="B274" s="331" t="s">
        <v>1</v>
      </c>
      <c r="C274" s="330" t="s">
        <v>2</v>
      </c>
      <c r="D274" s="330" t="s">
        <v>3</v>
      </c>
      <c r="E274" s="330" t="s">
        <v>4</v>
      </c>
      <c r="F274" s="330" t="s">
        <v>5</v>
      </c>
      <c r="G274" s="330" t="s">
        <v>6</v>
      </c>
      <c r="H274" s="332" t="s">
        <v>7</v>
      </c>
      <c r="I274" s="330" t="s">
        <v>8</v>
      </c>
      <c r="J274" s="330" t="s">
        <v>9</v>
      </c>
      <c r="K274" s="333" t="s">
        <v>10</v>
      </c>
      <c r="L274" s="334" t="s">
        <v>11</v>
      </c>
      <c r="M274" s="330" t="s">
        <v>12</v>
      </c>
      <c r="N274" s="335" t="s">
        <v>13</v>
      </c>
      <c r="O274" s="450" t="s">
        <v>63</v>
      </c>
      <c r="P274" s="450" t="s">
        <v>5472</v>
      </c>
    </row>
    <row r="275" spans="1:16" s="17" customFormat="1" ht="33" customHeight="1">
      <c r="A275" s="446" t="s">
        <v>4503</v>
      </c>
      <c r="B275" s="412">
        <v>46139</v>
      </c>
      <c r="C275" s="4" t="s">
        <v>5394</v>
      </c>
      <c r="D275" s="4" t="s">
        <v>5397</v>
      </c>
      <c r="E275" s="654" t="s">
        <v>5395</v>
      </c>
      <c r="F275" s="656" t="s">
        <v>5396</v>
      </c>
      <c r="G275" s="16" t="s">
        <v>5398</v>
      </c>
      <c r="H275" s="656" t="s">
        <v>5508</v>
      </c>
      <c r="I275" s="654" t="s">
        <v>5404</v>
      </c>
      <c r="J275" s="654" t="s">
        <v>5480</v>
      </c>
      <c r="K275" s="125" t="s">
        <v>5408</v>
      </c>
      <c r="L275" s="16" t="s">
        <v>5410</v>
      </c>
      <c r="M275" s="655">
        <v>2</v>
      </c>
      <c r="N275" s="31" t="s">
        <v>4674</v>
      </c>
      <c r="O275" s="454"/>
      <c r="P275" s="645"/>
    </row>
    <row r="276" spans="1:16" s="17" customFormat="1" ht="33" customHeight="1">
      <c r="A276" s="447"/>
      <c r="B276" s="412">
        <v>46139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4"/>
      <c r="P276" s="645"/>
    </row>
    <row r="277" spans="1:16" s="17" customFormat="1" ht="33" customHeight="1">
      <c r="A277" s="447"/>
      <c r="B277" s="412">
        <v>46140</v>
      </c>
      <c r="C277" s="3" t="s">
        <v>21</v>
      </c>
      <c r="D277" s="3" t="s">
        <v>14</v>
      </c>
      <c r="E277" s="480" t="s">
        <v>107</v>
      </c>
      <c r="F277" s="480" t="s">
        <v>3390</v>
      </c>
      <c r="G277" s="16" t="s">
        <v>23</v>
      </c>
      <c r="H277" s="656" t="s">
        <v>5489</v>
      </c>
      <c r="I277" s="480" t="s">
        <v>90</v>
      </c>
      <c r="J277" s="479" t="s">
        <v>777</v>
      </c>
      <c r="K277" s="136" t="s">
        <v>15</v>
      </c>
      <c r="L277" s="485" t="s">
        <v>4383</v>
      </c>
      <c r="M277" s="8"/>
      <c r="N277" s="444"/>
      <c r="O277" s="453"/>
      <c r="P277" s="645"/>
    </row>
    <row r="278" spans="1:16" s="17" customFormat="1" ht="33" customHeight="1">
      <c r="A278" s="447"/>
      <c r="B278" s="412">
        <v>46140</v>
      </c>
      <c r="C278" s="4"/>
      <c r="D278" s="4"/>
      <c r="E278" s="31"/>
      <c r="F278" s="31"/>
      <c r="G278" s="16"/>
      <c r="H278" s="198"/>
      <c r="I278" s="31"/>
      <c r="J278" s="198"/>
      <c r="K278" s="125"/>
      <c r="L278" s="16"/>
      <c r="M278" s="8"/>
      <c r="N278" s="444"/>
      <c r="O278" s="453"/>
      <c r="P278" s="645"/>
    </row>
    <row r="279" spans="1:16" s="17" customFormat="1" ht="33" customHeight="1">
      <c r="A279" s="447"/>
      <c r="B279" s="412">
        <v>46141</v>
      </c>
      <c r="C279" s="4"/>
      <c r="D279" s="4"/>
      <c r="E279" s="31"/>
      <c r="F279" s="31"/>
      <c r="G279" s="16"/>
      <c r="H279" s="198"/>
      <c r="I279" s="31"/>
      <c r="J279" s="198"/>
      <c r="K279" s="125"/>
      <c r="L279" s="16"/>
      <c r="M279" s="8"/>
      <c r="N279" s="31" t="s">
        <v>4674</v>
      </c>
      <c r="O279" s="453"/>
      <c r="P279" s="645"/>
    </row>
    <row r="280" spans="1:16" s="17" customFormat="1" ht="33" customHeight="1">
      <c r="A280" s="447"/>
      <c r="B280" s="412">
        <v>46141</v>
      </c>
      <c r="C280" s="4"/>
      <c r="D280" s="4"/>
      <c r="E280" s="298"/>
      <c r="F280" s="31"/>
      <c r="G280" s="16"/>
      <c r="H280" s="198"/>
      <c r="I280" s="31"/>
      <c r="J280" s="31"/>
      <c r="K280" s="125"/>
      <c r="L280" s="16"/>
      <c r="M280" s="8"/>
      <c r="N280" s="31"/>
      <c r="O280" s="455"/>
      <c r="P280" s="645"/>
    </row>
    <row r="281" spans="1:16" s="17" customFormat="1" ht="33" customHeight="1">
      <c r="A281" s="447"/>
      <c r="B281" s="412">
        <v>46142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444"/>
      <c r="O281" s="453"/>
      <c r="P281" s="645"/>
    </row>
    <row r="282" spans="1:16" s="17" customFormat="1" ht="33" customHeight="1">
      <c r="A282" s="447"/>
      <c r="B282" s="412">
        <v>46142</v>
      </c>
      <c r="C282" s="4"/>
      <c r="D282" s="4"/>
      <c r="E282" s="298"/>
      <c r="F282" s="31"/>
      <c r="G282" s="16"/>
      <c r="H282" s="198"/>
      <c r="I282" s="31"/>
      <c r="J282" s="31"/>
      <c r="K282" s="125"/>
      <c r="L282" s="16"/>
      <c r="M282" s="8"/>
      <c r="N282" s="31"/>
      <c r="O282" s="455"/>
      <c r="P282" s="645"/>
    </row>
    <row r="283" spans="1:16" s="17" customFormat="1" ht="33" customHeight="1">
      <c r="A283" s="447"/>
      <c r="B283" s="412">
        <v>46143</v>
      </c>
      <c r="C283" s="4"/>
      <c r="D283" s="4"/>
      <c r="E283" s="31"/>
      <c r="F283" s="298"/>
      <c r="G283" s="16"/>
      <c r="H283" s="198"/>
      <c r="I283" s="31"/>
      <c r="J283" s="198"/>
      <c r="K283" s="125"/>
      <c r="L283" s="16"/>
      <c r="M283" s="8"/>
      <c r="N283" s="31" t="s">
        <v>4674</v>
      </c>
      <c r="O283" s="452"/>
      <c r="P283" s="645"/>
    </row>
    <row r="284" spans="1:16" s="17" customFormat="1" ht="33" customHeight="1">
      <c r="A284" s="447"/>
      <c r="B284" s="412">
        <v>46143</v>
      </c>
      <c r="C284" s="4"/>
      <c r="D284" s="4"/>
      <c r="E284" s="31"/>
      <c r="F284" s="31"/>
      <c r="G284" s="16"/>
      <c r="H284" s="422" t="s">
        <v>5298</v>
      </c>
      <c r="I284" s="31"/>
      <c r="J284" s="31"/>
      <c r="K284" s="125"/>
      <c r="L284" s="16"/>
      <c r="M284" s="8"/>
      <c r="N284" s="31"/>
      <c r="O284" s="451"/>
      <c r="P284" s="645"/>
    </row>
    <row r="285" spans="1:16" s="17" customFormat="1" ht="33" customHeight="1">
      <c r="A285" s="447"/>
      <c r="B285" s="412">
        <v>46144</v>
      </c>
      <c r="C285" s="4"/>
      <c r="D285" s="4"/>
      <c r="E285" s="31"/>
      <c r="F285" s="31"/>
      <c r="G285" s="16"/>
      <c r="H285" s="198"/>
      <c r="I285" s="198"/>
      <c r="J285" s="198"/>
      <c r="K285" s="125"/>
      <c r="L285" s="16"/>
      <c r="M285" s="8"/>
      <c r="N285" s="198"/>
      <c r="O285" s="461"/>
      <c r="P285" s="645"/>
    </row>
    <row r="286" spans="1:16" s="17" customFormat="1" ht="33" customHeight="1">
      <c r="A286" s="448"/>
      <c r="B286" s="412">
        <v>46144</v>
      </c>
      <c r="C286" s="4"/>
      <c r="D286" s="4"/>
      <c r="E286" s="31"/>
      <c r="F286" s="31"/>
      <c r="G286" s="16"/>
      <c r="H286" s="198"/>
      <c r="I286" s="198"/>
      <c r="J286" s="198"/>
      <c r="K286" s="125"/>
      <c r="L286" s="16"/>
      <c r="M286" s="8"/>
      <c r="N286" s="31"/>
      <c r="O286" s="455"/>
      <c r="P286" s="645"/>
    </row>
    <row r="287" spans="1:16" s="17" customFormat="1" ht="33" customHeight="1">
      <c r="A287" s="449" t="s">
        <v>0</v>
      </c>
      <c r="B287" s="331" t="s">
        <v>1</v>
      </c>
      <c r="C287" s="330" t="s">
        <v>2</v>
      </c>
      <c r="D287" s="330" t="s">
        <v>3</v>
      </c>
      <c r="E287" s="330" t="s">
        <v>4</v>
      </c>
      <c r="F287" s="330" t="s">
        <v>5</v>
      </c>
      <c r="G287" s="330" t="s">
        <v>6</v>
      </c>
      <c r="H287" s="332" t="s">
        <v>7</v>
      </c>
      <c r="I287" s="330" t="s">
        <v>8</v>
      </c>
      <c r="J287" s="330" t="s">
        <v>9</v>
      </c>
      <c r="K287" s="333" t="s">
        <v>10</v>
      </c>
      <c r="L287" s="334" t="s">
        <v>11</v>
      </c>
      <c r="M287" s="330" t="s">
        <v>12</v>
      </c>
      <c r="N287" s="335" t="s">
        <v>13</v>
      </c>
      <c r="O287" s="450" t="s">
        <v>63</v>
      </c>
      <c r="P287" s="450" t="s">
        <v>5472</v>
      </c>
    </row>
    <row r="288" spans="1:16" s="17" customFormat="1" ht="33" customHeight="1">
      <c r="A288" s="446" t="s">
        <v>4504</v>
      </c>
      <c r="B288" s="412">
        <v>46146</v>
      </c>
      <c r="C288" s="4"/>
      <c r="D288" s="4"/>
      <c r="E288" s="31"/>
      <c r="F288" s="198"/>
      <c r="G288" s="16"/>
      <c r="H288" s="198"/>
      <c r="I288" s="31"/>
      <c r="J288" s="31"/>
      <c r="K288" s="125"/>
      <c r="L288" s="16"/>
      <c r="M288" s="8"/>
      <c r="N288" s="31" t="s">
        <v>4674</v>
      </c>
      <c r="O288" s="454"/>
      <c r="P288" s="645"/>
    </row>
    <row r="289" spans="1:16" s="17" customFormat="1" ht="33" customHeight="1">
      <c r="A289" s="447"/>
      <c r="B289" s="412">
        <v>46146</v>
      </c>
      <c r="C289" s="4"/>
      <c r="D289" s="4"/>
      <c r="E289" s="298"/>
      <c r="F289" s="31"/>
      <c r="G289" s="16"/>
      <c r="H289" s="198"/>
      <c r="I289" s="31"/>
      <c r="J289" s="31"/>
      <c r="K289" s="125"/>
      <c r="L289" s="16"/>
      <c r="M289" s="8"/>
      <c r="N289" s="31"/>
      <c r="O289" s="454"/>
      <c r="P289" s="645"/>
    </row>
    <row r="290" spans="1:16" s="17" customFormat="1" ht="33" customHeight="1">
      <c r="A290" s="447"/>
      <c r="B290" s="412">
        <v>46147</v>
      </c>
      <c r="C290" s="4"/>
      <c r="D290" s="4"/>
      <c r="E290" s="31"/>
      <c r="F290" s="31"/>
      <c r="G290" s="16"/>
      <c r="H290" s="422" t="s">
        <v>4762</v>
      </c>
      <c r="I290" s="31"/>
      <c r="J290" s="198"/>
      <c r="K290" s="125"/>
      <c r="L290" s="16"/>
      <c r="M290" s="8"/>
      <c r="N290" s="444"/>
      <c r="O290" s="453"/>
      <c r="P290" s="645"/>
    </row>
    <row r="291" spans="1:16" s="17" customFormat="1" ht="33" customHeight="1">
      <c r="A291" s="447"/>
      <c r="B291" s="412">
        <v>46147</v>
      </c>
      <c r="C291" s="4"/>
      <c r="D291" s="4"/>
      <c r="E291" s="31"/>
      <c r="F291" s="31"/>
      <c r="G291" s="16"/>
      <c r="H291" s="198"/>
      <c r="I291" s="31"/>
      <c r="J291" s="198"/>
      <c r="K291" s="125"/>
      <c r="L291" s="16"/>
      <c r="M291" s="8"/>
      <c r="N291" s="444"/>
      <c r="O291" s="453"/>
      <c r="P291" s="645"/>
    </row>
    <row r="292" spans="1:16" s="17" customFormat="1" ht="33" customHeight="1">
      <c r="A292" s="447"/>
      <c r="B292" s="412">
        <v>46148</v>
      </c>
      <c r="C292" s="4" t="s">
        <v>113</v>
      </c>
      <c r="D292" s="4" t="s">
        <v>5267</v>
      </c>
      <c r="E292" s="522" t="s">
        <v>5277</v>
      </c>
      <c r="F292" s="522" t="s">
        <v>5278</v>
      </c>
      <c r="G292" s="16" t="s">
        <v>5279</v>
      </c>
      <c r="H292" s="523" t="s">
        <v>5271</v>
      </c>
      <c r="I292" s="522"/>
      <c r="J292" s="198"/>
      <c r="K292" s="125"/>
      <c r="L292" s="16"/>
      <c r="M292" s="8"/>
      <c r="N292" s="31" t="s">
        <v>4674</v>
      </c>
      <c r="O292" s="453"/>
      <c r="P292" s="645"/>
    </row>
    <row r="293" spans="1:16" s="17" customFormat="1" ht="33" customHeight="1">
      <c r="A293" s="447"/>
      <c r="B293" s="412">
        <v>46148</v>
      </c>
      <c r="C293" s="4"/>
      <c r="D293" s="4"/>
      <c r="E293" s="298"/>
      <c r="F293" s="31"/>
      <c r="G293" s="16"/>
      <c r="H293" s="198"/>
      <c r="I293" s="31"/>
      <c r="J293" s="31"/>
      <c r="K293" s="125"/>
      <c r="L293" s="16"/>
      <c r="M293" s="8"/>
      <c r="N293" s="31"/>
      <c r="O293" s="455"/>
      <c r="P293" s="645"/>
    </row>
    <row r="294" spans="1:16" s="17" customFormat="1" ht="33" customHeight="1">
      <c r="A294" s="447"/>
      <c r="B294" s="412">
        <v>46149</v>
      </c>
      <c r="C294" s="4" t="s">
        <v>113</v>
      </c>
      <c r="D294" s="4" t="s">
        <v>5267</v>
      </c>
      <c r="E294" s="522" t="s">
        <v>5277</v>
      </c>
      <c r="F294" s="522" t="s">
        <v>5278</v>
      </c>
      <c r="G294" s="16" t="s">
        <v>5270</v>
      </c>
      <c r="H294" s="523" t="s">
        <v>5271</v>
      </c>
      <c r="I294" s="31"/>
      <c r="J294" s="198"/>
      <c r="K294" s="125"/>
      <c r="L294" s="16"/>
      <c r="M294" s="8"/>
      <c r="N294" s="444"/>
      <c r="O294" s="453"/>
      <c r="P294" s="645"/>
    </row>
    <row r="295" spans="1:16" s="17" customFormat="1" ht="33" customHeight="1">
      <c r="A295" s="447"/>
      <c r="B295" s="412">
        <v>46149</v>
      </c>
      <c r="C295" s="4" t="s">
        <v>113</v>
      </c>
      <c r="D295" s="4" t="s">
        <v>5267</v>
      </c>
      <c r="E295" s="522" t="s">
        <v>5277</v>
      </c>
      <c r="F295" s="522" t="s">
        <v>5278</v>
      </c>
      <c r="G295" s="16" t="s">
        <v>5280</v>
      </c>
      <c r="H295" s="523" t="s">
        <v>5271</v>
      </c>
      <c r="I295" s="31"/>
      <c r="J295" s="31"/>
      <c r="K295" s="125"/>
      <c r="L295" s="16"/>
      <c r="M295" s="8"/>
      <c r="N295" s="31"/>
      <c r="O295" s="455"/>
      <c r="P295" s="645"/>
    </row>
    <row r="296" spans="1:16" s="17" customFormat="1" ht="33" customHeight="1">
      <c r="A296" s="447"/>
      <c r="B296" s="412">
        <v>46150</v>
      </c>
      <c r="C296" s="4" t="s">
        <v>113</v>
      </c>
      <c r="D296" s="4" t="s">
        <v>5267</v>
      </c>
      <c r="E296" s="522" t="s">
        <v>5277</v>
      </c>
      <c r="F296" s="522" t="s">
        <v>5278</v>
      </c>
      <c r="G296" s="16" t="s">
        <v>5281</v>
      </c>
      <c r="H296" s="523" t="s">
        <v>5271</v>
      </c>
      <c r="I296" s="31"/>
      <c r="J296" s="198"/>
      <c r="K296" s="125"/>
      <c r="L296" s="16"/>
      <c r="M296" s="8"/>
      <c r="N296" s="31" t="s">
        <v>4674</v>
      </c>
      <c r="O296" s="452"/>
      <c r="P296" s="645"/>
    </row>
    <row r="297" spans="1:16" s="17" customFormat="1" ht="33" customHeight="1">
      <c r="A297" s="447"/>
      <c r="B297" s="412">
        <v>46150</v>
      </c>
      <c r="C297" s="4"/>
      <c r="D297" s="4"/>
      <c r="E297" s="31"/>
      <c r="F297" s="31"/>
      <c r="G297" s="16"/>
      <c r="H297" s="198"/>
      <c r="I297" s="31"/>
      <c r="J297" s="31"/>
      <c r="K297" s="125"/>
      <c r="L297" s="16"/>
      <c r="M297" s="8"/>
      <c r="N297" s="31"/>
      <c r="O297" s="451"/>
      <c r="P297" s="645"/>
    </row>
    <row r="298" spans="1:16" s="17" customFormat="1" ht="33" customHeight="1">
      <c r="A298" s="447"/>
      <c r="B298" s="412">
        <v>46151</v>
      </c>
      <c r="C298" s="4"/>
      <c r="D298" s="4"/>
      <c r="E298" s="31"/>
      <c r="F298" s="31"/>
      <c r="G298" s="16"/>
      <c r="H298" s="198"/>
      <c r="I298" s="198"/>
      <c r="J298" s="198"/>
      <c r="K298" s="125"/>
      <c r="L298" s="16"/>
      <c r="M298" s="8"/>
      <c r="N298" s="198"/>
      <c r="O298" s="461"/>
      <c r="P298" s="645"/>
    </row>
    <row r="299" spans="1:16" s="17" customFormat="1" ht="33" customHeight="1">
      <c r="A299" s="448"/>
      <c r="B299" s="412">
        <v>46151</v>
      </c>
      <c r="C299" s="4"/>
      <c r="D299" s="4"/>
      <c r="E299" s="31"/>
      <c r="F299" s="31"/>
      <c r="G299" s="16"/>
      <c r="H299" s="198"/>
      <c r="I299" s="198"/>
      <c r="J299" s="198"/>
      <c r="K299" s="125"/>
      <c r="L299" s="16"/>
      <c r="M299" s="8"/>
      <c r="N299" s="31"/>
      <c r="O299" s="455"/>
      <c r="P299" s="645"/>
    </row>
    <row r="300" spans="1:16" s="17" customFormat="1" ht="33" customHeight="1">
      <c r="A300" s="449" t="s">
        <v>0</v>
      </c>
      <c r="B300" s="331" t="s">
        <v>1</v>
      </c>
      <c r="C300" s="330" t="s">
        <v>2</v>
      </c>
      <c r="D300" s="330" t="s">
        <v>3</v>
      </c>
      <c r="E300" s="330" t="s">
        <v>4</v>
      </c>
      <c r="F300" s="330" t="s">
        <v>5</v>
      </c>
      <c r="G300" s="330" t="s">
        <v>6</v>
      </c>
      <c r="H300" s="332" t="s">
        <v>7</v>
      </c>
      <c r="I300" s="330" t="s">
        <v>8</v>
      </c>
      <c r="J300" s="330" t="s">
        <v>9</v>
      </c>
      <c r="K300" s="333" t="s">
        <v>10</v>
      </c>
      <c r="L300" s="334" t="s">
        <v>11</v>
      </c>
      <c r="M300" s="330" t="s">
        <v>12</v>
      </c>
      <c r="N300" s="335" t="s">
        <v>13</v>
      </c>
      <c r="O300" s="450" t="s">
        <v>63</v>
      </c>
      <c r="P300" s="450" t="s">
        <v>5472</v>
      </c>
    </row>
    <row r="301" spans="1:16" s="17" customFormat="1" ht="33" customHeight="1">
      <c r="A301" s="446" t="s">
        <v>4505</v>
      </c>
      <c r="B301" s="412">
        <v>46153</v>
      </c>
      <c r="C301" s="4"/>
      <c r="D301" s="4"/>
      <c r="E301" s="31"/>
      <c r="F301" s="198"/>
      <c r="G301" s="16"/>
      <c r="H301" s="198"/>
      <c r="I301" s="31"/>
      <c r="J301" s="31"/>
      <c r="K301" s="125"/>
      <c r="L301" s="16"/>
      <c r="M301" s="8"/>
      <c r="N301" s="31" t="s">
        <v>4674</v>
      </c>
      <c r="O301" s="454"/>
      <c r="P301" s="645"/>
    </row>
    <row r="302" spans="1:16" s="17" customFormat="1" ht="33" customHeight="1">
      <c r="A302" s="447"/>
      <c r="B302" s="412">
        <v>46153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4"/>
      <c r="P302" s="645"/>
    </row>
    <row r="303" spans="1:16" s="17" customFormat="1" ht="33" customHeight="1">
      <c r="A303" s="447"/>
      <c r="B303" s="412">
        <v>46154</v>
      </c>
      <c r="C303" s="4"/>
      <c r="D303" s="4"/>
      <c r="E303" s="31"/>
      <c r="F303" s="31"/>
      <c r="G303" s="16"/>
      <c r="H303" s="198"/>
      <c r="I303" s="31"/>
      <c r="J303" s="198"/>
      <c r="K303" s="125"/>
      <c r="L303" s="16"/>
      <c r="M303" s="8"/>
      <c r="N303" s="444"/>
      <c r="O303" s="453"/>
      <c r="P303" s="645"/>
    </row>
    <row r="304" spans="1:16" s="17" customFormat="1" ht="33" customHeight="1">
      <c r="A304" s="447"/>
      <c r="B304" s="412">
        <v>46154</v>
      </c>
      <c r="C304" s="4"/>
      <c r="D304" s="4"/>
      <c r="E304" s="31"/>
      <c r="F304" s="31"/>
      <c r="G304" s="16"/>
      <c r="H304" s="198"/>
      <c r="I304" s="31"/>
      <c r="J304" s="198"/>
      <c r="K304" s="125"/>
      <c r="L304" s="16"/>
      <c r="M304" s="8"/>
      <c r="N304" s="444"/>
      <c r="O304" s="453"/>
      <c r="P304" s="645"/>
    </row>
    <row r="305" spans="1:16" s="17" customFormat="1" ht="33" customHeight="1">
      <c r="A305" s="447"/>
      <c r="B305" s="412">
        <v>46155</v>
      </c>
      <c r="C305" s="4"/>
      <c r="D305" s="4"/>
      <c r="E305" s="31"/>
      <c r="F305" s="31"/>
      <c r="G305" s="16"/>
      <c r="H305" s="198"/>
      <c r="I305" s="31"/>
      <c r="J305" s="198"/>
      <c r="K305" s="125"/>
      <c r="L305" s="16"/>
      <c r="M305" s="8"/>
      <c r="N305" s="31" t="s">
        <v>4674</v>
      </c>
      <c r="O305" s="453"/>
      <c r="P305" s="645"/>
    </row>
    <row r="306" spans="1:16" s="17" customFormat="1" ht="33" customHeight="1">
      <c r="A306" s="447"/>
      <c r="B306" s="412">
        <v>46155</v>
      </c>
      <c r="C306" s="4"/>
      <c r="D306" s="4"/>
      <c r="E306" s="298"/>
      <c r="F306" s="31"/>
      <c r="G306" s="16"/>
      <c r="H306" s="198"/>
      <c r="I306" s="31"/>
      <c r="J306" s="31"/>
      <c r="K306" s="125"/>
      <c r="L306" s="16"/>
      <c r="M306" s="8"/>
      <c r="N306" s="31"/>
      <c r="O306" s="455"/>
      <c r="P306" s="645"/>
    </row>
    <row r="307" spans="1:16" s="17" customFormat="1" ht="33" customHeight="1">
      <c r="A307" s="447"/>
      <c r="B307" s="412">
        <v>46156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444"/>
      <c r="O307" s="453"/>
      <c r="P307" s="645"/>
    </row>
    <row r="308" spans="1:16" s="17" customFormat="1" ht="33" customHeight="1">
      <c r="A308" s="447"/>
      <c r="B308" s="412">
        <v>46156</v>
      </c>
      <c r="C308" s="4"/>
      <c r="D308" s="4"/>
      <c r="E308" s="298"/>
      <c r="F308" s="31"/>
      <c r="G308" s="16"/>
      <c r="H308" s="198"/>
      <c r="I308" s="31"/>
      <c r="J308" s="31"/>
      <c r="K308" s="125"/>
      <c r="L308" s="16"/>
      <c r="M308" s="8"/>
      <c r="N308" s="31"/>
      <c r="O308" s="455"/>
      <c r="P308" s="645"/>
    </row>
    <row r="309" spans="1:16" s="17" customFormat="1" ht="33" customHeight="1">
      <c r="A309" s="447"/>
      <c r="B309" s="412">
        <v>46157</v>
      </c>
      <c r="C309" s="188" t="s">
        <v>4510</v>
      </c>
      <c r="D309" s="188" t="s">
        <v>4511</v>
      </c>
      <c r="E309" s="245" t="s">
        <v>4520</v>
      </c>
      <c r="F309" s="440" t="s">
        <v>4521</v>
      </c>
      <c r="G309" s="398" t="s">
        <v>4512</v>
      </c>
      <c r="H309" s="245" t="s">
        <v>4515</v>
      </c>
      <c r="I309" s="245" t="s">
        <v>4908</v>
      </c>
      <c r="J309" s="245"/>
      <c r="K309" s="246" t="s">
        <v>4513</v>
      </c>
      <c r="L309" s="398"/>
      <c r="M309" s="417"/>
      <c r="N309" s="31" t="s">
        <v>4674</v>
      </c>
      <c r="O309" s="465" t="s">
        <v>4514</v>
      </c>
      <c r="P309" s="645"/>
    </row>
    <row r="310" spans="1:16" s="17" customFormat="1" ht="33" customHeight="1">
      <c r="A310" s="447"/>
      <c r="B310" s="412">
        <v>46157</v>
      </c>
      <c r="C310" s="4"/>
      <c r="D310" s="4"/>
      <c r="E310" s="31"/>
      <c r="F310" s="31"/>
      <c r="G310" s="16"/>
      <c r="H310" s="198"/>
      <c r="I310" s="31"/>
      <c r="J310" s="31"/>
      <c r="K310" s="125"/>
      <c r="L310" s="16"/>
      <c r="M310" s="8"/>
      <c r="N310" s="31"/>
      <c r="O310" s="451"/>
      <c r="P310" s="645"/>
    </row>
    <row r="311" spans="1:16" s="17" customFormat="1" ht="33" customHeight="1">
      <c r="A311" s="447"/>
      <c r="B311" s="412">
        <v>46158</v>
      </c>
      <c r="C311" s="4"/>
      <c r="D311" s="4"/>
      <c r="E311" s="31"/>
      <c r="F311" s="31"/>
      <c r="G311" s="16"/>
      <c r="H311" s="198"/>
      <c r="I311" s="198"/>
      <c r="J311" s="198"/>
      <c r="K311" s="125"/>
      <c r="L311" s="16"/>
      <c r="M311" s="8"/>
      <c r="N311" s="198"/>
      <c r="O311" s="461"/>
      <c r="P311" s="645"/>
    </row>
    <row r="312" spans="1:16" s="17" customFormat="1" ht="33" customHeight="1">
      <c r="A312" s="448"/>
      <c r="B312" s="412">
        <v>46158</v>
      </c>
      <c r="C312" s="4"/>
      <c r="D312" s="4"/>
      <c r="E312" s="31"/>
      <c r="F312" s="31"/>
      <c r="G312" s="16"/>
      <c r="H312" s="198"/>
      <c r="I312" s="198"/>
      <c r="J312" s="198"/>
      <c r="K312" s="125"/>
      <c r="L312" s="16"/>
      <c r="M312" s="8"/>
      <c r="N312" s="31"/>
      <c r="O312" s="455"/>
      <c r="P312" s="645"/>
    </row>
    <row r="313" spans="1:16" s="17" customFormat="1" ht="33" customHeight="1">
      <c r="A313" s="449" t="s">
        <v>0</v>
      </c>
      <c r="B313" s="331" t="s">
        <v>1</v>
      </c>
      <c r="C313" s="330" t="s">
        <v>2</v>
      </c>
      <c r="D313" s="330" t="s">
        <v>3</v>
      </c>
      <c r="E313" s="330" t="s">
        <v>4</v>
      </c>
      <c r="F313" s="330" t="s">
        <v>5</v>
      </c>
      <c r="G313" s="330" t="s">
        <v>6</v>
      </c>
      <c r="H313" s="332" t="s">
        <v>7</v>
      </c>
      <c r="I313" s="330" t="s">
        <v>8</v>
      </c>
      <c r="J313" s="330" t="s">
        <v>9</v>
      </c>
      <c r="K313" s="333" t="s">
        <v>10</v>
      </c>
      <c r="L313" s="334" t="s">
        <v>11</v>
      </c>
      <c r="M313" s="330" t="s">
        <v>12</v>
      </c>
      <c r="N313" s="335" t="s">
        <v>13</v>
      </c>
      <c r="O313" s="450" t="s">
        <v>63</v>
      </c>
      <c r="P313" s="450" t="s">
        <v>5472</v>
      </c>
    </row>
    <row r="314" spans="1:16" s="17" customFormat="1" ht="33" customHeight="1">
      <c r="A314" s="446" t="s">
        <v>4506</v>
      </c>
      <c r="B314" s="412">
        <v>46160</v>
      </c>
      <c r="C314" s="4"/>
      <c r="D314" s="4"/>
      <c r="E314" s="31"/>
      <c r="F314" s="198"/>
      <c r="G314" s="16"/>
      <c r="H314" s="198"/>
      <c r="I314" s="31"/>
      <c r="J314" s="31"/>
      <c r="K314" s="125"/>
      <c r="L314" s="16"/>
      <c r="M314" s="8"/>
      <c r="N314" s="31" t="s">
        <v>4674</v>
      </c>
      <c r="O314" s="454"/>
      <c r="P314" s="645"/>
    </row>
    <row r="315" spans="1:16" s="17" customFormat="1" ht="33" customHeight="1">
      <c r="A315" s="447"/>
      <c r="B315" s="412">
        <v>46160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4"/>
      <c r="P315" s="645"/>
    </row>
    <row r="316" spans="1:16" s="17" customFormat="1" ht="33" customHeight="1">
      <c r="A316" s="447"/>
      <c r="B316" s="412">
        <v>46161</v>
      </c>
      <c r="C316" s="4"/>
      <c r="D316" s="4"/>
      <c r="E316" s="31"/>
      <c r="F316" s="31"/>
      <c r="G316" s="16"/>
      <c r="H316" s="198"/>
      <c r="I316" s="31"/>
      <c r="J316" s="198"/>
      <c r="K316" s="125"/>
      <c r="L316" s="16"/>
      <c r="M316" s="8"/>
      <c r="N316" s="444"/>
      <c r="O316" s="453"/>
      <c r="P316" s="645"/>
    </row>
    <row r="317" spans="1:16" s="17" customFormat="1" ht="33" customHeight="1">
      <c r="A317" s="447"/>
      <c r="B317" s="412">
        <v>46161</v>
      </c>
      <c r="C317" s="4"/>
      <c r="D317" s="4"/>
      <c r="E317" s="31"/>
      <c r="F317" s="31"/>
      <c r="G317" s="16"/>
      <c r="H317" s="198"/>
      <c r="I317" s="31"/>
      <c r="J317" s="198"/>
      <c r="K317" s="125"/>
      <c r="L317" s="16"/>
      <c r="M317" s="8"/>
      <c r="N317" s="444"/>
      <c r="O317" s="453"/>
      <c r="P317" s="645"/>
    </row>
    <row r="318" spans="1:16" s="17" customFormat="1" ht="33" customHeight="1">
      <c r="A318" s="447"/>
      <c r="B318" s="412">
        <v>46162</v>
      </c>
      <c r="C318" s="4"/>
      <c r="D318" s="4"/>
      <c r="E318" s="31"/>
      <c r="F318" s="31"/>
      <c r="G318" s="16"/>
      <c r="H318" s="198"/>
      <c r="I318" s="31"/>
      <c r="J318" s="198"/>
      <c r="K318" s="125"/>
      <c r="L318" s="16"/>
      <c r="M318" s="8"/>
      <c r="N318" s="31" t="s">
        <v>4674</v>
      </c>
      <c r="O318" s="453"/>
      <c r="P318" s="645"/>
    </row>
    <row r="319" spans="1:16" s="17" customFormat="1" ht="33" customHeight="1">
      <c r="A319" s="447"/>
      <c r="B319" s="412">
        <v>46162</v>
      </c>
      <c r="C319" s="4"/>
      <c r="D319" s="4"/>
      <c r="E319" s="298"/>
      <c r="F319" s="31"/>
      <c r="G319" s="16"/>
      <c r="H319" s="198"/>
      <c r="I319" s="31"/>
      <c r="J319" s="31"/>
      <c r="K319" s="125"/>
      <c r="L319" s="16"/>
      <c r="M319" s="8"/>
      <c r="N319" s="31"/>
      <c r="O319" s="455"/>
      <c r="P319" s="645"/>
    </row>
    <row r="320" spans="1:16" s="17" customFormat="1" ht="33" customHeight="1">
      <c r="A320" s="447"/>
      <c r="B320" s="412">
        <v>46163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444"/>
      <c r="O320" s="453"/>
      <c r="P320" s="645"/>
    </row>
    <row r="321" spans="1:16" s="17" customFormat="1" ht="33" customHeight="1">
      <c r="A321" s="447"/>
      <c r="B321" s="412">
        <v>46163</v>
      </c>
      <c r="C321" s="4"/>
      <c r="D321" s="4"/>
      <c r="E321" s="298"/>
      <c r="F321" s="31"/>
      <c r="G321" s="16"/>
      <c r="H321" s="198"/>
      <c r="I321" s="31"/>
      <c r="J321" s="31"/>
      <c r="K321" s="125"/>
      <c r="L321" s="16"/>
      <c r="M321" s="8"/>
      <c r="N321" s="31"/>
      <c r="O321" s="455"/>
      <c r="P321" s="645"/>
    </row>
    <row r="322" spans="1:16" s="17" customFormat="1" ht="33" customHeight="1">
      <c r="A322" s="447"/>
      <c r="B322" s="412">
        <v>46164</v>
      </c>
      <c r="C322" s="4"/>
      <c r="D322" s="4"/>
      <c r="E322" s="31"/>
      <c r="F322" s="298"/>
      <c r="G322" s="16"/>
      <c r="H322" s="198"/>
      <c r="I322" s="31"/>
      <c r="J322" s="198"/>
      <c r="K322" s="125"/>
      <c r="L322" s="16"/>
      <c r="M322" s="8"/>
      <c r="N322" s="31" t="s">
        <v>4674</v>
      </c>
      <c r="O322" s="452"/>
      <c r="P322" s="645"/>
    </row>
    <row r="323" spans="1:16" s="17" customFormat="1" ht="33" customHeight="1">
      <c r="A323" s="447"/>
      <c r="B323" s="412">
        <v>46164</v>
      </c>
      <c r="C323" s="4"/>
      <c r="D323" s="4"/>
      <c r="E323" s="31"/>
      <c r="F323" s="31"/>
      <c r="G323" s="16"/>
      <c r="H323" s="198"/>
      <c r="I323" s="31"/>
      <c r="J323" s="31"/>
      <c r="K323" s="125"/>
      <c r="L323" s="16"/>
      <c r="M323" s="8"/>
      <c r="N323" s="31"/>
      <c r="O323" s="451"/>
      <c r="P323" s="645"/>
    </row>
    <row r="324" spans="1:16" s="17" customFormat="1" ht="33" customHeight="1">
      <c r="A324" s="447"/>
      <c r="B324" s="412">
        <v>46165</v>
      </c>
      <c r="C324" s="4"/>
      <c r="D324" s="4"/>
      <c r="E324" s="31"/>
      <c r="F324" s="31"/>
      <c r="G324" s="16"/>
      <c r="H324" s="198"/>
      <c r="I324" s="198"/>
      <c r="J324" s="198"/>
      <c r="K324" s="125"/>
      <c r="L324" s="16"/>
      <c r="M324" s="8"/>
      <c r="N324" s="198"/>
      <c r="O324" s="461"/>
      <c r="P324" s="645"/>
    </row>
    <row r="325" spans="1:16" s="17" customFormat="1" ht="33" customHeight="1">
      <c r="A325" s="448"/>
      <c r="B325" s="412">
        <v>46165</v>
      </c>
      <c r="C325" s="4"/>
      <c r="D325" s="4"/>
      <c r="E325" s="31"/>
      <c r="F325" s="31"/>
      <c r="G325" s="16"/>
      <c r="H325" s="198"/>
      <c r="I325" s="198"/>
      <c r="J325" s="198"/>
      <c r="K325" s="125"/>
      <c r="L325" s="16"/>
      <c r="M325" s="8"/>
      <c r="N325" s="31"/>
      <c r="O325" s="455"/>
      <c r="P325" s="645"/>
    </row>
    <row r="326" spans="1:16" s="17" customFormat="1" ht="33" customHeight="1">
      <c r="A326" s="449" t="s">
        <v>0</v>
      </c>
      <c r="B326" s="331" t="s">
        <v>1</v>
      </c>
      <c r="C326" s="330" t="s">
        <v>2</v>
      </c>
      <c r="D326" s="330" t="s">
        <v>3</v>
      </c>
      <c r="E326" s="330" t="s">
        <v>4</v>
      </c>
      <c r="F326" s="330" t="s">
        <v>5</v>
      </c>
      <c r="G326" s="330" t="s">
        <v>6</v>
      </c>
      <c r="H326" s="332" t="s">
        <v>7</v>
      </c>
      <c r="I326" s="330" t="s">
        <v>8</v>
      </c>
      <c r="J326" s="330" t="s">
        <v>9</v>
      </c>
      <c r="K326" s="333" t="s">
        <v>10</v>
      </c>
      <c r="L326" s="334" t="s">
        <v>11</v>
      </c>
      <c r="M326" s="330" t="s">
        <v>12</v>
      </c>
      <c r="N326" s="335" t="s">
        <v>13</v>
      </c>
      <c r="O326" s="450" t="s">
        <v>63</v>
      </c>
      <c r="P326" s="450" t="s">
        <v>5472</v>
      </c>
    </row>
    <row r="327" spans="1:16" s="17" customFormat="1" ht="33" customHeight="1">
      <c r="A327" s="446" t="s">
        <v>4507</v>
      </c>
      <c r="B327" s="412">
        <v>46167</v>
      </c>
      <c r="C327" s="4"/>
      <c r="D327" s="4"/>
      <c r="E327" s="31"/>
      <c r="F327" s="198"/>
      <c r="G327" s="16"/>
      <c r="H327" s="422" t="s">
        <v>4673</v>
      </c>
      <c r="I327" s="31"/>
      <c r="J327" s="31"/>
      <c r="K327" s="125"/>
      <c r="L327" s="16"/>
      <c r="M327" s="8"/>
      <c r="N327" s="31"/>
      <c r="O327" s="454"/>
      <c r="P327" s="645"/>
    </row>
    <row r="328" spans="1:16" s="17" customFormat="1" ht="33" customHeight="1">
      <c r="A328" s="447"/>
      <c r="B328" s="412">
        <v>46167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4"/>
      <c r="P328" s="645"/>
    </row>
    <row r="329" spans="1:16" s="17" customFormat="1" ht="33" customHeight="1">
      <c r="A329" s="447"/>
      <c r="B329" s="412">
        <v>46168</v>
      </c>
      <c r="C329" s="4"/>
      <c r="D329" s="4"/>
      <c r="E329" s="31"/>
      <c r="F329" s="31"/>
      <c r="G329" s="16"/>
      <c r="H329" s="198"/>
      <c r="I329" s="31"/>
      <c r="J329" s="198"/>
      <c r="K329" s="125"/>
      <c r="L329" s="16"/>
      <c r="M329" s="8"/>
      <c r="N329" s="444"/>
      <c r="O329" s="453"/>
      <c r="P329" s="645"/>
    </row>
    <row r="330" spans="1:16" s="17" customFormat="1" ht="33" customHeight="1">
      <c r="A330" s="447"/>
      <c r="B330" s="412">
        <v>46168</v>
      </c>
      <c r="C330" s="4"/>
      <c r="D330" s="4"/>
      <c r="E330" s="31"/>
      <c r="F330" s="31"/>
      <c r="G330" s="16"/>
      <c r="H330" s="198"/>
      <c r="I330" s="31"/>
      <c r="J330" s="198"/>
      <c r="K330" s="125"/>
      <c r="L330" s="16"/>
      <c r="M330" s="8"/>
      <c r="N330" s="444"/>
      <c r="O330" s="453"/>
      <c r="P330" s="645"/>
    </row>
    <row r="331" spans="1:16" s="17" customFormat="1" ht="33" customHeight="1">
      <c r="A331" s="447"/>
      <c r="B331" s="412">
        <v>46169</v>
      </c>
      <c r="C331" s="4"/>
      <c r="D331" s="4"/>
      <c r="E331" s="31"/>
      <c r="F331" s="31"/>
      <c r="G331" s="16"/>
      <c r="H331" s="198"/>
      <c r="I331" s="31"/>
      <c r="J331" s="198"/>
      <c r="K331" s="125"/>
      <c r="L331" s="16"/>
      <c r="M331" s="8"/>
      <c r="N331" s="444"/>
      <c r="O331" s="453"/>
      <c r="P331" s="645"/>
    </row>
    <row r="332" spans="1:16" s="17" customFormat="1" ht="33" customHeight="1">
      <c r="A332" s="447"/>
      <c r="B332" s="412">
        <v>46169</v>
      </c>
      <c r="C332" s="4"/>
      <c r="D332" s="4"/>
      <c r="E332" s="298"/>
      <c r="F332" s="31"/>
      <c r="G332" s="16"/>
      <c r="H332" s="198"/>
      <c r="I332" s="31"/>
      <c r="J332" s="31"/>
      <c r="K332" s="125"/>
      <c r="L332" s="16"/>
      <c r="M332" s="8"/>
      <c r="N332" s="31"/>
      <c r="O332" s="455"/>
      <c r="P332" s="645"/>
    </row>
    <row r="333" spans="1:16" s="17" customFormat="1" ht="33" customHeight="1">
      <c r="A333" s="447"/>
      <c r="B333" s="412">
        <v>46170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5"/>
    </row>
    <row r="334" spans="1:16" s="17" customFormat="1" ht="33" customHeight="1">
      <c r="A334" s="447"/>
      <c r="B334" s="412">
        <v>46170</v>
      </c>
      <c r="C334" s="4"/>
      <c r="D334" s="4"/>
      <c r="E334" s="298"/>
      <c r="F334" s="31"/>
      <c r="G334" s="16"/>
      <c r="H334" s="198"/>
      <c r="I334" s="31"/>
      <c r="J334" s="31"/>
      <c r="K334" s="125"/>
      <c r="L334" s="16"/>
      <c r="M334" s="8"/>
      <c r="N334" s="31"/>
      <c r="O334" s="455"/>
      <c r="P334" s="645"/>
    </row>
    <row r="335" spans="1:16" s="17" customFormat="1" ht="33" customHeight="1">
      <c r="A335" s="447"/>
      <c r="B335" s="412">
        <v>46171</v>
      </c>
      <c r="C335" s="4"/>
      <c r="D335" s="4"/>
      <c r="E335" s="31"/>
      <c r="F335" s="298"/>
      <c r="G335" s="16"/>
      <c r="H335" s="198"/>
      <c r="I335" s="31"/>
      <c r="J335" s="198"/>
      <c r="K335" s="125"/>
      <c r="L335" s="16"/>
      <c r="M335" s="8"/>
      <c r="N335" s="31"/>
      <c r="O335" s="452"/>
      <c r="P335" s="645"/>
    </row>
    <row r="336" spans="1:16" s="17" customFormat="1" ht="33" customHeight="1">
      <c r="A336" s="447"/>
      <c r="B336" s="412">
        <v>46171</v>
      </c>
      <c r="C336" s="4"/>
      <c r="D336" s="4"/>
      <c r="E336" s="31"/>
      <c r="F336" s="31"/>
      <c r="G336" s="16"/>
      <c r="H336" s="198"/>
      <c r="I336" s="31"/>
      <c r="J336" s="31"/>
      <c r="K336" s="125"/>
      <c r="L336" s="16"/>
      <c r="M336" s="8"/>
      <c r="N336" s="31"/>
      <c r="O336" s="451"/>
      <c r="P336" s="645"/>
    </row>
    <row r="337" spans="1:16" s="17" customFormat="1" ht="33" customHeight="1">
      <c r="A337" s="447"/>
      <c r="B337" s="412">
        <v>46172</v>
      </c>
      <c r="C337" s="4"/>
      <c r="D337" s="4"/>
      <c r="E337" s="31"/>
      <c r="F337" s="31"/>
      <c r="G337" s="16"/>
      <c r="H337" s="198"/>
      <c r="I337" s="198"/>
      <c r="J337" s="198"/>
      <c r="K337" s="125"/>
      <c r="L337" s="16"/>
      <c r="M337" s="8"/>
      <c r="N337" s="198"/>
      <c r="O337" s="461"/>
      <c r="P337" s="645"/>
    </row>
    <row r="338" spans="1:16" s="17" customFormat="1" ht="33" customHeight="1">
      <c r="A338" s="448"/>
      <c r="B338" s="412">
        <v>46172</v>
      </c>
      <c r="C338" s="4"/>
      <c r="D338" s="4"/>
      <c r="E338" s="31"/>
      <c r="F338" s="31"/>
      <c r="G338" s="16"/>
      <c r="H338" s="198"/>
      <c r="I338" s="198"/>
      <c r="J338" s="198"/>
      <c r="K338" s="125"/>
      <c r="L338" s="16"/>
      <c r="M338" s="8"/>
      <c r="N338" s="31"/>
      <c r="O338" s="455"/>
      <c r="P338" s="645"/>
    </row>
    <row r="339" spans="1:16" s="17" customFormat="1" ht="33" customHeight="1">
      <c r="A339" s="449" t="s">
        <v>0</v>
      </c>
      <c r="B339" s="331" t="s">
        <v>1</v>
      </c>
      <c r="C339" s="330" t="s">
        <v>2</v>
      </c>
      <c r="D339" s="330" t="s">
        <v>3</v>
      </c>
      <c r="E339" s="330" t="s">
        <v>4</v>
      </c>
      <c r="F339" s="330" t="s">
        <v>5</v>
      </c>
      <c r="G339" s="330" t="s">
        <v>6</v>
      </c>
      <c r="H339" s="332" t="s">
        <v>7</v>
      </c>
      <c r="I339" s="330" t="s">
        <v>8</v>
      </c>
      <c r="J339" s="330" t="s">
        <v>9</v>
      </c>
      <c r="K339" s="333" t="s">
        <v>10</v>
      </c>
      <c r="L339" s="334" t="s">
        <v>11</v>
      </c>
      <c r="M339" s="330" t="s">
        <v>12</v>
      </c>
      <c r="N339" s="335" t="s">
        <v>13</v>
      </c>
      <c r="O339" s="450" t="s">
        <v>63</v>
      </c>
      <c r="P339" s="450" t="s">
        <v>5472</v>
      </c>
    </row>
    <row r="340" spans="1:16" s="17" customFormat="1" ht="33" customHeight="1">
      <c r="A340" s="446" t="s">
        <v>4508</v>
      </c>
      <c r="B340" s="412">
        <v>46174</v>
      </c>
      <c r="C340" s="4"/>
      <c r="D340" s="4"/>
      <c r="E340" s="31"/>
      <c r="F340" s="198"/>
      <c r="G340" s="16"/>
      <c r="H340" s="198"/>
      <c r="I340" s="31"/>
      <c r="J340" s="31"/>
      <c r="K340" s="125"/>
      <c r="L340" s="16"/>
      <c r="M340" s="8"/>
      <c r="N340" s="31"/>
      <c r="O340" s="454"/>
      <c r="P340" s="645"/>
    </row>
    <row r="341" spans="1:16" s="17" customFormat="1" ht="33" customHeight="1">
      <c r="A341" s="447"/>
      <c r="B341" s="412">
        <v>46174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4"/>
      <c r="P341" s="645"/>
    </row>
    <row r="342" spans="1:16" s="17" customFormat="1" ht="33" customHeight="1">
      <c r="A342" s="447"/>
      <c r="B342" s="412">
        <v>46175</v>
      </c>
      <c r="C342" s="4"/>
      <c r="D342" s="4"/>
      <c r="E342" s="31"/>
      <c r="F342" s="31"/>
      <c r="G342" s="16"/>
      <c r="H342" s="198"/>
      <c r="I342" s="31"/>
      <c r="J342" s="198"/>
      <c r="K342" s="125"/>
      <c r="L342" s="16"/>
      <c r="M342" s="8"/>
      <c r="N342" s="444"/>
      <c r="O342" s="453"/>
      <c r="P342" s="645"/>
    </row>
    <row r="343" spans="1:16" s="17" customFormat="1" ht="33" customHeight="1">
      <c r="A343" s="447"/>
      <c r="B343" s="412">
        <v>46175</v>
      </c>
      <c r="C343" s="4"/>
      <c r="D343" s="4"/>
      <c r="E343" s="31"/>
      <c r="F343" s="31"/>
      <c r="G343" s="16"/>
      <c r="H343" s="198"/>
      <c r="I343" s="31"/>
      <c r="J343" s="198"/>
      <c r="K343" s="125"/>
      <c r="L343" s="16"/>
      <c r="M343" s="8"/>
      <c r="N343" s="444"/>
      <c r="O343" s="453"/>
      <c r="P343" s="645"/>
    </row>
    <row r="344" spans="1:16" s="17" customFormat="1" ht="33" customHeight="1">
      <c r="A344" s="447"/>
      <c r="B344" s="412">
        <v>46176</v>
      </c>
      <c r="C344" s="4"/>
      <c r="D344" s="4"/>
      <c r="E344" s="31"/>
      <c r="F344" s="31"/>
      <c r="G344" s="16"/>
      <c r="H344" s="422" t="s">
        <v>4761</v>
      </c>
      <c r="I344" s="31"/>
      <c r="J344" s="198"/>
      <c r="K344" s="125"/>
      <c r="L344" s="16"/>
      <c r="M344" s="8"/>
      <c r="N344" s="444"/>
      <c r="O344" s="453"/>
      <c r="P344" s="645"/>
    </row>
    <row r="345" spans="1:16" s="17" customFormat="1" ht="33" customHeight="1">
      <c r="A345" s="447"/>
      <c r="B345" s="412">
        <v>46176</v>
      </c>
      <c r="C345" s="4"/>
      <c r="D345" s="4"/>
      <c r="E345" s="298"/>
      <c r="F345" s="31"/>
      <c r="G345" s="16"/>
      <c r="H345" s="198"/>
      <c r="I345" s="31"/>
      <c r="J345" s="31"/>
      <c r="K345" s="125"/>
      <c r="L345" s="16"/>
      <c r="M345" s="8"/>
      <c r="N345" s="31"/>
      <c r="O345" s="455"/>
      <c r="P345" s="645"/>
    </row>
    <row r="346" spans="1:16" s="17" customFormat="1" ht="33" customHeight="1">
      <c r="A346" s="447"/>
      <c r="B346" s="412">
        <v>46177</v>
      </c>
      <c r="C346" s="4"/>
      <c r="D346" s="4"/>
      <c r="E346" s="31"/>
      <c r="F346" s="31"/>
      <c r="G346" s="16"/>
      <c r="H346" s="198"/>
      <c r="I346" s="31"/>
      <c r="J346" s="198"/>
      <c r="K346" s="125"/>
      <c r="L346" s="16"/>
      <c r="M346" s="8"/>
      <c r="N346" s="444"/>
      <c r="O346" s="453"/>
      <c r="P346" s="645"/>
    </row>
    <row r="347" spans="1:16" s="17" customFormat="1" ht="33" customHeight="1">
      <c r="A347" s="447"/>
      <c r="B347" s="412">
        <v>46177</v>
      </c>
      <c r="C347" s="4"/>
      <c r="D347" s="4"/>
      <c r="E347" s="298"/>
      <c r="F347" s="31"/>
      <c r="G347" s="16"/>
      <c r="H347" s="198"/>
      <c r="I347" s="31"/>
      <c r="J347" s="31"/>
      <c r="K347" s="125"/>
      <c r="L347" s="16"/>
      <c r="M347" s="8"/>
      <c r="N347" s="31"/>
      <c r="O347" s="455"/>
      <c r="P347" s="645"/>
    </row>
    <row r="348" spans="1:16" s="17" customFormat="1" ht="33" customHeight="1">
      <c r="A348" s="447"/>
      <c r="B348" s="412">
        <v>46178</v>
      </c>
      <c r="C348" s="4" t="s">
        <v>113</v>
      </c>
      <c r="D348" s="4" t="s">
        <v>5267</v>
      </c>
      <c r="E348" s="522" t="s">
        <v>5277</v>
      </c>
      <c r="F348" s="522" t="s">
        <v>5278</v>
      </c>
      <c r="G348" s="16" t="s">
        <v>5282</v>
      </c>
      <c r="H348" s="523" t="s">
        <v>5271</v>
      </c>
      <c r="I348" s="31"/>
      <c r="J348" s="198"/>
      <c r="K348" s="125"/>
      <c r="L348" s="16"/>
      <c r="M348" s="8"/>
      <c r="N348" s="31"/>
      <c r="O348" s="452"/>
      <c r="P348" s="645"/>
    </row>
    <row r="349" spans="1:16" s="17" customFormat="1" ht="33" customHeight="1">
      <c r="A349" s="447"/>
      <c r="B349" s="412">
        <v>46178</v>
      </c>
      <c r="C349" s="4"/>
      <c r="D349" s="4"/>
      <c r="E349" s="31"/>
      <c r="F349" s="31"/>
      <c r="G349" s="16"/>
      <c r="H349" s="198"/>
      <c r="I349" s="31"/>
      <c r="J349" s="31"/>
      <c r="K349" s="125"/>
      <c r="L349" s="16"/>
      <c r="M349" s="8"/>
      <c r="N349" s="31"/>
      <c r="O349" s="451"/>
      <c r="P349" s="645"/>
    </row>
    <row r="350" spans="1:16" s="17" customFormat="1" ht="33" customHeight="1">
      <c r="A350" s="447"/>
      <c r="B350" s="412">
        <v>46179</v>
      </c>
      <c r="C350" s="4"/>
      <c r="D350" s="4"/>
      <c r="E350" s="31"/>
      <c r="F350" s="31"/>
      <c r="G350" s="16"/>
      <c r="H350" s="198"/>
      <c r="I350" s="198"/>
      <c r="J350" s="198"/>
      <c r="K350" s="125"/>
      <c r="L350" s="16"/>
      <c r="M350" s="8"/>
      <c r="N350" s="198"/>
      <c r="O350" s="461"/>
      <c r="P350" s="645"/>
    </row>
    <row r="351" spans="1:16" s="17" customFormat="1" ht="33" customHeight="1">
      <c r="A351" s="448"/>
      <c r="B351" s="412">
        <v>46179</v>
      </c>
      <c r="C351" s="4"/>
      <c r="D351" s="4"/>
      <c r="E351" s="31"/>
      <c r="F351" s="31"/>
      <c r="G351" s="16"/>
      <c r="H351" s="198"/>
      <c r="I351" s="198"/>
      <c r="J351" s="198"/>
      <c r="K351" s="125"/>
      <c r="L351" s="16"/>
      <c r="M351" s="8"/>
      <c r="N351" s="31"/>
      <c r="O351" s="455"/>
      <c r="P351" s="645"/>
    </row>
    <row r="352" spans="1:16" s="17" customFormat="1" ht="33" customHeight="1">
      <c r="A352" s="449" t="s">
        <v>0</v>
      </c>
      <c r="B352" s="331" t="s">
        <v>1</v>
      </c>
      <c r="C352" s="330" t="s">
        <v>2</v>
      </c>
      <c r="D352" s="330" t="s">
        <v>3</v>
      </c>
      <c r="E352" s="330" t="s">
        <v>4</v>
      </c>
      <c r="F352" s="330" t="s">
        <v>5</v>
      </c>
      <c r="G352" s="330" t="s">
        <v>6</v>
      </c>
      <c r="H352" s="332" t="s">
        <v>7</v>
      </c>
      <c r="I352" s="330" t="s">
        <v>8</v>
      </c>
      <c r="J352" s="330" t="s">
        <v>9</v>
      </c>
      <c r="K352" s="333" t="s">
        <v>10</v>
      </c>
      <c r="L352" s="334" t="s">
        <v>11</v>
      </c>
      <c r="M352" s="330" t="s">
        <v>12</v>
      </c>
      <c r="N352" s="335" t="s">
        <v>13</v>
      </c>
      <c r="O352" s="450" t="s">
        <v>63</v>
      </c>
      <c r="P352" s="450" t="s">
        <v>5472</v>
      </c>
    </row>
    <row r="353" spans="1:16" s="17" customFormat="1" ht="33" customHeight="1">
      <c r="A353" s="446" t="s">
        <v>4509</v>
      </c>
      <c r="B353" s="412">
        <v>46181</v>
      </c>
      <c r="C353" s="4" t="s">
        <v>113</v>
      </c>
      <c r="D353" s="4" t="s">
        <v>5267</v>
      </c>
      <c r="E353" s="522" t="s">
        <v>5268</v>
      </c>
      <c r="F353" s="522" t="s">
        <v>5269</v>
      </c>
      <c r="G353" s="16" t="s">
        <v>5275</v>
      </c>
      <c r="H353" s="523" t="s">
        <v>5271</v>
      </c>
      <c r="I353" s="31" t="s">
        <v>5276</v>
      </c>
      <c r="J353" s="31"/>
      <c r="K353" s="125"/>
      <c r="L353" s="16"/>
      <c r="M353" s="8"/>
      <c r="N353" s="31"/>
      <c r="O353" s="454"/>
      <c r="P353" s="645"/>
    </row>
    <row r="354" spans="1:16" s="17" customFormat="1" ht="33" customHeight="1">
      <c r="A354" s="447"/>
      <c r="B354" s="412">
        <v>46181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4"/>
      <c r="P354" s="645"/>
    </row>
    <row r="355" spans="1:16" s="17" customFormat="1" ht="33" customHeight="1">
      <c r="A355" s="447"/>
      <c r="B355" s="412">
        <v>46182</v>
      </c>
      <c r="C355" s="4" t="s">
        <v>113</v>
      </c>
      <c r="D355" s="4" t="s">
        <v>5267</v>
      </c>
      <c r="E355" s="31" t="s">
        <v>5268</v>
      </c>
      <c r="F355" s="31" t="s">
        <v>5269</v>
      </c>
      <c r="G355" s="16" t="s">
        <v>5270</v>
      </c>
      <c r="H355" s="198" t="s">
        <v>5271</v>
      </c>
      <c r="I355" s="31"/>
      <c r="J355" s="198" t="s">
        <v>5272</v>
      </c>
      <c r="K355" s="125"/>
      <c r="L355" s="16"/>
      <c r="M355" s="8"/>
      <c r="N355" s="444"/>
      <c r="O355" s="453"/>
      <c r="P355" s="645"/>
    </row>
    <row r="356" spans="1:16" s="17" customFormat="1" ht="33" customHeight="1">
      <c r="A356" s="447"/>
      <c r="B356" s="412">
        <v>46182</v>
      </c>
      <c r="C356" s="4"/>
      <c r="D356" s="4"/>
      <c r="E356" s="31"/>
      <c r="F356" s="31"/>
      <c r="G356" s="16"/>
      <c r="H356" s="198"/>
      <c r="I356" s="31"/>
      <c r="J356" s="198"/>
      <c r="K356" s="125"/>
      <c r="L356" s="16"/>
      <c r="M356" s="8"/>
      <c r="N356" s="444"/>
      <c r="O356" s="453"/>
      <c r="P356" s="645"/>
    </row>
    <row r="357" spans="1:16" s="17" customFormat="1" ht="33" customHeight="1">
      <c r="A357" s="447"/>
      <c r="B357" s="412">
        <v>46183</v>
      </c>
      <c r="C357" s="4" t="s">
        <v>113</v>
      </c>
      <c r="D357" s="4" t="s">
        <v>5267</v>
      </c>
      <c r="E357" s="522" t="s">
        <v>5268</v>
      </c>
      <c r="F357" s="522" t="s">
        <v>5269</v>
      </c>
      <c r="G357" s="16" t="s">
        <v>5273</v>
      </c>
      <c r="H357" s="523" t="s">
        <v>5271</v>
      </c>
      <c r="I357" s="31" t="s">
        <v>5274</v>
      </c>
      <c r="J357" s="198"/>
      <c r="K357" s="125"/>
      <c r="L357" s="16"/>
      <c r="M357" s="8"/>
      <c r="N357" s="444"/>
      <c r="O357" s="453"/>
      <c r="P357" s="645"/>
    </row>
    <row r="358" spans="1:16" s="17" customFormat="1" ht="33" customHeight="1">
      <c r="A358" s="447"/>
      <c r="B358" s="412">
        <v>46183</v>
      </c>
      <c r="C358" s="4"/>
      <c r="D358" s="4"/>
      <c r="E358" s="298"/>
      <c r="F358" s="31"/>
      <c r="G358" s="16"/>
      <c r="H358" s="198"/>
      <c r="I358" s="31"/>
      <c r="J358" s="31"/>
      <c r="K358" s="125"/>
      <c r="L358" s="16"/>
      <c r="M358" s="8"/>
      <c r="N358" s="31"/>
      <c r="O358" s="455"/>
      <c r="P358" s="645"/>
    </row>
    <row r="359" spans="1:16" s="17" customFormat="1" ht="33" customHeight="1">
      <c r="A359" s="447"/>
      <c r="B359" s="412">
        <v>46184</v>
      </c>
      <c r="C359" s="4"/>
      <c r="D359" s="4"/>
      <c r="E359" s="31"/>
      <c r="F359" s="31"/>
      <c r="G359" s="16"/>
      <c r="H359" s="198"/>
      <c r="I359" s="31"/>
      <c r="J359" s="198"/>
      <c r="K359" s="125"/>
      <c r="L359" s="16"/>
      <c r="M359" s="8"/>
      <c r="N359" s="444"/>
      <c r="O359" s="453"/>
      <c r="P359" s="645"/>
    </row>
    <row r="360" spans="1:16" s="17" customFormat="1" ht="33" customHeight="1">
      <c r="A360" s="447"/>
      <c r="B360" s="412">
        <v>46184</v>
      </c>
      <c r="C360" s="4"/>
      <c r="D360" s="4"/>
      <c r="E360" s="298"/>
      <c r="F360" s="31"/>
      <c r="G360" s="16"/>
      <c r="H360" s="198"/>
      <c r="I360" s="31"/>
      <c r="J360" s="31"/>
      <c r="K360" s="125"/>
      <c r="L360" s="16"/>
      <c r="M360" s="8"/>
      <c r="N360" s="31"/>
      <c r="O360" s="455"/>
      <c r="P360" s="645"/>
    </row>
    <row r="361" spans="1:16" s="17" customFormat="1" ht="33" customHeight="1">
      <c r="A361" s="447"/>
      <c r="B361" s="412">
        <v>46185</v>
      </c>
      <c r="C361" s="4"/>
      <c r="D361" s="4"/>
      <c r="E361" s="31"/>
      <c r="F361" s="298"/>
      <c r="G361" s="16"/>
      <c r="H361" s="198"/>
      <c r="I361" s="31"/>
      <c r="J361" s="198"/>
      <c r="K361" s="125"/>
      <c r="L361" s="16"/>
      <c r="M361" s="8"/>
      <c r="N361" s="31"/>
      <c r="O361" s="452"/>
      <c r="P361" s="645"/>
    </row>
    <row r="362" spans="1:16" s="17" customFormat="1" ht="33" customHeight="1">
      <c r="A362" s="447"/>
      <c r="B362" s="412">
        <v>46185</v>
      </c>
      <c r="C362" s="4"/>
      <c r="D362" s="4"/>
      <c r="E362" s="31"/>
      <c r="F362" s="31"/>
      <c r="G362" s="16"/>
      <c r="H362" s="198"/>
      <c r="I362" s="31"/>
      <c r="J362" s="31"/>
      <c r="K362" s="125"/>
      <c r="L362" s="16"/>
      <c r="M362" s="8"/>
      <c r="N362" s="31"/>
      <c r="O362" s="451"/>
      <c r="P362" s="645"/>
    </row>
    <row r="363" spans="1:16" s="17" customFormat="1" ht="33" customHeight="1">
      <c r="A363" s="447"/>
      <c r="B363" s="412">
        <v>46186</v>
      </c>
      <c r="C363" s="4"/>
      <c r="D363" s="4"/>
      <c r="E363" s="31"/>
      <c r="F363" s="31"/>
      <c r="G363" s="16"/>
      <c r="H363" s="198"/>
      <c r="I363" s="198"/>
      <c r="J363" s="198"/>
      <c r="K363" s="125"/>
      <c r="L363" s="16"/>
      <c r="M363" s="8"/>
      <c r="N363" s="198"/>
      <c r="O363" s="461"/>
      <c r="P363" s="645"/>
    </row>
    <row r="364" spans="1:16">
      <c r="A364" s="447"/>
      <c r="B364" s="412">
        <v>46186</v>
      </c>
      <c r="C364" s="10"/>
      <c r="D364" s="10"/>
      <c r="E364" s="339"/>
      <c r="F364" s="339"/>
      <c r="G364" s="7"/>
      <c r="H364" s="160"/>
      <c r="I364" s="160"/>
      <c r="J364" s="160"/>
      <c r="K364" s="336"/>
      <c r="L364" s="7"/>
      <c r="M364" s="445"/>
      <c r="N364" s="339"/>
      <c r="O364" s="466"/>
      <c r="P364" s="26"/>
    </row>
    <row r="368" spans="1:16">
      <c r="B368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5346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5347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5348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5349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5350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5353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5351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5352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5354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5355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5356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5361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5357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5358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5359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5360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5343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5342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5344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64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64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64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5345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5341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0</v>
      </c>
      <c r="D11" s="827"/>
    </row>
    <row r="12" spans="1:4">
      <c r="A12" s="495" t="s">
        <v>4868</v>
      </c>
      <c r="B12" s="495">
        <v>4</v>
      </c>
      <c r="C12" s="827">
        <f>'사전품의양식 (12)'!L19</f>
        <v>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5457</v>
      </c>
      <c r="B17" s="497">
        <v>500000</v>
      </c>
      <c r="C17" s="497">
        <f>'사전품의양식 (12)'!L13</f>
        <v>0</v>
      </c>
      <c r="D17" s="499">
        <f>SUM(B17:C17)</f>
        <v>500000</v>
      </c>
    </row>
    <row r="18" spans="1:5">
      <c r="A18" s="496" t="s">
        <v>4500</v>
      </c>
      <c r="B18" s="497">
        <f>C11-B17</f>
        <v>-500000</v>
      </c>
      <c r="C18" s="497">
        <f>C12-C17</f>
        <v>0</v>
      </c>
      <c r="D18" s="497">
        <f>SUM(B18:C18)</f>
        <v>-500000</v>
      </c>
    </row>
    <row r="19" spans="1:5">
      <c r="A19" s="500" t="s">
        <v>4870</v>
      </c>
      <c r="B19" s="547">
        <f t="shared" ref="B19:C19" si="0">SUM(B17:B18)</f>
        <v>0</v>
      </c>
      <c r="C19" s="547">
        <f t="shared" si="0"/>
        <v>0</v>
      </c>
      <c r="D19" s="547">
        <f>SUM(D17:D18)</f>
        <v>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5332</v>
      </c>
      <c r="B26" s="546" t="s">
        <v>5335</v>
      </c>
      <c r="C26" s="825" t="s">
        <v>5336</v>
      </c>
      <c r="D26" s="826"/>
      <c r="E26" s="826"/>
    </row>
    <row r="27" spans="1:5">
      <c r="A27" s="546" t="s">
        <v>5333</v>
      </c>
      <c r="B27" s="546" t="s">
        <v>5334</v>
      </c>
      <c r="C27" s="825" t="s">
        <v>5336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2" zoomScale="85" zoomScaleNormal="85" zoomScaleSheetLayoutView="55" workbookViewId="0">
      <selection activeCell="L17" sqref="L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9" t="s">
        <v>5511</v>
      </c>
      <c r="B2" s="839" t="s">
        <v>1</v>
      </c>
      <c r="C2" s="839" t="s">
        <v>2</v>
      </c>
      <c r="D2" s="839" t="s">
        <v>3</v>
      </c>
      <c r="E2" s="502" t="s">
        <v>2627</v>
      </c>
      <c r="F2" s="839" t="s">
        <v>5</v>
      </c>
      <c r="G2" s="839" t="s">
        <v>6</v>
      </c>
      <c r="H2" s="839" t="s">
        <v>2628</v>
      </c>
      <c r="I2" s="839" t="s">
        <v>55</v>
      </c>
      <c r="J2" s="839" t="s">
        <v>9</v>
      </c>
      <c r="K2" s="840" t="s">
        <v>56</v>
      </c>
      <c r="L2" s="839" t="s">
        <v>57</v>
      </c>
      <c r="M2" s="839" t="s">
        <v>58</v>
      </c>
    </row>
    <row r="3" spans="1:13">
      <c r="A3" s="839"/>
      <c r="B3" s="839"/>
      <c r="C3" s="839"/>
      <c r="D3" s="839"/>
      <c r="E3" s="503" t="s">
        <v>1728</v>
      </c>
      <c r="F3" s="839"/>
      <c r="G3" s="839"/>
      <c r="H3" s="839"/>
      <c r="I3" s="839"/>
      <c r="J3" s="839"/>
      <c r="K3" s="840"/>
      <c r="L3" s="839"/>
      <c r="M3" s="839"/>
    </row>
    <row r="4" spans="1:13" s="498" customFormat="1">
      <c r="A4" s="834" t="s">
        <v>20</v>
      </c>
      <c r="B4" s="412"/>
      <c r="C4" s="4"/>
      <c r="D4" s="4"/>
      <c r="E4" s="630"/>
      <c r="F4" s="632"/>
      <c r="G4" s="16"/>
      <c r="H4" s="479"/>
      <c r="I4" s="549"/>
      <c r="J4" s="549"/>
      <c r="K4" s="549"/>
      <c r="L4" s="506"/>
      <c r="M4" s="837"/>
    </row>
    <row r="5" spans="1:13" ht="16.5" customHeight="1">
      <c r="A5" s="835"/>
      <c r="B5" s="412"/>
      <c r="C5" s="4"/>
      <c r="D5" s="4"/>
      <c r="E5" s="630"/>
      <c r="F5" s="504"/>
      <c r="G5" s="505"/>
      <c r="H5" s="257"/>
      <c r="I5" s="549"/>
      <c r="J5" s="549"/>
      <c r="K5" s="549"/>
      <c r="L5" s="506"/>
      <c r="M5" s="838"/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40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40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40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40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0</v>
      </c>
      <c r="M12" s="549"/>
    </row>
    <row r="13" spans="1:13">
      <c r="A13" s="834" t="s">
        <v>21</v>
      </c>
      <c r="B13" s="377">
        <v>46120</v>
      </c>
      <c r="C13" s="550" t="s">
        <v>21</v>
      </c>
      <c r="D13" s="550" t="s">
        <v>14</v>
      </c>
      <c r="E13" s="551" t="s">
        <v>107</v>
      </c>
      <c r="F13" s="551" t="s">
        <v>2963</v>
      </c>
      <c r="G13" s="553" t="s">
        <v>143</v>
      </c>
      <c r="H13" s="554" t="s">
        <v>5458</v>
      </c>
      <c r="I13" s="551"/>
      <c r="J13" s="551" t="s">
        <v>5512</v>
      </c>
      <c r="K13" s="631" t="s">
        <v>5513</v>
      </c>
      <c r="L13" s="506"/>
      <c r="M13" s="508" t="s">
        <v>5514</v>
      </c>
    </row>
    <row r="14" spans="1:13">
      <c r="A14" s="835"/>
      <c r="B14" s="377"/>
      <c r="C14" s="550"/>
      <c r="D14" s="550"/>
      <c r="E14" s="554"/>
      <c r="F14" s="551"/>
      <c r="G14" s="553"/>
      <c r="H14" s="633"/>
      <c r="I14" s="551"/>
      <c r="J14" s="551"/>
      <c r="K14" s="555"/>
      <c r="L14" s="509"/>
      <c r="M14" s="508"/>
    </row>
    <row r="15" spans="1:13">
      <c r="A15" s="835"/>
      <c r="B15" s="377"/>
      <c r="C15" s="550"/>
      <c r="D15" s="550"/>
      <c r="E15" s="551"/>
      <c r="F15" s="551"/>
      <c r="G15" s="553"/>
      <c r="H15" s="554"/>
      <c r="I15" s="551"/>
      <c r="J15" s="551"/>
      <c r="K15" s="55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4"/>
      <c r="D17" s="4"/>
      <c r="E17" s="298"/>
      <c r="F17" s="630"/>
      <c r="G17" s="16"/>
      <c r="H17" s="632"/>
      <c r="I17" s="630"/>
      <c r="J17" s="630"/>
      <c r="K17" s="12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6"/>
      <c r="B19" s="832" t="s">
        <v>4888</v>
      </c>
      <c r="C19" s="832"/>
      <c r="D19" s="832"/>
      <c r="E19" s="832"/>
      <c r="F19" s="832"/>
      <c r="G19" s="832"/>
      <c r="H19" s="832"/>
      <c r="I19" s="832"/>
      <c r="J19" s="832"/>
      <c r="K19" s="832"/>
      <c r="L19" s="506">
        <f>SUM(L13:L18)</f>
        <v>0</v>
      </c>
      <c r="M19" s="549"/>
    </row>
    <row r="20" spans="1:19" s="501" customFormat="1" ht="25.5" customHeight="1">
      <c r="A20" s="833" t="s">
        <v>62</v>
      </c>
      <c r="B20" s="833"/>
      <c r="C20" s="833"/>
      <c r="D20" s="833"/>
      <c r="E20" s="833"/>
      <c r="F20" s="833"/>
      <c r="G20" s="833"/>
      <c r="H20" s="833"/>
      <c r="I20" s="833"/>
      <c r="J20" s="833"/>
      <c r="K20" s="833"/>
      <c r="L20" s="384">
        <f>L12+L19</f>
        <v>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29"/>
      <c r="B35" s="377"/>
      <c r="C35" s="3"/>
      <c r="D35" s="3"/>
      <c r="E35" s="480"/>
      <c r="F35" s="480"/>
      <c r="G35" s="485"/>
      <c r="H35" s="479"/>
      <c r="I35" s="630"/>
      <c r="J35" s="630"/>
      <c r="K35" s="125"/>
      <c r="L35" s="8"/>
      <c r="M35" s="8"/>
    </row>
    <row r="36" spans="1:13" s="17" customFormat="1" ht="33" customHeight="1">
      <c r="A36" s="829"/>
      <c r="B36" s="377"/>
      <c r="C36" s="550"/>
      <c r="D36" s="550"/>
      <c r="E36" s="554"/>
      <c r="F36" s="551"/>
      <c r="G36" s="553"/>
      <c r="H36" s="633"/>
      <c r="I36" s="551"/>
      <c r="J36" s="551"/>
      <c r="K36" s="555"/>
      <c r="L36" s="556"/>
      <c r="M36" s="556"/>
    </row>
    <row r="37" spans="1:13" s="17" customFormat="1" ht="33" customHeight="1">
      <c r="A37" s="829"/>
      <c r="B37" s="377"/>
      <c r="C37" s="3"/>
      <c r="D37" s="3"/>
      <c r="E37" s="480"/>
      <c r="F37" s="480"/>
      <c r="G37" s="485"/>
      <c r="H37" s="479"/>
      <c r="I37" s="479"/>
      <c r="J37" s="479"/>
      <c r="K37" s="136"/>
      <c r="L37" s="481"/>
      <c r="M37" s="481"/>
    </row>
    <row r="38" spans="1:13" s="17" customFormat="1" ht="33" customHeight="1">
      <c r="A38" s="829"/>
      <c r="B38" s="377"/>
      <c r="C38" s="550"/>
      <c r="D38" s="550"/>
      <c r="E38" s="551"/>
      <c r="F38" s="551"/>
      <c r="G38" s="553"/>
      <c r="H38" s="554"/>
      <c r="I38" s="551"/>
      <c r="J38" s="551"/>
      <c r="K38" s="555"/>
      <c r="L38" s="8"/>
      <c r="M38" s="8"/>
    </row>
    <row r="39" spans="1:13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4"/>
      <c r="J39" s="554"/>
      <c r="K39" s="555"/>
      <c r="L39" s="481"/>
      <c r="M39" s="481"/>
    </row>
    <row r="40" spans="1:13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1"/>
      <c r="J40" s="551"/>
      <c r="K40" s="555"/>
      <c r="L40" s="8"/>
      <c r="M40" s="8"/>
    </row>
    <row r="41" spans="1:13" s="17" customFormat="1" ht="33" customHeight="1">
      <c r="A41" s="829"/>
      <c r="B41" s="377"/>
      <c r="C41" s="3"/>
      <c r="D41" s="3"/>
      <c r="E41" s="484"/>
      <c r="F41" s="484"/>
      <c r="G41" s="485"/>
      <c r="H41" s="479"/>
      <c r="I41" s="479"/>
      <c r="J41" s="479"/>
      <c r="K41" s="136"/>
      <c r="L41" s="8"/>
      <c r="M41" s="8"/>
    </row>
    <row r="42" spans="1:13" s="17" customFormat="1" ht="33" customHeight="1">
      <c r="A42" s="829"/>
      <c r="B42" s="377"/>
      <c r="C42" s="4"/>
      <c r="D42" s="4"/>
      <c r="E42" s="298"/>
      <c r="F42" s="630"/>
      <c r="G42" s="16"/>
      <c r="H42" s="632"/>
      <c r="I42" s="630"/>
      <c r="J42" s="630"/>
      <c r="K42" s="125"/>
      <c r="L42" s="8"/>
      <c r="M42" s="8"/>
    </row>
    <row r="43" spans="1:13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3">
      <c r="A44" s="829"/>
      <c r="B44" s="377"/>
      <c r="C44" s="3"/>
      <c r="D44" s="3"/>
      <c r="E44" s="480"/>
      <c r="F44" s="480"/>
      <c r="G44" s="485"/>
      <c r="H44" s="479"/>
      <c r="I44" s="479"/>
      <c r="J44" s="479"/>
      <c r="K44" s="136"/>
      <c r="L44" s="481"/>
      <c r="M44" s="481"/>
    </row>
    <row r="45" spans="1:13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3">
      <c r="A46" s="829"/>
      <c r="B46" s="377"/>
      <c r="C46" s="4"/>
      <c r="D46" s="4"/>
      <c r="E46" s="298"/>
      <c r="F46" s="630"/>
      <c r="G46" s="16"/>
      <c r="H46" s="632"/>
      <c r="I46" s="830"/>
      <c r="J46" s="830"/>
      <c r="K46" s="125"/>
      <c r="L46" s="831"/>
      <c r="M46" s="696"/>
    </row>
    <row r="47" spans="1:13">
      <c r="A47" s="829"/>
      <c r="B47" s="377"/>
      <c r="C47" s="3"/>
      <c r="D47" s="3"/>
      <c r="E47" s="480"/>
      <c r="F47" s="479"/>
      <c r="G47" s="485"/>
      <c r="H47" s="479"/>
      <c r="I47" s="830"/>
      <c r="J47" s="830"/>
      <c r="K47" s="136"/>
      <c r="L47" s="831"/>
      <c r="M47" s="697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4" t="s">
        <v>53</v>
      </c>
      <c r="B26" s="855"/>
      <c r="C26" s="855"/>
      <c r="D26" s="855"/>
      <c r="E26" s="855"/>
      <c r="F26" s="855"/>
      <c r="G26" s="855"/>
      <c r="H26" s="855"/>
      <c r="I26" s="8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4" t="s">
        <v>53</v>
      </c>
      <c r="B35" s="855"/>
      <c r="C35" s="855"/>
      <c r="D35" s="855"/>
      <c r="E35" s="855"/>
      <c r="F35" s="855"/>
      <c r="G35" s="855"/>
      <c r="H35" s="855"/>
      <c r="I35" s="8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4" t="s">
        <v>53</v>
      </c>
      <c r="B42" s="855"/>
      <c r="C42" s="855"/>
      <c r="D42" s="855"/>
      <c r="E42" s="855"/>
      <c r="F42" s="855"/>
      <c r="G42" s="855"/>
      <c r="H42" s="855"/>
      <c r="I42" s="8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4" t="s">
        <v>53</v>
      </c>
      <c r="B48" s="855"/>
      <c r="C48" s="855"/>
      <c r="D48" s="855"/>
      <c r="E48" s="855"/>
      <c r="F48" s="855"/>
      <c r="G48" s="855"/>
      <c r="H48" s="855"/>
      <c r="I48" s="8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4" t="s">
        <v>53</v>
      </c>
      <c r="B54" s="855"/>
      <c r="C54" s="855"/>
      <c r="D54" s="855"/>
      <c r="E54" s="855"/>
      <c r="F54" s="855"/>
      <c r="G54" s="855"/>
      <c r="H54" s="855"/>
      <c r="I54" s="8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2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2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2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4" t="s">
        <v>53</v>
      </c>
      <c r="B64" s="855"/>
      <c r="C64" s="855"/>
      <c r="D64" s="855"/>
      <c r="E64" s="855"/>
      <c r="F64" s="855"/>
      <c r="G64" s="855"/>
      <c r="H64" s="855"/>
      <c r="I64" s="8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4" t="s">
        <v>53</v>
      </c>
      <c r="B70" s="855"/>
      <c r="C70" s="855"/>
      <c r="D70" s="855"/>
      <c r="E70" s="855"/>
      <c r="F70" s="855"/>
      <c r="G70" s="855"/>
      <c r="H70" s="855"/>
      <c r="I70" s="8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4" t="s">
        <v>53</v>
      </c>
      <c r="B86" s="855"/>
      <c r="C86" s="855"/>
      <c r="D86" s="855"/>
      <c r="E86" s="855"/>
      <c r="F86" s="855"/>
      <c r="G86" s="855"/>
      <c r="H86" s="855"/>
      <c r="I86" s="8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4" t="s">
        <v>53</v>
      </c>
      <c r="B92" s="855"/>
      <c r="C92" s="855"/>
      <c r="D92" s="855"/>
      <c r="E92" s="855"/>
      <c r="F92" s="855"/>
      <c r="G92" s="855"/>
      <c r="H92" s="855"/>
      <c r="I92" s="8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4" t="s">
        <v>53</v>
      </c>
      <c r="B101" s="855"/>
      <c r="C101" s="855"/>
      <c r="D101" s="855"/>
      <c r="E101" s="855"/>
      <c r="F101" s="855"/>
      <c r="G101" s="855"/>
      <c r="H101" s="855"/>
      <c r="I101" s="8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2"/>
      <c r="B107" s="88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2"/>
      <c r="B108" s="88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9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4" t="s">
        <v>90</v>
      </c>
      <c r="J129" s="872">
        <v>2</v>
      </c>
      <c r="K129" s="25" t="s">
        <v>52</v>
      </c>
      <c r="L129" s="25" t="s">
        <v>51</v>
      </c>
    </row>
    <row r="130" spans="1:12">
      <c r="A130" s="679"/>
      <c r="B130" s="89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4"/>
      <c r="J130" s="873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2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3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9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9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4" t="s">
        <v>53</v>
      </c>
      <c r="B244" s="855"/>
      <c r="C244" s="855"/>
      <c r="D244" s="855"/>
      <c r="E244" s="855"/>
      <c r="F244" s="855"/>
      <c r="G244" s="855"/>
      <c r="H244" s="855"/>
      <c r="I244" s="8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4" t="s">
        <v>53</v>
      </c>
      <c r="B250" s="855"/>
      <c r="C250" s="855"/>
      <c r="D250" s="855"/>
      <c r="E250" s="855"/>
      <c r="F250" s="855"/>
      <c r="G250" s="855"/>
      <c r="H250" s="855"/>
      <c r="I250" s="8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4" t="s">
        <v>53</v>
      </c>
      <c r="B257" s="855"/>
      <c r="C257" s="855"/>
      <c r="D257" s="855"/>
      <c r="E257" s="855"/>
      <c r="F257" s="855"/>
      <c r="G257" s="855"/>
      <c r="H257" s="855"/>
      <c r="I257" s="85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4" t="s">
        <v>53</v>
      </c>
      <c r="B262" s="855"/>
      <c r="C262" s="855"/>
      <c r="D262" s="855"/>
      <c r="E262" s="855"/>
      <c r="F262" s="855"/>
      <c r="G262" s="855"/>
      <c r="H262" s="855"/>
      <c r="I262" s="85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5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4" t="s">
        <v>53</v>
      </c>
      <c r="B271" s="855"/>
      <c r="C271" s="855"/>
      <c r="D271" s="855"/>
      <c r="E271" s="855"/>
      <c r="F271" s="855"/>
      <c r="G271" s="855"/>
      <c r="H271" s="855"/>
      <c r="I271" s="85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4" t="s">
        <v>53</v>
      </c>
      <c r="B275" s="855"/>
      <c r="C275" s="855"/>
      <c r="D275" s="855"/>
      <c r="E275" s="855"/>
      <c r="F275" s="855"/>
      <c r="G275" s="855"/>
      <c r="H275" s="855"/>
      <c r="I275" s="856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4" t="s">
        <v>1650</v>
      </c>
      <c r="B296" s="855"/>
      <c r="C296" s="855"/>
      <c r="D296" s="855"/>
      <c r="E296" s="855"/>
      <c r="F296" s="855"/>
      <c r="G296" s="855"/>
      <c r="H296" s="855"/>
      <c r="I296" s="855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4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7">
        <v>4266</v>
      </c>
      <c r="G343" s="795" t="s">
        <v>640</v>
      </c>
      <c r="H343" s="897" t="s">
        <v>1533</v>
      </c>
      <c r="I343" s="795" t="s">
        <v>1534</v>
      </c>
      <c r="J343" s="665">
        <v>2</v>
      </c>
      <c r="K343" s="851" t="s">
        <v>50</v>
      </c>
      <c r="L343" s="851" t="s">
        <v>51</v>
      </c>
    </row>
    <row r="344" spans="1:14">
      <c r="A344" s="895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3"/>
      <c r="L344" s="853"/>
    </row>
    <row r="345" spans="1:14">
      <c r="A345" s="895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51" t="s">
        <v>50</v>
      </c>
      <c r="L345" s="851" t="s">
        <v>51</v>
      </c>
    </row>
    <row r="346" spans="1:14">
      <c r="A346" s="896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3"/>
      <c r="L346" s="853"/>
    </row>
    <row r="347" spans="1:14">
      <c r="A347" s="854" t="s">
        <v>53</v>
      </c>
      <c r="B347" s="855"/>
      <c r="C347" s="855"/>
      <c r="D347" s="855"/>
      <c r="E347" s="855"/>
      <c r="F347" s="855"/>
      <c r="G347" s="855"/>
      <c r="H347" s="855"/>
      <c r="I347" s="85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7" t="s">
        <v>1</v>
      </c>
      <c r="C381" s="877" t="s">
        <v>2</v>
      </c>
      <c r="D381" s="877" t="s">
        <v>3</v>
      </c>
      <c r="E381" s="36" t="s">
        <v>54</v>
      </c>
      <c r="F381" s="877" t="s">
        <v>5</v>
      </c>
      <c r="G381" s="877" t="s">
        <v>6</v>
      </c>
      <c r="H381" s="877" t="s">
        <v>7</v>
      </c>
      <c r="I381" s="877" t="s">
        <v>55</v>
      </c>
      <c r="J381" s="877" t="s">
        <v>9</v>
      </c>
      <c r="K381" s="879" t="s">
        <v>56</v>
      </c>
      <c r="L381" s="877" t="s">
        <v>57</v>
      </c>
    </row>
    <row r="382" spans="1:13">
      <c r="B382" s="878"/>
      <c r="C382" s="878"/>
      <c r="D382" s="878"/>
      <c r="E382" s="37" t="s">
        <v>59</v>
      </c>
      <c r="F382" s="878"/>
      <c r="G382" s="878"/>
      <c r="H382" s="878"/>
      <c r="I382" s="878"/>
      <c r="J382" s="878"/>
      <c r="K382" s="880"/>
      <c r="L382" s="878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9" t="s">
        <v>229</v>
      </c>
      <c r="B405" s="862" t="s">
        <v>1809</v>
      </c>
      <c r="C405" s="862" t="s">
        <v>700</v>
      </c>
      <c r="D405" s="858" t="s">
        <v>675</v>
      </c>
      <c r="E405" s="862" t="s">
        <v>1810</v>
      </c>
      <c r="F405" s="862" t="s">
        <v>1811</v>
      </c>
      <c r="G405" s="862" t="s">
        <v>662</v>
      </c>
      <c r="H405" s="863" t="s">
        <v>1812</v>
      </c>
      <c r="I405" s="858"/>
      <c r="J405" s="863">
        <v>1</v>
      </c>
      <c r="K405" s="851" t="s">
        <v>631</v>
      </c>
      <c r="L405" s="672" t="s">
        <v>51</v>
      </c>
      <c r="M405">
        <v>19</v>
      </c>
    </row>
    <row r="406" spans="1:13" ht="13.5" customHeight="1">
      <c r="A406" s="869"/>
      <c r="B406" s="862"/>
      <c r="C406" s="862"/>
      <c r="D406" s="858"/>
      <c r="E406" s="862"/>
      <c r="F406" s="862"/>
      <c r="G406" s="862"/>
      <c r="H406" s="863"/>
      <c r="I406" s="858"/>
      <c r="J406" s="863"/>
      <c r="K406" s="853"/>
      <c r="L406" s="674"/>
      <c r="M406">
        <v>18</v>
      </c>
    </row>
    <row r="407" spans="1:13" ht="27" customHeight="1">
      <c r="A407" s="869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9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9" t="s">
        <v>1650</v>
      </c>
      <c r="B409" s="869"/>
      <c r="C409" s="869"/>
      <c r="D409" s="869"/>
      <c r="E409" s="869"/>
      <c r="F409" s="869"/>
      <c r="G409" s="869"/>
      <c r="H409" s="869"/>
      <c r="I409" s="86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9" t="s">
        <v>2012</v>
      </c>
      <c r="B412" s="874" t="s">
        <v>2013</v>
      </c>
      <c r="C412" s="851" t="s">
        <v>21</v>
      </c>
      <c r="D412" s="752" t="s">
        <v>14</v>
      </c>
      <c r="E412" s="851" t="s">
        <v>78</v>
      </c>
      <c r="F412" s="862" t="s">
        <v>2014</v>
      </c>
      <c r="G412" s="862" t="s">
        <v>40</v>
      </c>
      <c r="H412" s="863" t="s">
        <v>614</v>
      </c>
      <c r="I412" s="858"/>
      <c r="J412" s="863">
        <v>1</v>
      </c>
      <c r="K412" s="851" t="s">
        <v>2015</v>
      </c>
      <c r="L412" s="672" t="s">
        <v>2001</v>
      </c>
      <c r="M412">
        <v>19</v>
      </c>
    </row>
    <row r="413" spans="1:13" ht="20.100000000000001" customHeight="1">
      <c r="A413" s="869"/>
      <c r="B413" s="862"/>
      <c r="C413" s="853"/>
      <c r="D413" s="754"/>
      <c r="E413" s="853"/>
      <c r="F413" s="862"/>
      <c r="G413" s="862"/>
      <c r="H413" s="863"/>
      <c r="I413" s="858"/>
      <c r="J413" s="863"/>
      <c r="K413" s="853"/>
      <c r="L413" s="674"/>
      <c r="M413">
        <v>18</v>
      </c>
    </row>
    <row r="414" spans="1:13" ht="20.100000000000001" customHeight="1">
      <c r="A414" s="869" t="s">
        <v>1650</v>
      </c>
      <c r="B414" s="869"/>
      <c r="C414" s="869"/>
      <c r="D414" s="869"/>
      <c r="E414" s="869"/>
      <c r="F414" s="869"/>
      <c r="G414" s="869"/>
      <c r="H414" s="869"/>
      <c r="I414" s="86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8" t="s">
        <v>306</v>
      </c>
      <c r="D418" s="858" t="s">
        <v>322</v>
      </c>
      <c r="E418" s="858" t="s">
        <v>307</v>
      </c>
      <c r="F418" s="863">
        <v>3306</v>
      </c>
      <c r="G418" s="858" t="s">
        <v>1153</v>
      </c>
      <c r="H418" s="863" t="s">
        <v>1753</v>
      </c>
      <c r="I418" s="858" t="s">
        <v>664</v>
      </c>
      <c r="J418" s="858">
        <v>4</v>
      </c>
      <c r="K418" s="851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8"/>
      <c r="D419" s="858"/>
      <c r="E419" s="858"/>
      <c r="F419" s="863"/>
      <c r="G419" s="858"/>
      <c r="H419" s="863"/>
      <c r="I419" s="858"/>
      <c r="J419" s="858"/>
      <c r="K419" s="853"/>
      <c r="L419" s="674"/>
    </row>
    <row r="420" spans="1:13" ht="13.5" customHeight="1">
      <c r="A420" s="673"/>
      <c r="B420" s="78" t="s">
        <v>1804</v>
      </c>
      <c r="C420" s="858" t="s">
        <v>306</v>
      </c>
      <c r="D420" s="858" t="s">
        <v>322</v>
      </c>
      <c r="E420" s="858" t="s">
        <v>307</v>
      </c>
      <c r="F420" s="863" t="s">
        <v>1805</v>
      </c>
      <c r="G420" s="858" t="s">
        <v>1806</v>
      </c>
      <c r="H420" s="863" t="s">
        <v>1807</v>
      </c>
      <c r="I420" s="858" t="s">
        <v>664</v>
      </c>
      <c r="J420" s="858">
        <v>5</v>
      </c>
      <c r="K420" s="851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8"/>
      <c r="D421" s="858"/>
      <c r="E421" s="858"/>
      <c r="F421" s="863"/>
      <c r="G421" s="858"/>
      <c r="H421" s="863"/>
      <c r="I421" s="858"/>
      <c r="J421" s="858"/>
      <c r="K421" s="853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9" t="s">
        <v>1650</v>
      </c>
      <c r="B423" s="869"/>
      <c r="C423" s="869"/>
      <c r="D423" s="869"/>
      <c r="E423" s="869"/>
      <c r="F423" s="869"/>
      <c r="G423" s="869"/>
      <c r="H423" s="869"/>
      <c r="I423" s="86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4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5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5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5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70" t="s">
        <v>1765</v>
      </c>
      <c r="G438" s="757" t="s">
        <v>329</v>
      </c>
      <c r="H438" s="872" t="s">
        <v>1766</v>
      </c>
      <c r="I438" s="740" t="s">
        <v>664</v>
      </c>
      <c r="J438" s="867">
        <v>2</v>
      </c>
      <c r="K438" s="851" t="s">
        <v>2000</v>
      </c>
      <c r="L438" s="851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71"/>
      <c r="G439" s="758"/>
      <c r="H439" s="873"/>
      <c r="I439" s="741"/>
      <c r="J439" s="868"/>
      <c r="K439" s="853"/>
      <c r="L439" s="853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51" t="s">
        <v>631</v>
      </c>
      <c r="L440" s="851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3"/>
      <c r="L441" s="853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4" t="s">
        <v>1650</v>
      </c>
      <c r="B450" s="855"/>
      <c r="C450" s="855"/>
      <c r="D450" s="855"/>
      <c r="E450" s="855"/>
      <c r="F450" s="855"/>
      <c r="G450" s="855"/>
      <c r="H450" s="855"/>
      <c r="I450" s="855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4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5"/>
      <c r="B463" s="859" t="s">
        <v>1771</v>
      </c>
      <c r="C463" s="860" t="s">
        <v>311</v>
      </c>
      <c r="D463" s="860" t="s">
        <v>320</v>
      </c>
      <c r="E463" s="860" t="s">
        <v>709</v>
      </c>
      <c r="F463" s="860" t="s">
        <v>1772</v>
      </c>
      <c r="G463" s="859" t="s">
        <v>1773</v>
      </c>
      <c r="H463" s="265" t="s">
        <v>1774</v>
      </c>
      <c r="I463" s="860"/>
      <c r="J463" s="860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5"/>
      <c r="B464" s="859"/>
      <c r="C464" s="860"/>
      <c r="D464" s="860"/>
      <c r="E464" s="860"/>
      <c r="F464" s="860"/>
      <c r="G464" s="859"/>
      <c r="H464" s="266" t="s">
        <v>1777</v>
      </c>
      <c r="I464" s="860"/>
      <c r="J464" s="860"/>
      <c r="K464" s="754"/>
      <c r="L464" s="785"/>
    </row>
    <row r="465" spans="1:13" ht="13.5" customHeight="1">
      <c r="A465" s="865"/>
      <c r="B465" s="861" t="s">
        <v>1817</v>
      </c>
      <c r="C465" s="862" t="s">
        <v>700</v>
      </c>
      <c r="D465" s="858" t="s">
        <v>320</v>
      </c>
      <c r="E465" s="858" t="s">
        <v>337</v>
      </c>
      <c r="F465" s="862" t="s">
        <v>353</v>
      </c>
      <c r="G465" s="862" t="s">
        <v>1818</v>
      </c>
      <c r="H465" s="863" t="s">
        <v>1819</v>
      </c>
      <c r="I465" s="858" t="s">
        <v>638</v>
      </c>
      <c r="J465" s="863">
        <v>2</v>
      </c>
      <c r="K465" s="851" t="s">
        <v>631</v>
      </c>
      <c r="L465" s="851" t="s">
        <v>51</v>
      </c>
      <c r="M465">
        <v>19</v>
      </c>
    </row>
    <row r="466" spans="1:13" ht="13.5" customHeight="1">
      <c r="A466" s="865"/>
      <c r="B466" s="861"/>
      <c r="C466" s="862"/>
      <c r="D466" s="858"/>
      <c r="E466" s="858"/>
      <c r="F466" s="862"/>
      <c r="G466" s="862"/>
      <c r="H466" s="863"/>
      <c r="I466" s="858"/>
      <c r="J466" s="863"/>
      <c r="K466" s="853"/>
      <c r="L466" s="853"/>
    </row>
    <row r="467" spans="1:13" ht="27" customHeight="1">
      <c r="A467" s="865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5"/>
      <c r="B468" s="862" t="s">
        <v>1824</v>
      </c>
      <c r="C468" s="862" t="s">
        <v>700</v>
      </c>
      <c r="D468" s="858" t="s">
        <v>320</v>
      </c>
      <c r="E468" s="858" t="s">
        <v>709</v>
      </c>
      <c r="F468" s="858" t="s">
        <v>1772</v>
      </c>
      <c r="G468" s="862" t="s">
        <v>1825</v>
      </c>
      <c r="H468" s="268" t="s">
        <v>1826</v>
      </c>
      <c r="I468" s="858" t="s">
        <v>638</v>
      </c>
      <c r="J468" s="858">
        <v>2</v>
      </c>
      <c r="K468" s="851" t="s">
        <v>631</v>
      </c>
      <c r="L468" s="851" t="s">
        <v>51</v>
      </c>
      <c r="M468">
        <v>19</v>
      </c>
    </row>
    <row r="469" spans="1:13" ht="13.5" customHeight="1">
      <c r="A469" s="865"/>
      <c r="B469" s="862"/>
      <c r="C469" s="862"/>
      <c r="D469" s="858"/>
      <c r="E469" s="858"/>
      <c r="F469" s="858"/>
      <c r="G469" s="862"/>
      <c r="H469" s="269" t="s">
        <v>1827</v>
      </c>
      <c r="I469" s="858"/>
      <c r="J469" s="858"/>
      <c r="K469" s="853"/>
      <c r="L469" s="853"/>
    </row>
    <row r="470" spans="1:13" ht="27" customHeight="1">
      <c r="A470" s="865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6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9" t="s">
        <v>1771</v>
      </c>
      <c r="C476" s="860" t="s">
        <v>311</v>
      </c>
      <c r="D476" s="860" t="s">
        <v>320</v>
      </c>
      <c r="E476" s="860" t="s">
        <v>709</v>
      </c>
      <c r="F476" s="860" t="s">
        <v>1772</v>
      </c>
      <c r="G476" s="859" t="s">
        <v>1773</v>
      </c>
      <c r="H476" s="265" t="s">
        <v>1774</v>
      </c>
      <c r="I476" s="860"/>
      <c r="J476" s="860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9"/>
      <c r="C477" s="860"/>
      <c r="D477" s="860"/>
      <c r="E477" s="860"/>
      <c r="F477" s="860"/>
      <c r="G477" s="859"/>
      <c r="H477" s="266" t="s">
        <v>1777</v>
      </c>
      <c r="I477" s="860"/>
      <c r="J477" s="860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4" t="s">
        <v>53</v>
      </c>
      <c r="B487" s="855"/>
      <c r="C487" s="855"/>
      <c r="D487" s="855"/>
      <c r="E487" s="855"/>
      <c r="F487" s="855"/>
      <c r="G487" s="855"/>
      <c r="H487" s="855"/>
      <c r="I487" s="85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9"/>
      <c r="B494" s="850" t="s">
        <v>2186</v>
      </c>
      <c r="C494" s="850" t="s">
        <v>306</v>
      </c>
      <c r="D494" s="850" t="s">
        <v>322</v>
      </c>
      <c r="E494" s="850" t="s">
        <v>307</v>
      </c>
      <c r="F494" s="857" t="s">
        <v>1923</v>
      </c>
      <c r="G494" s="850" t="s">
        <v>662</v>
      </c>
      <c r="H494" s="857" t="s">
        <v>1924</v>
      </c>
      <c r="I494" s="850" t="s">
        <v>349</v>
      </c>
      <c r="J494" s="850">
        <v>2</v>
      </c>
      <c r="K494" s="862" t="s">
        <v>50</v>
      </c>
      <c r="L494" s="229">
        <v>23</v>
      </c>
    </row>
    <row r="495" spans="1:13" ht="12.6" customHeight="1">
      <c r="A495" s="849"/>
      <c r="B495" s="850"/>
      <c r="C495" s="850"/>
      <c r="D495" s="850"/>
      <c r="E495" s="850"/>
      <c r="F495" s="857"/>
      <c r="G495" s="850"/>
      <c r="H495" s="857"/>
      <c r="I495" s="850"/>
      <c r="J495" s="850"/>
      <c r="K495" s="862"/>
    </row>
    <row r="496" spans="1:13" ht="24.95" customHeight="1">
      <c r="A496" s="84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4" t="s">
        <v>2242</v>
      </c>
      <c r="B540" s="855"/>
      <c r="C540" s="855"/>
      <c r="D540" s="855"/>
      <c r="E540" s="855"/>
      <c r="F540" s="855"/>
      <c r="G540" s="855"/>
      <c r="H540" s="855"/>
      <c r="I540" s="85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9" t="s">
        <v>2237</v>
      </c>
      <c r="B546" s="869"/>
      <c r="C546" s="869"/>
      <c r="D546" s="869"/>
      <c r="E546" s="869"/>
      <c r="F546" s="869"/>
      <c r="G546" s="869"/>
      <c r="H546" s="869"/>
      <c r="I546" s="869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7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7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7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7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7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7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7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7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7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7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7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8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7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7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7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7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7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7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7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7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7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7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2" t="s">
        <v>5362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5365</v>
      </c>
      <c r="L633" s="595">
        <v>1250000</v>
      </c>
    </row>
    <row r="634" spans="1:12">
      <c r="A634" s="84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5366</v>
      </c>
      <c r="L634" s="595">
        <v>750000</v>
      </c>
    </row>
    <row r="635" spans="1:12">
      <c r="A635" s="84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5374</v>
      </c>
      <c r="I635" s="614" t="s">
        <v>664</v>
      </c>
      <c r="J635" s="614" t="s">
        <v>3105</v>
      </c>
      <c r="K635" s="614" t="s">
        <v>5367</v>
      </c>
      <c r="L635" s="595">
        <v>500000</v>
      </c>
    </row>
    <row r="636" spans="1:12">
      <c r="A636" s="84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5373</v>
      </c>
      <c r="I636" s="614" t="s">
        <v>664</v>
      </c>
      <c r="J636" s="614" t="s">
        <v>5364</v>
      </c>
      <c r="K636" s="614" t="s">
        <v>5367</v>
      </c>
      <c r="L636" s="595">
        <v>1000000</v>
      </c>
    </row>
    <row r="637" spans="1:12">
      <c r="A637" s="84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5367</v>
      </c>
      <c r="L637" s="595">
        <v>500000</v>
      </c>
    </row>
    <row r="638" spans="1:12" ht="22.5">
      <c r="A638" s="84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5376</v>
      </c>
      <c r="I638" s="614" t="s">
        <v>664</v>
      </c>
      <c r="J638" s="614" t="s">
        <v>3105</v>
      </c>
      <c r="K638" s="614" t="s">
        <v>5367</v>
      </c>
      <c r="L638" s="595">
        <v>500000</v>
      </c>
    </row>
    <row r="639" spans="1:12">
      <c r="A639" s="84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5375</v>
      </c>
      <c r="I640" s="614" t="s">
        <v>664</v>
      </c>
      <c r="J640" s="614" t="s">
        <v>3186</v>
      </c>
      <c r="K640" s="614" t="s">
        <v>5368</v>
      </c>
      <c r="L640" s="595">
        <v>1250000</v>
      </c>
    </row>
    <row r="641" spans="1:12">
      <c r="A641" s="84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5369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5377</v>
      </c>
      <c r="I642" s="614" t="s">
        <v>664</v>
      </c>
      <c r="J642" s="614" t="s">
        <v>2842</v>
      </c>
      <c r="K642" s="614" t="s">
        <v>5367</v>
      </c>
      <c r="L642" s="597">
        <v>500000</v>
      </c>
    </row>
    <row r="643" spans="1:12">
      <c r="A643" s="84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5366</v>
      </c>
      <c r="L643" s="597">
        <v>1250000</v>
      </c>
    </row>
    <row r="644" spans="1:12">
      <c r="A644" s="842"/>
      <c r="B644" s="613" t="s">
        <v>5370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5372</v>
      </c>
      <c r="I644" s="613" t="s">
        <v>1111</v>
      </c>
      <c r="J644" s="613" t="s">
        <v>5371</v>
      </c>
      <c r="K644" s="614" t="s">
        <v>52</v>
      </c>
      <c r="L644" s="587">
        <v>500000</v>
      </c>
    </row>
    <row r="645" spans="1:12">
      <c r="A645" s="84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5365</v>
      </c>
      <c r="L645" s="599">
        <v>250000</v>
      </c>
    </row>
    <row r="646" spans="1:12" ht="22.5">
      <c r="A646" s="84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5378</v>
      </c>
      <c r="I646" s="614" t="s">
        <v>168</v>
      </c>
      <c r="J646" s="614" t="s">
        <v>5363</v>
      </c>
      <c r="K646" s="614" t="s">
        <v>5367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5367</v>
      </c>
    </row>
    <row r="650" spans="1:12">
      <c r="A650" s="84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5367</v>
      </c>
    </row>
    <row r="651" spans="1:12">
      <c r="A651" s="84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5367</v>
      </c>
    </row>
    <row r="652" spans="1:12">
      <c r="A652" s="84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5367</v>
      </c>
    </row>
    <row r="653" spans="1:12">
      <c r="A653" s="84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5367</v>
      </c>
    </row>
    <row r="654" spans="1:12">
      <c r="A654" s="84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5367</v>
      </c>
    </row>
    <row r="655" spans="1:12">
      <c r="A655" s="846" t="s">
        <v>1650</v>
      </c>
      <c r="B655" s="846"/>
      <c r="C655" s="846"/>
      <c r="D655" s="846"/>
      <c r="E655" s="846"/>
      <c r="F655" s="846"/>
      <c r="G655" s="846"/>
      <c r="H655" s="846"/>
      <c r="I655" s="84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5367</v>
      </c>
    </row>
    <row r="661" spans="1:11">
      <c r="A661" s="84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5382</v>
      </c>
      <c r="I661" s="613" t="s">
        <v>638</v>
      </c>
      <c r="J661" s="613">
        <v>1</v>
      </c>
      <c r="K661" s="614" t="s">
        <v>5367</v>
      </c>
    </row>
    <row r="662" spans="1:11" ht="22.5">
      <c r="A662" s="84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5379</v>
      </c>
      <c r="I662" s="613" t="s">
        <v>638</v>
      </c>
      <c r="J662" s="613">
        <v>2</v>
      </c>
      <c r="K662" s="614" t="s">
        <v>5367</v>
      </c>
    </row>
    <row r="663" spans="1:11">
      <c r="A663" s="84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5380</v>
      </c>
      <c r="I663" s="613"/>
      <c r="J663" s="613">
        <v>2</v>
      </c>
      <c r="K663" s="614" t="s">
        <v>5367</v>
      </c>
    </row>
    <row r="664" spans="1:11">
      <c r="A664" s="84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5367</v>
      </c>
    </row>
    <row r="665" spans="1:11">
      <c r="A665" s="84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5383</v>
      </c>
      <c r="I665" s="613"/>
      <c r="J665" s="613">
        <v>1</v>
      </c>
      <c r="K665" s="614" t="s">
        <v>5367</v>
      </c>
    </row>
    <row r="666" spans="1:11">
      <c r="A666" s="84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5384</v>
      </c>
      <c r="I666" s="613"/>
      <c r="J666" s="613">
        <v>2</v>
      </c>
      <c r="K666" s="614" t="s">
        <v>5367</v>
      </c>
    </row>
    <row r="667" spans="1:11" ht="33.75">
      <c r="A667" s="84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5385</v>
      </c>
      <c r="I667" s="613"/>
      <c r="J667" s="613">
        <v>2</v>
      </c>
      <c r="K667" s="614" t="s">
        <v>5367</v>
      </c>
    </row>
    <row r="668" spans="1:11">
      <c r="A668" s="846"/>
      <c r="B668" s="613" t="s">
        <v>5386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5387</v>
      </c>
      <c r="I668" s="613" t="s">
        <v>638</v>
      </c>
      <c r="J668" s="613">
        <v>2</v>
      </c>
      <c r="K668" s="614" t="s">
        <v>5367</v>
      </c>
    </row>
    <row r="669" spans="1:11">
      <c r="A669" s="84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5381</v>
      </c>
      <c r="I669" s="613" t="s">
        <v>638</v>
      </c>
      <c r="J669" s="613">
        <v>1</v>
      </c>
      <c r="K669" s="614" t="s">
        <v>5367</v>
      </c>
    </row>
    <row r="670" spans="1:11">
      <c r="A670" s="84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5388</v>
      </c>
      <c r="I670" s="613" t="s">
        <v>638</v>
      </c>
      <c r="J670" s="613">
        <v>1</v>
      </c>
      <c r="K670" s="614" t="s">
        <v>5367</v>
      </c>
    </row>
    <row r="671" spans="1:11">
      <c r="A671" s="84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5389</v>
      </c>
      <c r="I671" s="613"/>
      <c r="J671" s="613">
        <v>2</v>
      </c>
      <c r="K671" s="614" t="s">
        <v>5367</v>
      </c>
    </row>
    <row r="672" spans="1:11">
      <c r="A672" s="84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5367</v>
      </c>
    </row>
    <row r="673" spans="1:11" ht="56.25">
      <c r="A673" s="84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5390</v>
      </c>
      <c r="I673" s="613" t="s">
        <v>638</v>
      </c>
      <c r="J673" s="613">
        <v>1</v>
      </c>
      <c r="K673" s="614" t="s">
        <v>5367</v>
      </c>
    </row>
    <row r="674" spans="1:11">
      <c r="A674" s="846" t="s">
        <v>1650</v>
      </c>
      <c r="B674" s="846"/>
      <c r="C674" s="846"/>
      <c r="D674" s="846"/>
      <c r="E674" s="846"/>
      <c r="F674" s="846"/>
      <c r="G674" s="846"/>
      <c r="H674" s="846"/>
      <c r="I674" s="84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5367</v>
      </c>
    </row>
    <row r="678" spans="1:11">
      <c r="A678" s="846"/>
      <c r="B678" s="613" t="s">
        <v>5391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5392</v>
      </c>
      <c r="I678" s="613" t="s">
        <v>1111</v>
      </c>
      <c r="J678" s="613">
        <v>1</v>
      </c>
      <c r="K678" s="614" t="s">
        <v>5367</v>
      </c>
    </row>
    <row r="679" spans="1:11">
      <c r="A679" s="84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5360</v>
      </c>
      <c r="I679" s="614" t="s">
        <v>1259</v>
      </c>
      <c r="J679" s="614">
        <v>2</v>
      </c>
      <c r="K679" s="614" t="s">
        <v>5367</v>
      </c>
    </row>
    <row r="680" spans="1:11">
      <c r="A680" s="84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5367</v>
      </c>
    </row>
    <row r="681" spans="1:11">
      <c r="A681" s="846" t="s">
        <v>1650</v>
      </c>
      <c r="B681" s="846"/>
      <c r="C681" s="846"/>
      <c r="D681" s="846"/>
      <c r="E681" s="846"/>
      <c r="F681" s="846"/>
      <c r="G681" s="846"/>
      <c r="H681" s="846"/>
      <c r="I681" s="84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5367</v>
      </c>
    </row>
    <row r="687" spans="1:11">
      <c r="A687" s="84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5367</v>
      </c>
    </row>
    <row r="688" spans="1:11">
      <c r="A688" s="841" t="s">
        <v>1650</v>
      </c>
      <c r="B688" s="841"/>
      <c r="C688" s="841"/>
      <c r="D688" s="841"/>
      <c r="E688" s="841"/>
      <c r="F688" s="841"/>
      <c r="G688" s="841"/>
      <c r="H688" s="841"/>
      <c r="I688" s="84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5367</v>
      </c>
    </row>
    <row r="693" spans="1:12">
      <c r="A693" s="84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5367</v>
      </c>
    </row>
    <row r="694" spans="1:12">
      <c r="A694" s="84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5367</v>
      </c>
    </row>
    <row r="695" spans="1:12">
      <c r="A695" s="84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5367</v>
      </c>
    </row>
    <row r="696" spans="1:12">
      <c r="A696" s="84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5367</v>
      </c>
    </row>
    <row r="697" spans="1:12">
      <c r="A697" s="84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5367</v>
      </c>
    </row>
    <row r="698" spans="1:12">
      <c r="A698" s="84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5367</v>
      </c>
      <c r="L698" s="626">
        <f>250000*7</f>
        <v>1750000</v>
      </c>
    </row>
    <row r="699" spans="1:12">
      <c r="A699" s="841" t="s">
        <v>1650</v>
      </c>
      <c r="B699" s="841"/>
      <c r="C699" s="841"/>
      <c r="D699" s="841"/>
      <c r="E699" s="841"/>
      <c r="F699" s="841"/>
      <c r="G699" s="841"/>
      <c r="H699" s="841"/>
      <c r="I699" s="841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5426</v>
      </c>
      <c r="D4" t="s">
        <v>5427</v>
      </c>
    </row>
    <row r="5" spans="2:13">
      <c r="B5" t="s">
        <v>5422</v>
      </c>
      <c r="C5" s="109">
        <v>160000</v>
      </c>
      <c r="D5" s="109"/>
    </row>
    <row r="6" spans="2:13">
      <c r="B6" t="s">
        <v>5423</v>
      </c>
      <c r="C6" s="109">
        <f>59500*2</f>
        <v>119000</v>
      </c>
      <c r="D6" s="109">
        <f>186000*2</f>
        <v>372000</v>
      </c>
      <c r="H6" t="s">
        <v>5442</v>
      </c>
    </row>
    <row r="7" spans="2:13">
      <c r="B7" t="s">
        <v>5424</v>
      </c>
      <c r="C7" s="109">
        <v>250000</v>
      </c>
      <c r="D7" s="109"/>
      <c r="H7" s="629" t="s">
        <v>162</v>
      </c>
      <c r="I7" s="629" t="s">
        <v>5431</v>
      </c>
      <c r="J7" s="629" t="s">
        <v>5432</v>
      </c>
      <c r="K7" s="629" t="s">
        <v>5438</v>
      </c>
      <c r="L7" s="629" t="s">
        <v>1458</v>
      </c>
      <c r="M7" s="629" t="s">
        <v>3324</v>
      </c>
    </row>
    <row r="8" spans="2:13">
      <c r="B8" t="s">
        <v>5425</v>
      </c>
      <c r="C8" s="109">
        <v>500000</v>
      </c>
      <c r="D8" s="109"/>
      <c r="H8" s="629" t="s">
        <v>5434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5447</v>
      </c>
    </row>
    <row r="9" spans="2:13">
      <c r="C9" s="109"/>
      <c r="D9" s="109"/>
      <c r="H9" s="629" t="s">
        <v>5435</v>
      </c>
      <c r="I9" s="381">
        <f>70000*2</f>
        <v>140000</v>
      </c>
      <c r="J9" s="381"/>
      <c r="K9" s="381"/>
      <c r="L9" s="381">
        <f>SUM(I9:J9)</f>
        <v>140000</v>
      </c>
      <c r="M9" s="629" t="s">
        <v>5446</v>
      </c>
    </row>
    <row r="10" spans="2:13">
      <c r="C10" s="109"/>
      <c r="D10" s="109"/>
      <c r="H10" s="629" t="s">
        <v>5428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5448</v>
      </c>
    </row>
    <row r="11" spans="2:13">
      <c r="C11" s="109"/>
      <c r="D11" s="109"/>
      <c r="H11" s="629" t="s">
        <v>5429</v>
      </c>
      <c r="I11" s="381">
        <v>550000</v>
      </c>
      <c r="J11" s="629"/>
      <c r="K11" s="637"/>
      <c r="L11" s="381">
        <f>SUM(I11:J11)</f>
        <v>550000</v>
      </c>
      <c r="M11" s="629" t="s">
        <v>5430</v>
      </c>
    </row>
    <row r="12" spans="2:13">
      <c r="C12" s="109"/>
      <c r="D12" s="109"/>
      <c r="H12" s="664" t="s">
        <v>5440</v>
      </c>
      <c r="I12" s="664"/>
      <c r="J12" s="664"/>
      <c r="K12" s="664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5443</v>
      </c>
    </row>
    <row r="15" spans="2:13">
      <c r="H15" s="629" t="s">
        <v>162</v>
      </c>
      <c r="I15" s="629" t="s">
        <v>5431</v>
      </c>
      <c r="J15" s="629" t="s">
        <v>5432</v>
      </c>
      <c r="K15" s="629" t="s">
        <v>5439</v>
      </c>
      <c r="L15" s="629" t="s">
        <v>1458</v>
      </c>
      <c r="M15" s="629" t="s">
        <v>3324</v>
      </c>
    </row>
    <row r="16" spans="2:13">
      <c r="H16" s="629" t="s">
        <v>5434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5433</v>
      </c>
    </row>
    <row r="17" spans="8:13">
      <c r="H17" s="629" t="s">
        <v>5436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5445</v>
      </c>
    </row>
    <row r="18" spans="8:13">
      <c r="H18" s="629" t="s">
        <v>5428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5437</v>
      </c>
    </row>
    <row r="19" spans="8:13">
      <c r="H19" s="629" t="s">
        <v>5429</v>
      </c>
      <c r="I19" s="381">
        <v>550000</v>
      </c>
      <c r="J19" s="629"/>
      <c r="K19" s="629"/>
      <c r="L19" s="381">
        <f>SUM(I19:J19)</f>
        <v>550000</v>
      </c>
      <c r="M19" s="629" t="s">
        <v>5430</v>
      </c>
    </row>
    <row r="20" spans="8:13">
      <c r="H20" s="664" t="s">
        <v>5441</v>
      </c>
      <c r="I20" s="664"/>
      <c r="J20" s="664"/>
      <c r="K20" s="664"/>
      <c r="L20" s="638">
        <f>SUM(L16:L19)</f>
        <v>3647500</v>
      </c>
    </row>
    <row r="22" spans="8:13">
      <c r="H22" s="639" t="s">
        <v>5444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2026-04-08T01:08:22Z</dcterms:modified>
</cp:coreProperties>
</file>