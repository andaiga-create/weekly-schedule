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8" i="2" l="1"/>
  <c r="M1395" i="2"/>
  <c r="M1394" i="2"/>
  <c r="M1388" i="2"/>
  <c r="M1387" i="2"/>
  <c r="M1386" i="2"/>
  <c r="M1385" i="2"/>
  <c r="C17" i="130"/>
  <c r="B17" i="130"/>
  <c r="L17" i="129"/>
  <c r="L16" i="129"/>
  <c r="L20" i="129"/>
  <c r="L8" i="129"/>
  <c r="L9" i="129"/>
  <c r="L7" i="129"/>
  <c r="L6" i="129" l="1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1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<sst xmlns="http://schemas.openxmlformats.org/spreadsheetml/2006/main" count="20453" uniqueCount="5603">
  <si>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</si>
  <si>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</si>
  <si>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</si>
  <si>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</si>
  <si>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</si>
  <si>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</si>
  <si>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</si>
  <si>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</si>
  <si>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</si>
  <si>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</si>
  <si>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</si>
  <si>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</si>
  <si>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</si>
  <si>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</si>
  <si>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</si>
  <si>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</si>
  <si>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</si>
  <si>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</si>
  <si>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</si>
  <si>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</si>
  <si>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</si>
  <si>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</si>
  <si>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</si>
  <si>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</si>
  <si>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</si>
  <si>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</si>
  <si>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</si>
  <si>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</si>
  <si>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</si>
  <si>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</si>
  <si>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</si>
  <si>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</si>
  <si>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</si>
  <si>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</si>
  <si>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</si>
  <si>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</si>
  <si>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</si>
  <si>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</si>
  <si>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</si>
  <si>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</si>
  <si>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</si>
  <si>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</si>
  <si>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</si>
  <si>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</si>
  <si>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</si>
  <si>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</si>
  <si>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</si>
  <si>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</si>
  <si>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</si>
  <si>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</si>
  <si>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</si>
  <si>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</si>
  <si>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</si>
  <si>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</si>
  <si>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</si>
  <si>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</si>
  <si>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</si>
  <si>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</si>
  <si>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</si>
  <si>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</si>
  <si>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</si>
  <si>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</si>
  <si>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</si>
  <si>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</si>
  <si>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</si>
  <si>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</si>
  <si>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</si>
  <si>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</si>
  <si>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</si>
  <si>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</si>
  <si>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</si>
  <si>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</si>
  <si>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</si>
  <si>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</si>
  <si>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</si>
  <si>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</si>
  <si>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</si>
  <si>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</si>
  <si>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</si>
  <si>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</si>
  <si>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</si>
  <si>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</si>
  <si>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</si>
  <si>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</si>
  <si>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</si>
  <si>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</si>
  <si>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</si>
  <si>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</si>
  <si>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</si>
  <si>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</si>
  <si>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</si>
  <si>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</si>
  <si>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</si>
  <si>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</si>
  <si>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</si>
  <si>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</si>
  <si>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</si>
  <si>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</si>
  <si>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</si>
  <si>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</si>
  <si>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</si>
  <si>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</si>
  <si>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</si>
  <si>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</si>
  <si>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</si>
  <si>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</si>
  <si>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</si>
  <si>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</si>
  <si>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</si>
  <si>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</si>
  <si>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</si>
  <si>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</si>
  <si>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</si>
  <si>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</si>
  <si>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</si>
  <si>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</si>
  <si>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</si>
  <si>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</si>
  <si>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</si>
  <si>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</si>
  <si>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</si>
  <si>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</si>
  <si>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</si>
  <si>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</si>
  <si>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</si>
  <si>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</si>
  <si>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</si>
  <si>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</si>
  <si>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</si>
  <si>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</si>
  <si>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</si>
  <si>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</si>
  <si>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</si>
  <si>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</si>
  <si>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</si>
  <si>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</si>
  <si>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</si>
  <si>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</si>
  <si>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</si>
  <si>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</si>
  <si>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</si>
  <si>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</si>
  <si>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</si>
  <si>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</si>
  <si>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</si>
  <si>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</si>
  <si>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</si>
  <si>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</si>
  <si>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</si>
  <si>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</si>
  <si>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</si>
  <si>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</si>
  <si>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</si>
  <si>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</si>
  <si>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</si>
  <si>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</si>
  <si>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</si>
  <si>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</si>
  <si>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</si>
  <si>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</si>
  <si>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</si>
  <si>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</si>
  <si>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</si>
  <si>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</si>
  <si>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</si>
  <si>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</si>
  <si>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</si>
  <si>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</si>
  <si>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</si>
  <si>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</si>
  <si>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</si>
  <si>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</si>
  <si>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</si>
  <si>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</si>
  <si>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</si>
  <si>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</si>
  <si>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</si>
  <si>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</si>
  <si>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</si>
  <si>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</si>
  <si>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</si>
  <si>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</si>
  <si>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</si>
  <si>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</si>
  <si>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</si>
  <si>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</si>
  <si>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</si>
  <si>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</si>
  <si>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</si>
  <si>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</si>
  <si>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</si>
  <si>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</si>
  <si>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</si>
  <si>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</si>
  <si>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</si>
  <si>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</si>
  <si>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</si>
  <si>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</si>
  <si>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</si>
  <si>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</si>
  <si>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</si>
  <si>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</si>
  <si>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</si>
  <si>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</si>
  <si>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</si>
  <si>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</si>
  <si>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</si>
  <si>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</si>
  <si>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</si>
  <si>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</si>
  <si>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</si>
  <si>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</si>
  <si>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</si>
  <si>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</si>
  <si>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</si>
  <si>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</si>
  <si>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</si>
  <si>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</si>
  <si>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</si>
  <si>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</si>
  <si>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</si>
  <si>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</si>
  <si>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</si>
  <si>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</si>
  <si>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</si>
  <si>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</si>
  <si>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</si>
  <si>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</si>
  <si>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</si>
  <si>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</si>
  <si>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</si>
  <si>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</si>
  <si>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</si>
  <si>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</si>
  <si>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</si>
  <si>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</si>
  <si>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</si>
  <si>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</si>
  <si>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</si>
  <si>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</si>
  <si>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</si>
  <si>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</si>
  <si>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</si>
  <si>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</si>
  <si>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</si>
  <si>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</si>
  <si>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</si>
  <si>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</si>
  <si>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</si>
  <si>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</si>
  <si>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</si>
  <si>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</si>
  <si>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</si>
  <si>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</si>
  <si>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</si>
  <si>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</si>
  <si>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</si>
  <si>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</si>
  <si>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</si>
  <si>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</si>
  <si>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</si>
  <si>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</si>
  <si>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</si>
  <si>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</si>
  <si>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</si>
  <si>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</si>
  <si>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</si>
  <si>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</si>
  <si>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</si>
  <si>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</si>
  <si>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</si>
  <si>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</si>
  <si>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</si>
  <si>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</si>
  <si>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</si>
  <si>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</si>
  <si>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</si>
  <si>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</si>
  <si>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</si>
  <si>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</si>
  <si>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</si>
  <si>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</si>
  <si>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</si>
  <si>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</si>
  <si>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</si>
  <si>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</si>
  <si>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</si>
  <si>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</si>
  <si>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</si>
  <si>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</si>
  <si>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</si>
  <si>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</si>
  <si>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</si>
  <si>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</si>
  <si>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</si>
  <si>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</si>
  <si>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</si>
  <si>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</si>
  <si>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</si>
  <si>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</si>
  <si>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</si>
  <si>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</si>
  <si>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</si>
  <si>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</si>
  <si>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</si>
  <si>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</si>
  <si>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</si>
  <si>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</si>
  <si>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</si>
  <si>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</si>
  <si>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</si>
  <si>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</si>
  <si>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</si>
  <si>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</si>
  <si>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</si>
  <si>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</si>
  <si>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</si>
  <si>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</si>
  <si>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</si>
  <si>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</si>
  <si>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</si>
  <si>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</si>
  <si>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</si>
  <si>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</si>
  <si>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</si>
  <si>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</si>
  <si>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</si>
  <si>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</si>
  <si>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</si>
  <si>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</si>
  <si>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</si>
  <si>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</si>
  <si>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</si>
  <si>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</si>
  <si>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</si>
  <si>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</si>
  <si>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</si>
  <si>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</si>
  <si>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</si>
  <si>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</si>
  <si>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</si>
  <si>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</si>
  <si>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</si>
  <si>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</si>
  <si>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</si>
  <si>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</si>
  <si>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</si>
  <si>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</si>
  <si>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</si>
  <si>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</si>
  <si>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</si>
  <si>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</si>
  <si>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</si>
  <si>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</si>
  <si>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</si>
  <si>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</si>
  <si>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</si>
  <si>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</si>
  <si>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</si>
  <si>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</si>
  <si>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</si>
  <si>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</si>
  <si>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</si>
  <si>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</si>
  <si>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</si>
  <si>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</si>
  <si>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</si>
  <si>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</si>
  <si>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</si>
  <si>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</si>
  <si>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</si>
  <si>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</si>
  <si>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</si>
  <si>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</si>
  <si>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</si>
  <si>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</si>
  <si>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</si>
  <si>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</si>
  <si>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</si>
  <si>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</si>
  <si>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</si>
  <si>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</si>
  <si>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</si>
  <si>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</si>
  <si>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</si>
  <si>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</si>
  <si>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</si>
  <si>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</si>
  <si>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</si>
  <si>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</si>
  <si>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</si>
  <si>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</si>
  <si>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</si>
  <si>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</si>
  <si>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</si>
  <si>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</si>
  <si>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</si>
  <si>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</si>
  <si>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</si>
  <si>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</si>
  <si>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</si>
  <si>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</si>
  <si>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</si>
  <si>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</si>
  <si>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</si>
  <si>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</si>
  <si>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</si>
  <si>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</si>
  <si>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</si>
  <si>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</si>
  <si>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</si>
  <si>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</si>
  <si>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</si>
  <si>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</si>
  <si>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</si>
  <si>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</si>
  <si>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</si>
  <si>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</si>
  <si>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</si>
  <si>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</si>
  <si>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</si>
  <si>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</si>
  <si>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</si>
  <si>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</si>
  <si>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</si>
  <si>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</si>
  <si>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</si>
  <si>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</si>
  <si>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</si>
  <si>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</si>
  <si>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</si>
  <si>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</si>
  <si>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</si>
  <si>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</si>
  <si>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</si>
  <si>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</si>
  <si>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</si>
  <si>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</si>
  <si>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</si>
  <si>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</si>
  <si>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</si>
  <si>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</si>
  <si>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</si>
  <si>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</si>
  <si>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</si>
  <si>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</si>
  <si>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</si>
  <si>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</si>
  <si>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</si>
  <si>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</si>
  <si>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</si>
  <si>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</si>
  <si>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</si>
  <si>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</si>
  <si>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</si>
  <si>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</si>
  <si>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</si>
  <si>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</si>
  <si>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</si>
  <si>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</si>
  <si>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</si>
  <si>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</si>
  <si>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</si>
  <si>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</si>
  <si>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</si>
  <si>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</si>
  <si>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</si>
  <si>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</si>
  <si>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</si>
  <si>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</si>
  <si>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</si>
  <si>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</si>
  <si>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</si>
  <si>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</si>
  <si>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</si>
  <si>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</si>
  <si>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</si>
  <si>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</si>
  <si>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</si>
  <si>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</si>
  <si>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</si>
  <si>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</si>
  <si>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</si>
  <si>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</si>
  <si>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</si>
  <si>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</si>
  <si>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</si>
  <si>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</si>
  <si>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</si>
  <si>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</si>
  <si>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</si>
  <si>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</si>
  <si>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</si>
  <si>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</si>
  <si>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</si>
  <si>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</si>
  <si>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</si>
  <si>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</si>
  <si>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</si>
  <si>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</si>
  <si>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</si>
  <si>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</si>
  <si>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</si>
  <si>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</si>
  <si>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</si>
  <si>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</si>
  <si>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</si>
  <si>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</si>
  <si>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</si>
  <si>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</si>
  <si>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</si>
  <si>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</si>
  <si>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</si>
  <si>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</si>
  <si>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</si>
  <si>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</si>
  <si>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</si>
  <si>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</si>
  <si>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</si>
  <si>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</si>
  <si>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</si>
  <si>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</si>
  <si>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</si>
  <si>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</si>
  <si>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</si>
  <si>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</si>
  <si>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</si>
  <si>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</si>
  <si>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</si>
  <si>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</si>
  <si>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</si>
  <si>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</si>
  <si>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</si>
  <si>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</si>
  <si>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</si>
  <si>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</si>
  <si>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</si>
  <si>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</si>
  <si>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</si>
  <si>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</si>
  <si>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</si>
  <si>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</si>
  <si>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</si>
  <si>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</si>
  <si>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</si>
  <si>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</si>
  <si>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</si>
  <si>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</si>
  <si>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</si>
  <si>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</si>
  <si>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</si>
  <si>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</si>
  <si>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</si>
  <si>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</si>
  <si>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</si>
  <si>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</si>
  <si>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</si>
  <si>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</si>
  <si>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</si>
  <si>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</si>
  <si>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</si>
  <si>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</si>
  <si>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</si>
  <si>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</si>
  <si>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</si>
  <si>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</si>
  <si>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</si>
  <si>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</si>
  <si>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</si>
  <si>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</si>
  <si>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</si>
  <si>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</si>
  <si>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</si>
  <si>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</si>
  <si>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</si>
  <si>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</si>
  <si>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</si>
  <si>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</si>
  <si>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</si>
  <si>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</si>
  <si>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</si>
  <si>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</si>
  <si>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</si>
  <si>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</si>
  <si>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</si>
  <si>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</si>
  <si>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</si>
  <si>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</si>
  <si>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</si>
  <si>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</si>
  <si>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</si>
  <si>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</si>
  <si>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</si>
  <si>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</si>
  <si>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</si>
  <si>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</si>
  <si>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</si>
  <si>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</si>
  <si>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</si>
  <si>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</si>
  <si>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</si>
  <si>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</si>
  <si>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</si>
  <si>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</si>
  <si>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</si>
  <si>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</si>
  <si>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</si>
  <si>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</si>
  <si>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</si>
  <si>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</si>
  <si>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</si>
  <si>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</si>
  <si>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</si>
  <si>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</si>
  <si>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</si>
  <si>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</si>
  <si>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</si>
  <si>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</si>
  <si>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</si>
  <si>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</si>
  <si>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</si>
  <si>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</si>
  <si>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</si>
  <si>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</si>
  <si>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</si>
  <si>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</si>
  <si>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</si>
  <si>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</si>
  <si>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</si>
  <si>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</si>
  <si>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</si>
  <si>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</si>
  <si>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</si>
  <si>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</si>
  <si>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</si>
  <si>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</si>
  <si>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</si>
  <si>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</si>
  <si>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</si>
  <si>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</si>
  <si>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</si>
  <si>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</si>
  <si>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</si>
  <si>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</si>
  <si>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</si>
  <si>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</si>
  <si>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</si>
  <si>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</si>
  <si>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</si>
  <si>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</si>
  <si>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</si>
  <si>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</si>
  <si>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</si>
  <si>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</si>
  <si>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</si>
  <si>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</si>
  <si>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</si>
  <si>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</si>
  <si>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</si>
  <si>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</si>
  <si>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</si>
  <si>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</si>
  <si>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</si>
  <si>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</si>
  <si>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</si>
  <si>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</si>
  <si>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</si>
  <si>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</si>
  <si>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</si>
  <si>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</si>
  <si>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</si>
  <si>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</si>
  <si>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</si>
  <si>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</si>
  <si>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</si>
  <si>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</si>
  <si>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</si>
  <si>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</si>
  <si>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</si>
  <si>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</si>
  <si>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</si>
  <si>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</si>
  <si>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</si>
  <si>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</si>
  <si>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</si>
  <si>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</si>
  <si>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</si>
  <si>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</si>
  <si>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</si>
  <si>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</si>
  <si>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</si>
  <si>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</si>
  <si>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</si>
  <si>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</si>
  <si>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</si>
  <si>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</si>
  <si>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</si>
  <si>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</si>
  <si>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</si>
  <si>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</si>
  <si>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</si>
  <si>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</si>
  <si>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</si>
  <si>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</si>
  <si>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</si>
  <si>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</si>
  <si>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</si>
  <si>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</si>
  <si>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</si>
  <si>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</si>
  <si>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</si>
  <si>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</si>
  <si>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</si>
  <si>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</si>
  <si>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</si>
  <si>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</si>
  <si>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</si>
  <si>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</si>
  <si>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</si>
  <si>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</si>
  <si>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</si>
  <si>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</si>
  <si>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</si>
  <si>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</si>
  <si>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</si>
  <si>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</si>
  <si>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</si>
  <si>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</si>
  <si>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</si>
  <si>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</si>
  <si>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</si>
  <si>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</si>
  <si>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</si>
  <si>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</si>
  <si>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</si>
  <si>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</si>
  <si>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</si>
  <si>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</si>
  <si>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</si>
  <si>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</si>
  <si>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</si>
  <si>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</si>
  <si>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</si>
  <si>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</si>
  <si>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</si>
  <si>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</si>
  <si>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</si>
  <si>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</si>
  <si>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</si>
  <si>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</si>
  <si>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</si>
  <si>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</si>
  <si>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</si>
  <si>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</si>
  <si>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</si>
  <si>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</si>
  <si>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</si>
  <si>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</si>
  <si>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</si>
  <si>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</si>
  <si>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</si>
  <si>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</si>
  <si>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</si>
  <si>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</si>
  <si>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</si>
  <si>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</si>
  <si>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</si>
  <si>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</si>
  <si>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</si>
  <si>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</si>
  <si>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</si>
  <si>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</si>
  <si>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</si>
  <si>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</si>
  <si>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</si>
  <si>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</si>
  <si>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</si>
  <si>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</si>
  <si>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</si>
  <si>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</si>
  <si>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</si>
  <si>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</si>
  <si>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</si>
  <si>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</si>
  <si>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</si>
  <si>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</si>
  <si>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</si>
  <si>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</si>
  <si>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</si>
  <si>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</si>
  <si>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</si>
  <si>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</si>
  <si>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</si>
  <si>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</si>
  <si>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</si>
  <si>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</si>
  <si>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</si>
  <si>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</si>
  <si>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</si>
  <si>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</si>
  <si>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</si>
  <si>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</si>
  <si>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</si>
  <si>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</si>
  <si>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</si>
  <si>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</si>
  <si>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</si>
  <si>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</si>
  <si>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</si>
  <si>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</si>
  <si>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</si>
  <si>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</si>
  <si>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</si>
  <si>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</si>
  <si>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</si>
  <si>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</si>
  <si>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</si>
  <si>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</si>
  <si>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</si>
  <si>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</si>
  <si>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</si>
  <si>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</si>
  <si>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</si>
  <si>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</si>
  <si>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</si>
  <si>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</si>
  <si>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</si>
  <si>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</si>
  <si>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</si>
  <si>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</si>
  <si>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</si>
  <si>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</si>
  <si>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</si>
  <si>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</si>
  <si>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</si>
  <si>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</si>
  <si>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</si>
  <si>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</si>
  <si>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</si>
  <si>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</si>
  <si>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</si>
  <si>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</si>
  <si>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</si>
  <si>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</si>
  <si>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</si>
  <si>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</si>
  <si>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</si>
  <si>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</si>
  <si>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</si>
  <si>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</si>
  <si>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</si>
  <si>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</si>
  <si>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</si>
  <si>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</si>
  <si>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</si>
  <si>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</si>
  <si>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</si>
  <si>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</si>
  <si>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</si>
  <si>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</si>
  <si>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</si>
  <si>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</si>
  <si>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</si>
  <si>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</si>
  <si>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</si>
  <si>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</si>
  <si>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</si>
  <si>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</si>
  <si>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</si>
  <si>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</si>
  <si>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</si>
  <si>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</si>
  <si>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</si>
  <si>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</si>
  <si>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</si>
  <si>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</si>
  <si>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</si>
  <si>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</si>
  <si>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</si>
  <si>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</si>
  <si>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</si>
  <si>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</si>
  <si>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</si>
  <si>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</si>
  <si>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</si>
  <si>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</si>
  <si>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</si>
  <si>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</si>
  <si>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</si>
  <si>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</si>
  <si>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</si>
  <si>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</si>
  <si>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</si>
  <si>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</si>
  <si>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</si>
  <si>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</si>
  <si>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</si>
  <si>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</si>
  <si>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</si>
  <si>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</si>
  <si>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</si>
  <si>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</si>
  <si>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</si>
  <si>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</si>
  <si>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</si>
  <si>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</si>
  <si>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</si>
  <si>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</si>
  <si>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</si>
  <si>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</si>
  <si>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</si>
  <si>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</si>
  <si>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</si>
  <si>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</si>
  <si>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</si>
  <si>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</si>
  <si>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</si>
  <si>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</si>
  <si>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</si>
  <si>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</si>
  <si>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</si>
  <si>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</si>
  <si>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</si>
  <si>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</si>
  <si>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</si>
  <si>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</si>
  <si>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</si>
  <si>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</si>
  <si>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</si>
  <si>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</si>
  <si>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</si>
  <si>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</si>
  <si>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</si>
  <si>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</si>
  <si>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</si>
  <si>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</si>
  <si>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</si>
  <si>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</si>
  <si>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</si>
  <si>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</si>
  <si>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</si>
  <si>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</si>
  <si>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</si>
  <si>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</si>
  <si>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</si>
  <si>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</si>
  <si>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</si>
  <si>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</si>
  <si>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</si>
  <si>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</si>
  <si>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</si>
  <si>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</si>
  <si>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</si>
  <si>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</si>
  <si>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</si>
  <si>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</si>
  <si>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</si>
  <si>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</si>
  <si>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</si>
  <si>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</si>
  <si>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</si>
  <si>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</si>
  <si>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</si>
  <si>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</si>
  <si>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</si>
  <si>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</si>
  <si>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</si>
  <si>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</si>
  <si>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</si>
  <si>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</si>
  <si>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</si>
  <si>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</si>
  <si>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</si>
  <si>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</si>
  <si>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</si>
  <si>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</si>
  <si>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</si>
  <si>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</si>
  <si>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</si>
  <si>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</si>
  <si>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</si>
  <si>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</si>
  <si>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</si>
  <si>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</si>
  <si>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</si>
  <si>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</si>
  <si>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</si>
  <si>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</si>
  <si>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</si>
  <si>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</si>
  <si>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</si>
  <si>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</si>
  <si>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</si>
  <si>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</si>
  <si>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</si>
  <si>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</si>
  <si>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</si>
  <si>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</si>
  <si>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</si>
  <si>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</si>
  <si>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</si>
  <si>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</si>
  <si>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</si>
  <si>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</si>
  <si>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</si>
  <si>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</si>
  <si>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</si>
  <si>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</si>
  <si>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</si>
  <si>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</si>
  <si>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</si>
  <si>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</si>
  <si>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</si>
  <si>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</si>
  <si>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</si>
  <si>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</si>
  <si>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</si>
  <si>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</si>
  <si>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</si>
  <si>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</si>
  <si>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</si>
  <si>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</si>
  <si>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</si>
  <si>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</si>
  <si>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</si>
  <si>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</si>
  <si>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</si>
  <si>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</si>
  <si>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</si>
  <si>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</si>
  <si>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</si>
  <si>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</si>
  <si>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</si>
  <si>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</si>
  <si>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</si>
  <si>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</si>
  <si>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</si>
  <si>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</si>
  <si>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</si>
  <si>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</si>
  <si>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</si>
  <si>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</si>
  <si>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</si>
  <si>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</si>
  <si>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</si>
  <si>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</si>
  <si>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</si>
  <si>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</si>
  <si>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</si>
  <si>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</si>
  <si>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</si>
  <si>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</si>
  <si>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</si>
  <si>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</si>
  <si>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</si>
  <si>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</si>
  <si>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</si>
  <si>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</si>
  <si>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</si>
  <si>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</si>
  <si>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</si>
  <si>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</si>
  <si>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</si>
  <si>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</si>
  <si>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</si>
  <si>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</si>
  <si>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</si>
  <si>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</si>
  <si>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</si>
  <si>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</si>
  <si>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</si>
  <si>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</si>
  <si>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</si>
  <si>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</si>
  <si>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</si>
  <si>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</si>
  <si>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</si>
  <si>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</si>
  <si>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</si>
  <si>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</si>
  <si>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</si>
  <si>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</si>
  <si>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</si>
  <si>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</si>
  <si>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</si>
  <si>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</si>
  <si>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</si>
  <si>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</si>
  <si>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</si>
  <si>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</si>
  <si>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</si>
  <si>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</si>
  <si>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</si>
  <si>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</si>
  <si>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</si>
  <si>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</si>
  <si>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</si>
  <si>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</si>
  <si>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</si>
  <si>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</si>
  <si>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</si>
  <si>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</si>
  <si>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</si>
  <si>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</si>
  <si>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</si>
  <si>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</si>
  <si>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</si>
  <si>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</si>
  <si>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</si>
  <si>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</si>
  <si>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</si>
  <si>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</si>
  <si>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</si>
  <si>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</si>
  <si>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</si>
  <si>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</si>
  <si>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</si>
  <si>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</si>
  <si>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</si>
  <si>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</si>
  <si>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</si>
  <si>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</si>
  <si>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</si>
  <si>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</si>
  <si>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</si>
  <si>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</si>
  <si>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</si>
  <si>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</si>
  <si>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</si>
  <si>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</si>
  <si>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</si>
  <si>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</si>
  <si>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</si>
  <si>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</si>
  <si>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</si>
  <si>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</si>
  <si>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</si>
  <si>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</si>
  <si>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</si>
  <si>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</si>
  <si>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</si>
  <si>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</si>
  <si>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</si>
  <si>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</si>
  <si>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</si>
  <si>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</si>
  <si>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</si>
  <si>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</si>
  <si>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</si>
  <si>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</si>
  <si>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</si>
  <si>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</si>
  <si>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</si>
  <si>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</si>
  <si>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</si>
  <si>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</si>
  <si>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</si>
  <si>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</si>
  <si>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</si>
  <si>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</si>
  <si>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</si>
  <si>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</si>
  <si>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</si>
  <si>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</si>
  <si>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</si>
  <si>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</si>
  <si>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</si>
  <si>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</si>
  <si>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</si>
  <si>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</si>
  <si>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</si>
  <si>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</si>
  <si>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</si>
  <si>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</si>
  <si>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</si>
  <si>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</si>
  <si>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</si>
  <si>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</si>
  <si>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</si>
  <si>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</si>
  <si>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</si>
  <si>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</si>
  <si>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</si>
  <si>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</si>
  <si>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</si>
  <si>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</si>
  <si>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</si>
  <si>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</si>
  <si>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</si>
  <si>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</si>
  <si>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</si>
  <si>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</si>
  <si>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</si>
  <si>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</si>
  <si>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</si>
  <si>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</si>
  <si>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</si>
  <si>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</si>
  <si>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</si>
  <si>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</si>
  <si>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</si>
  <si>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</si>
  <si>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</si>
  <si>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</si>
  <si>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</si>
  <si>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</si>
  <si>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</si>
  <si>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</si>
  <si>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</si>
  <si>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</si>
  <si>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</si>
  <si>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</si>
  <si>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</si>
  <si>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</si>
  <si>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</si>
  <si>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</si>
  <si>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</si>
  <si>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</si>
  <si>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</si>
  <si>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</si>
  <si>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</si>
  <si>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</si>
  <si>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</si>
  <si>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</si>
  <si>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</si>
  <si>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</si>
  <si>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</si>
  <si>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</si>
  <si>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</si>
  <si>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</si>
  <si>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</si>
  <si>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</si>
  <si>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</si>
  <si>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</si>
  <si>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</si>
  <si>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</si>
  <si>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</si>
  <si>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</si>
  <si>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</si>
  <si>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</si>
  <si>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</si>
  <si>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</si>
  <si>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</si>
  <si>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</si>
  <si>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</si>
  <si>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</si>
  <si>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</si>
  <si>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</si>
  <si>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</si>
  <si>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</si>
  <si>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</si>
  <si>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</si>
  <si>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</si>
  <si>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</si>
  <si>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</si>
  <si>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</si>
  <si>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</si>
  <si>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</si>
  <si>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</si>
  <si>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</si>
  <si>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</si>
  <si>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</si>
  <si>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</si>
  <si>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</si>
  <si>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</si>
  <si>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</si>
  <si>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</si>
  <si>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</si>
  <si>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</si>
  <si>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</si>
  <si>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</si>
  <si>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</si>
  <si>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</si>
  <si>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</si>
  <si>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</si>
  <si>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</si>
  <si>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</si>
  <si>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</si>
  <si>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</si>
  <si>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</si>
  <si>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</si>
  <si>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</si>
  <si>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</si>
  <si>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</si>
  <si>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</si>
  <si>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</si>
  <si>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</si>
  <si>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</si>
  <si>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</si>
  <si>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</si>
  <si>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</si>
  <si>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</si>
  <si>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</si>
  <si>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</si>
  <si>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</si>
  <si>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</si>
  <si>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</si>
  <si>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</si>
  <si>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</si>
  <si>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</si>
  <si>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</si>
  <si>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</si>
  <si>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</si>
  <si>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</si>
  <si>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</si>
  <si>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</si>
  <si>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</si>
  <si>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</si>
  <si>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</si>
  <si>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</si>
  <si>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</si>
  <si>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</si>
  <si>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</si>
  <si>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</si>
  <si>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</si>
  <si>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</si>
  <si>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</si>
  <si>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</si>
  <si>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</si>
  <si>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</si>
  <si>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</si>
  <si>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</si>
  <si>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</si>
  <si>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</si>
  <si>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</si>
  <si>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</si>
  <si>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</si>
  <si>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</si>
  <si>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</si>
  <si>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</si>
  <si>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</si>
  <si>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</si>
  <si>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</si>
  <si>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</si>
  <si>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</si>
  <si>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</si>
  <si>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</si>
  <si>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</si>
  <si>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</si>
  <si>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</si>
  <si>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</si>
  <si>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</si>
  <si>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</si>
  <si>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</si>
  <si>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</si>
  <si>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</si>
  <si>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</si>
  <si>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</si>
  <si>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</si>
  <si>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</si>
  <si>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</si>
  <si>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</si>
  <si>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</si>
  <si>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</si>
  <si>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</si>
  <si>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</si>
  <si>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</si>
  <si>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</si>
  <si>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</si>
  <si>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</si>
  <si>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</si>
  <si>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</si>
  <si>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</si>
  <si>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</si>
  <si>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</si>
  <si>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</si>
  <si>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</si>
  <si>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</si>
  <si>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</si>
  <si>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</si>
  <si>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</si>
  <si>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</si>
  <si>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</si>
  <si>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</si>
  <si>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</si>
  <si>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</si>
  <si>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</si>
  <si>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</si>
  <si>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</si>
  <si>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</si>
  <si>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</si>
  <si>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</si>
  <si>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</si>
  <si>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</si>
  <si>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</si>
  <si>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</si>
  <si>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</si>
  <si>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</si>
  <si>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</si>
  <si>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</si>
  <si>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</si>
  <si>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</si>
  <si>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</si>
  <si>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</si>
  <si>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</si>
  <si>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</si>
  <si>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</si>
  <si>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</si>
  <si>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</si>
  <si>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</si>
  <si>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</si>
  <si>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</si>
  <si>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</si>
  <si>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</si>
  <si>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</si>
  <si>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</si>
  <si>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</si>
  <si>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</si>
  <si>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</si>
  <si>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</si>
  <si>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</si>
  <si>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</si>
  <si>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</si>
  <si>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</si>
  <si>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</si>
  <si>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</si>
  <si>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</si>
  <si>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</si>
  <si>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</si>
  <si>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</si>
  <si>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</si>
  <si>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</si>
  <si>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</si>
  <si>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</si>
  <si>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</si>
  <si>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</si>
  <si>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</si>
  <si>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</si>
  <si>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</si>
  <si>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</si>
  <si>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</si>
  <si>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</si>
  <si>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</si>
  <si>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</si>
  <si>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</si>
  <si>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</si>
  <si>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</si>
  <si>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</si>
  <si>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</si>
  <si>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</si>
  <si>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</si>
  <si>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</si>
  <si>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</si>
  <si>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</si>
  <si>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</si>
  <si>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</si>
  <si>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</si>
  <si>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</si>
  <si>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</si>
  <si>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</si>
  <si>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</si>
  <si>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</si>
  <si>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</si>
  <si>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</si>
  <si>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</si>
  <si>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</si>
  <si>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</si>
  <si>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</si>
  <si>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</si>
  <si>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</si>
  <si>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</si>
  <si>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</si>
  <si>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</si>
  <si>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</si>
  <si>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</si>
  <si>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</si>
  <si>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</si>
  <si>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</si>
  <si>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</si>
  <si>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</si>
  <si>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</si>
  <si>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</si>
  <si>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</si>
  <si>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</si>
  <si>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</si>
  <si>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</si>
  <si>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</si>
  <si>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</si>
  <si>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</si>
  <si>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</si>
  <si>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</si>
  <si>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</si>
  <si>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</si>
  <si>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</si>
  <si>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</si>
  <si>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</si>
  <si>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</si>
  <si>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</si>
  <si>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</si>
  <si>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</si>
  <si>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</si>
  <si>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</si>
  <si>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</si>
  <si>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</si>
  <si>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</si>
  <si>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</si>
  <si>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</si>
  <si>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</si>
  <si>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</si>
  <si>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</si>
  <si>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</si>
  <si>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</si>
  <si>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</si>
  <si>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</si>
  <si>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</si>
  <si>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</si>
  <si>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</si>
  <si>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</si>
  <si>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</si>
  <si>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</si>
  <si>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</si>
  <si>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</si>
  <si>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</si>
  <si>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</si>
  <si>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</si>
  <si>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</si>
  <si>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</si>
  <si>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</si>
  <si>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</si>
  <si>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</si>
  <si>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</si>
  <si>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</si>
  <si>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</si>
  <si>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</si>
  <si>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</si>
  <si>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</si>
  <si>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</si>
  <si>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</si>
  <si>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</si>
  <si>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</si>
  <si>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</si>
  <si>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</si>
  <si>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</si>
  <si>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</si>
  <si>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</si>
  <si>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</si>
  <si>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</si>
  <si>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</si>
  <si>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</si>
  <si>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</si>
  <si>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</si>
  <si>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</si>
  <si>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</si>
  <si>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</si>
  <si>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</si>
  <si>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</si>
  <si>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</si>
  <si>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</si>
  <si>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</si>
  <si>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</si>
  <si>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</si>
  <si>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</si>
  <si>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</si>
  <si>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</si>
  <si>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</si>
  <si>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</si>
  <si>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</si>
  <si>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</si>
  <si>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</si>
  <si>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</si>
  <si>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</si>
  <si>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</si>
  <si>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</si>
  <si>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</si>
  <si>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</si>
  <si>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</si>
  <si>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</si>
  <si>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</si>
  <si>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</si>
  <si>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</si>
  <si>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</si>
  <si>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</si>
  <si>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</si>
  <si>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</si>
  <si>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</si>
  <si>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</si>
  <si>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</si>
  <si>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</si>
  <si>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</si>
  <si>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</si>
  <si>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</si>
  <si>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</si>
  <si>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</si>
  <si>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</si>
  <si>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</si>
  <si>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</si>
  <si>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</si>
  <si>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</si>
  <si>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</si>
  <si>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</si>
  <si>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</si>
  <si>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</si>
  <si>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</si>
  <si>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</si>
  <si>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</si>
  <si>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</si>
  <si>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</si>
  <si>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</si>
  <si>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</si>
  <si>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</si>
  <si>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</si>
  <si>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</si>
  <si>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</si>
  <si>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</si>
  <si>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</si>
  <si>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</si>
  <si>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</si>
  <si>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</si>
  <si>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</si>
  <si>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</si>
  <si>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</si>
  <si>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</si>
  <si>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</si>
  <si>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</si>
  <si>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</si>
  <si>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</si>
  <si>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</si>
  <si>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</si>
  <si>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</si>
  <si>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</si>
  <si>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</si>
  <si>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</si>
  <si>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</si>
  <si>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</si>
  <si>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</si>
  <si>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</si>
  <si>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</si>
  <si>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</si>
  <si>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</si>
  <si>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</si>
  <si>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</si>
  <si>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</si>
  <si>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</si>
  <si>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</si>
  <si>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</si>
  <si>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</si>
  <si>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</si>
  <si>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</si>
  <si>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</si>
  <si>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</si>
  <si>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</si>
  <si>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</si>
  <si>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</si>
  <si>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</si>
  <si>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</si>
  <si>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</si>
  <si>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</si>
  <si>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</si>
  <si>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</si>
  <si>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</si>
  <si>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</si>
  <si>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</si>
  <si>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</si>
  <si>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</si>
  <si>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</si>
  <si>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</si>
  <si>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</si>
  <si>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</si>
  <si>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</si>
  <si>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</si>
  <si>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</si>
  <si>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</si>
  <si>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</si>
  <si>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</si>
  <si>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</si>
  <si>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</si>
  <si>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</si>
  <si>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</si>
  <si>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</si>
  <si>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</si>
  <si>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</si>
  <si>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</si>
  <si>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</si>
  <si>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</si>
  <si>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</si>
  <si>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</si>
  <si>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</si>
  <si>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</si>
  <si>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</si>
  <si>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</si>
  <si>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</si>
  <si>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</si>
  <si>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</si>
  <si>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</si>
  <si>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</si>
  <si>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</si>
  <si>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</si>
  <si>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</si>
  <si>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</si>
  <si>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</si>
  <si>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</si>
  <si>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</si>
  <si>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</si>
  <si>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</si>
  <si>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</si>
  <si>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</si>
  <si>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</si>
  <si>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</si>
  <si>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</si>
  <si>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</si>
  <si>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</si>
  <si>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</si>
  <si>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</si>
  <si>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</si>
  <si>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</si>
  <si>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</si>
  <si>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</si>
  <si>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</si>
  <si>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</si>
  <si>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</si>
  <si>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</si>
  <si>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</si>
  <si>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</si>
  <si>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</si>
  <si>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</si>
  <si>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</si>
  <si>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</si>
  <si>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</si>
  <si>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</si>
  <si>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</si>
  <si>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</si>
  <si>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</si>
  <si>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</si>
  <si>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</si>
  <si>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</si>
  <si>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</si>
  <si>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</si>
  <si>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</si>
  <si>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</si>
  <si>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</si>
  <si>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</si>
  <si>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</si>
  <si>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</si>
  <si>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</si>
  <si>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</si>
  <si>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</si>
  <si>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</si>
  <si>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</si>
  <si>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</si>
  <si>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</si>
  <si>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</si>
  <si>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</si>
  <si>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</si>
  <si>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</si>
  <si>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</si>
  <si>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</si>
  <si>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</si>
  <si>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</si>
  <si>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</si>
  <si>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</si>
  <si>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</si>
  <si>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</si>
  <si>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</si>
  <si>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</si>
  <si>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</si>
  <si>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</si>
  <si>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</si>
  <si>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</si>
  <si>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</si>
  <si>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</si>
  <si>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</si>
  <si>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</si>
  <si>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</si>
  <si>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</si>
  <si>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</si>
  <si>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</si>
  <si>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</si>
  <si>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</si>
  <si>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</si>
  <si>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</si>
  <si>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</si>
  <si>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</si>
  <si>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</si>
  <si>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</si>
  <si>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</si>
  <si>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</si>
  <si>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</si>
  <si>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</si>
  <si>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</si>
  <si>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</si>
  <si>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</si>
  <si>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</si>
  <si>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</si>
  <si>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</si>
  <si>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</si>
  <si>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</si>
  <si>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</si>
  <si>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</si>
  <si>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</si>
  <si>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</si>
  <si>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</si>
  <si>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</si>
  <si>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</si>
  <si>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</si>
  <si>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</si>
  <si>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</si>
  <si>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</si>
  <si>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</si>
  <si>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</si>
  <si>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</si>
  <si>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</si>
  <si>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</si>
  <si>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</si>
  <si>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</si>
  <si>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</si>
  <si>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</si>
  <si>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</si>
  <si>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</si>
  <si>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</si>
  <si>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</si>
  <si>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</si>
  <si>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</si>
  <si>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</si>
  <si>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</si>
  <si>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</si>
  <si>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</si>
  <si>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</si>
  <si>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</si>
  <si>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</si>
  <si>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</si>
  <si>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</si>
  <si>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</si>
  <si>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</si>
  <si>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</si>
  <si>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</si>
  <si>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</si>
  <si>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</si>
  <si>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</si>
  <si>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</si>
  <si>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</si>
  <si>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</si>
  <si>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</si>
  <si>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</si>
  <si>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</si>
  <si>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</si>
  <si>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</si>
  <si>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</si>
  <si>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</si>
  <si>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</si>
  <si>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</si>
  <si>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</si>
  <si>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</si>
  <si>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</si>
  <si>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</si>
  <si>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</si>
  <si>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</si>
  <si>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</si>
  <si>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</si>
  <si>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</si>
  <si>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</si>
  <si>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</si>
  <si>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</si>
  <si>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</si>
  <si>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</si>
  <si>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</si>
  <si>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</si>
  <si>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</si>
  <si>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</si>
  <si>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</si>
  <si>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</si>
  <si>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</si>
  <si>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</si>
  <si>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</si>
  <si>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</si>
  <si>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</si>
  <si>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</si>
  <si>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</si>
  <si>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</si>
  <si>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</si>
  <si>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</si>
  <si>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</si>
  <si>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</si>
  <si>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</si>
  <si>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</si>
  <si>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</si>
  <si>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</si>
  <si>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</si>
  <si>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</si>
  <si>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</si>
  <si>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</si>
  <si>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</si>
  <si>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</si>
  <si>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</si>
  <si>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</si>
  <si>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</si>
  <si>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</si>
  <si>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</si>
  <si>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</si>
  <si>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</si>
  <si>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</si>
  <si>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</si>
  <si>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</si>
  <si>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</si>
  <si>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</si>
  <si>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</si>
  <si>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</si>
  <si>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</si>
  <si>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</si>
  <si>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</si>
  <si>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</si>
  <si>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</si>
  <si>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</si>
  <si>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</si>
  <si>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</si>
  <si>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</si>
  <si>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</si>
  <si>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</si>
  <si>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</si>
  <si>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</si>
  <si>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</si>
  <si>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</si>
  <si>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</si>
  <si>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</si>
  <si>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</si>
  <si>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</si>
  <si>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</si>
  <si>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</si>
  <si>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</si>
  <si>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</si>
  <si>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</si>
  <si>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</si>
  <si>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</si>
  <si>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</si>
  <si>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</si>
  <si>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</si>
  <si>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</si>
  <si>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</si>
  <si>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</si>
  <si>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</si>
  <si>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</si>
  <si>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</si>
  <si>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</si>
  <si>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</si>
  <si>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</si>
  <si>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</si>
  <si>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</si>
  <si>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</si>
  <si>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</si>
  <si>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</si>
  <si>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</si>
  <si>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</si>
  <si>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</si>
  <si>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</si>
  <si>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</si>
  <si>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</si>
  <si>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</si>
  <si>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</si>
  <si>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</si>
  <si>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</si>
  <si>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</si>
  <si>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</si>
  <si>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</si>
  <si>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</si>
  <si>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</si>
  <si>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</si>
  <si>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</si>
  <si>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</si>
  <si>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</si>
  <si>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</si>
  <si>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</si>
  <si>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</si>
  <si>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</si>
  <si>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</si>
  <si>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</si>
  <si>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</si>
  <si>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</si>
  <si>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</si>
  <si>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</si>
  <si>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</si>
  <si>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</si>
  <si>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</si>
  <si>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</si>
  <si>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</si>
  <si>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</si>
  <si>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</si>
  <si>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</si>
  <si>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</si>
  <si>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</si>
  <si>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</si>
  <si>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</si>
  <si>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</si>
  <si>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</si>
  <si>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</si>
  <si>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</si>
  <si>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</si>
  <si>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</si>
  <si>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</si>
  <si>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</si>
  <si>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</si>
  <si>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</si>
  <si>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</si>
  <si>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</si>
  <si>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</si>
  <si>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</si>
  <si>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</si>
  <si>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</si>
  <si>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</si>
  <si>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</si>
  <si>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</si>
  <si>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</si>
  <si>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</si>
  <si>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</si>
  <si>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</si>
  <si>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</si>
  <si>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</si>
  <si>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</si>
  <si>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</si>
  <si>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</si>
  <si>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</si>
  <si>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</si>
  <si>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</si>
  <si>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</si>
  <si>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</si>
  <si>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</si>
  <si>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</si>
  <si>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</si>
  <si>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</si>
  <si>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</si>
  <si>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</si>
  <si>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</si>
  <si>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</si>
  <si>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</si>
  <si>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</si>
  <si>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</si>
  <si>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</si>
  <si>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</si>
  <si>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</si>
  <si>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</si>
  <si>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</si>
  <si>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</si>
  <si>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</si>
  <si>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</si>
  <si>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</si>
  <si>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</si>
  <si>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</si>
  <si>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</si>
  <si>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</si>
  <si>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</si>
  <si>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</si>
  <si>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</si>
  <si>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</si>
  <si>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</si>
  <si>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</si>
  <si>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</si>
  <si>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</si>
  <si>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</si>
  <si>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</si>
  <si>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</si>
  <si>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</si>
  <si>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</si>
  <si>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</si>
  <si>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</si>
  <si>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</si>
  <si>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</si>
  <si>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</si>
  <si>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</si>
  <si>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</si>
  <si>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</si>
  <si>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</si>
  <si>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</si>
  <si>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</si>
  <si>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</si>
  <si>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</si>
  <si>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</si>
  <si>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</si>
  <si>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</si>
  <si>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</si>
  <si>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</si>
  <si>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</si>
  <si>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</si>
  <si>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</si>
  <si>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</si>
  <si>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</si>
  <si>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</si>
  <si>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</si>
  <si>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</si>
  <si>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</si>
  <si>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</si>
  <si>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</si>
  <si>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</si>
  <si>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</si>
  <si>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</si>
  <si>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</si>
  <si>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</si>
  <si>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</si>
  <si>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</si>
  <si>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</si>
  <si>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</si>
  <si>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</si>
  <si>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</si>
  <si>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</si>
  <si>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</si>
  <si>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</si>
  <si>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</si>
  <si>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</si>
  <si>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</si>
  <si>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</si>
  <si>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</si>
  <si>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</si>
  <si>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</si>
  <si>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</si>
  <si>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</si>
  <si>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</si>
  <si>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</si>
  <si>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</si>
  <si>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</si>
  <si>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</si>
  <si>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</si>
  <si>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</si>
  <si>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</si>
  <si>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</si>
  <si>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</si>
  <si>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</si>
  <si>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</si>
  <si>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</si>
  <si>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</si>
  <si>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</si>
  <si>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</si>
  <si>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</si>
  <si>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</si>
  <si>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</si>
  <si>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</si>
  <si>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</si>
  <si>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</si>
  <si>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</si>
  <si>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</si>
  <si>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</si>
  <si>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</si>
  <si>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</si>
  <si>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</si>
  <si>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</si>
  <si>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</si>
  <si>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</si>
  <si>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</si>
  <si>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</si>
  <si>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</si>
  <si>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</si>
  <si>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</si>
  <si>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</si>
  <si>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</si>
  <si>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</si>
  <si>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</si>
  <si>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</si>
  <si>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</si>
  <si>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</si>
  <si>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</si>
  <si>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</si>
  <si>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</si>
  <si>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</si>
  <si>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</si>
  <si>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</si>
  <si>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</si>
  <si>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</si>
  <si>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</si>
  <si>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</si>
  <si>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</si>
  <si>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</si>
  <si>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</si>
  <si>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</si>
  <si>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</si>
  <si>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</si>
  <si>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</si>
  <si>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</si>
  <si>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</si>
  <si>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</si>
  <si>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</si>
  <si>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</si>
  <si>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</si>
  <si>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</si>
  <si>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</si>
  <si>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</si>
  <si>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</si>
  <si>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</si>
  <si>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</si>
  <si>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</si>
  <si>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</si>
  <si>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</si>
  <si>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</si>
  <si>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</si>
  <si>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</si>
  <si>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</si>
  <si>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</si>
  <si>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</si>
  <si>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</si>
  <si>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</si>
  <si>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</si>
  <si>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</si>
  <si>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</si>
  <si>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</si>
  <si>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</si>
  <si>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</si>
  <si>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</si>
  <si>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</si>
  <si>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</si>
  <si>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</si>
  <si>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</si>
  <si>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</si>
  <si>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</si>
  <si>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</si>
  <si>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</si>
  <si>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</si>
  <si>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</si>
  <si>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</si>
  <si>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</si>
  <si>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</si>
  <si>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</si>
  <si>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</si>
  <si>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</si>
  <si>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</si>
  <si>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</si>
  <si>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</si>
  <si>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</si>
  <si>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</si>
  <si>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</si>
  <si>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</si>
  <si>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</si>
  <si>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</si>
  <si>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</si>
  <si>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</si>
  <si>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</si>
  <si>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</si>
  <si>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</si>
  <si>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</si>
  <si>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</si>
  <si>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</si>
  <si>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</si>
  <si>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</si>
  <si>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</si>
  <si>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</si>
  <si>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</si>
  <si>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</si>
  <si>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</si>
  <si>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</si>
  <si>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</si>
  <si>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</si>
  <si>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</si>
  <si>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</si>
  <si>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</si>
  <si>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</si>
  <si>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</si>
  <si>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</si>
  <si>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</si>
  <si>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</si>
  <si>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</si>
  <si>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</si>
  <si>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</si>
  <si>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</si>
  <si>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</si>
  <si>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</si>
  <si>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</si>
  <si>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</si>
  <si>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</si>
  <si>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</si>
  <si>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</si>
  <si>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</si>
  <si>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</si>
  <si>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</si>
  <si>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</si>
  <si>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</si>
  <si>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</si>
  <si>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</si>
  <si>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</si>
  <si>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</si>
  <si>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</si>
  <si>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</si>
  <si>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</si>
  <si>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</si>
  <si>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</si>
  <si>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</si>
  <si>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</si>
  <si>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</si>
  <si>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</si>
  <si>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</si>
  <si>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</si>
  <si>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</si>
  <si>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</si>
  <si>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</si>
  <si>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</si>
  <si>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</si>
  <si>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</si>
  <si>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</si>
  <si>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</si>
  <si>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</si>
  <si>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</si>
  <si>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</si>
  <si>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</si>
  <si>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</si>
  <si>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</si>
  <si>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</si>
  <si>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</si>
  <si>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</si>
  <si>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</si>
  <si>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</si>
  <si>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</si>
  <si>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</si>
  <si>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</si>
  <si>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</si>
  <si>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</si>
  <si>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</si>
  <si>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</si>
  <si>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</si>
  <si>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</si>
  <si>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</si>
  <si>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</si>
  <si>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</si>
  <si>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</si>
  <si>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</si>
  <si>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</si>
  <si>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</si>
  <si>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</si>
  <si>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</si>
  <si>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</si>
  <si>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</si>
  <si>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</si>
  <si>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</si>
  <si>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</si>
  <si>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</si>
  <si>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</si>
  <si>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</si>
  <si>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</si>
  <si>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</si>
  <si>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</si>
  <si>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</si>
  <si>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</si>
  <si>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</si>
  <si>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</si>
  <si>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</si>
  <si>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</si>
  <si>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</si>
  <si>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</si>
  <si>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</si>
  <si>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</si>
  <si>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</si>
  <si>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</si>
  <si>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</si>
  <si>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</si>
  <si>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</si>
  <si>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</si>
  <si>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</si>
  <si>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</si>
  <si>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</si>
  <si>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</si>
  <si>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</si>
  <si>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</si>
  <si>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</si>
  <si>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</si>
  <si>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</si>
  <si>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</si>
  <si>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</si>
  <si>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</si>
  <si>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</si>
  <si>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</si>
  <si>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</si>
  <si>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</si>
  <si>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</si>
  <si>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</si>
  <si>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</si>
  <si>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</si>
  <si>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</si>
  <si>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</si>
  <si>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</si>
  <si>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</si>
  <si>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</si>
  <si>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</si>
  <si>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</si>
  <si>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</si>
  <si>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</si>
  <si>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</si>
  <si>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</si>
  <si>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</si>
  <si>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</si>
  <si>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</si>
  <si>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</si>
  <si>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</si>
  <si>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</si>
  <si>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</si>
  <si>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</si>
  <si>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</si>
  <si>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</si>
  <si>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</si>
  <si>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</si>
  <si>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</si>
  <si>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</si>
  <si>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</si>
  <si>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</si>
  <si>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</si>
  <si>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</si>
  <si>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</si>
  <si>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</si>
  <si>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</si>
  <si>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</si>
  <si>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</si>
  <si>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</si>
  <si>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</si>
  <si>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</si>
  <si>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</si>
  <si>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</si>
  <si>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</si>
  <si>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</si>
  <si>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</si>
  <si>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</si>
  <si>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</si>
  <si>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</si>
  <si>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</si>
  <si>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</si>
  <si>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</si>
  <si>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</si>
  <si>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</si>
  <si>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</si>
  <si>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</si>
  <si>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</si>
  <si>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</si>
  <si>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</si>
  <si>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</si>
  <si>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</si>
  <si>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</si>
  <si>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</si>
  <si>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</si>
  <si>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</si>
  <si>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</si>
  <si>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</si>
  <si>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</si>
  <si>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</si>
  <si>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</si>
  <si>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</si>
  <si>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</si>
  <si>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</si>
  <si>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</si>
  <si>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</si>
  <si>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</si>
  <si>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</si>
  <si>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</si>
  <si>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</si>
  <si>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</si>
  <si>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</si>
  <si>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</si>
  <si>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</si>
  <si>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</si>
  <si>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</si>
  <si>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</si>
  <si>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</si>
  <si>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</si>
  <si>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</si>
  <si>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</si>
  <si>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</si>
  <si>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</si>
  <si>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</si>
  <si>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</si>
  <si>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</si>
  <si>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</si>
  <si>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</si>
  <si>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</si>
  <si>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</si>
  <si>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</si>
  <si>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</si>
  <si>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</si>
  <si>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</si>
  <si>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</si>
  <si>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</si>
  <si>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</si>
  <si>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</si>
  <si>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</si>
  <si>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</si>
  <si>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</si>
  <si>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</si>
  <si>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</si>
  <si>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</si>
  <si>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</si>
  <si>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</si>
  <si>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</si>
  <si>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</si>
  <si>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</si>
  <si>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</si>
  <si>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</si>
  <si>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</si>
  <si>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</si>
  <si>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</si>
  <si>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</si>
  <si>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</si>
  <si>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</si>
  <si>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</si>
  <si>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</si>
  <si>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</si>
  <si>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</si>
  <si>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</si>
  <si>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</si>
  <si>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</si>
  <si>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</si>
  <si>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</si>
  <si>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</si>
  <si>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</si>
  <si>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</si>
  <si>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</si>
  <si>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</si>
  <si>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</si>
  <si>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</si>
  <si>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</si>
  <si>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</si>
  <si>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</si>
  <si>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</si>
  <si>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</si>
  <si>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</si>
  <si>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</si>
  <si>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</si>
  <si>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</si>
  <si>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</si>
  <si>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</si>
  <si>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</si>
  <si>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</si>
  <si>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</si>
  <si>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</si>
  <si>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</si>
  <si>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</si>
  <si>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</si>
  <si>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</si>
  <si>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</si>
  <si>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</si>
  <si>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</si>
  <si>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</si>
  <si>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</si>
  <si>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</si>
  <si>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</si>
  <si>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</si>
  <si>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</si>
  <si>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</si>
  <si>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</si>
  <si>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</si>
  <si>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</si>
  <si>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</si>
  <si>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</si>
  <si>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</si>
  <si>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</si>
  <si>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</si>
  <si>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</si>
  <si>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</si>
  <si>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</si>
  <si>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</si>
  <si>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</si>
  <si>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</si>
  <si>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</si>
  <si>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</si>
  <si>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</si>
  <si>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</si>
  <si>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</si>
  <si>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</si>
  <si>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</si>
  <si>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</si>
  <si>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</si>
  <si>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</si>
  <si>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</si>
  <si>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</si>
  <si>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</si>
  <si>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</si>
  <si>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</si>
  <si>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</si>
  <si>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</si>
  <si>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</si>
  <si>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</si>
  <si>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</si>
  <si>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</si>
  <si>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</si>
  <si>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</si>
  <si>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</si>
  <si>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</si>
  <si>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</si>
  <si>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</si>
  <si>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</si>
  <si>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</si>
  <si>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</si>
  <si>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</si>
  <si>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</si>
  <si>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</si>
  <si>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</si>
  <si>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</si>
  <si>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</si>
  <si>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</si>
  <si>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</si>
  <si>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</si>
  <si>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</si>
  <si>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</si>
  <si>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</si>
  <si>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</si>
  <si>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</si>
  <si>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</si>
  <si>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</si>
  <si>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</si>
  <si>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</si>
  <si>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</si>
  <si>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</si>
  <si>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</si>
  <si>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</si>
  <si>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</si>
  <si>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</si>
  <si>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</si>
  <si>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</si>
  <si>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</si>
  <si>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</si>
  <si>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</si>
  <si>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</si>
  <si>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</si>
  <si>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</si>
  <si>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</si>
  <si>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</si>
  <si>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</si>
  <si>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</si>
  <si>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</si>
  <si>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</si>
  <si>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</si>
  <si>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</si>
  <si>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</si>
  <si>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</si>
  <si>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</si>
  <si>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</si>
  <si>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</si>
  <si>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</si>
  <si>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</si>
  <si>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</si>
  <si>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</si>
  <si>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</si>
  <si>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</si>
  <si>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</si>
  <si>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</si>
  <si>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</si>
  <si>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</si>
  <si>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</si>
  <si>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</si>
  <si>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</si>
  <si>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</si>
  <si>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</si>
  <si>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</si>
  <si>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</si>
  <si>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</si>
  <si>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</si>
  <si>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</si>
  <si>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</si>
  <si>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</si>
  <si>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</si>
  <si>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</si>
  <si>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</si>
  <si>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</si>
  <si>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</si>
  <si>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</si>
  <si>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</si>
  <si>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</si>
  <si>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</si>
  <si>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</si>
  <si>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</si>
  <si>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</si>
  <si>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</si>
  <si>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</si>
  <si>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</si>
  <si>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</si>
  <si>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</si>
  <si>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</si>
  <si>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</si>
  <si>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</si>
  <si>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</si>
  <si>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</si>
  <si>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</si>
  <si>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</si>
  <si>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</si>
  <si>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</si>
  <si>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</si>
  <si>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</si>
  <si>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</si>
  <si>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</si>
  <si>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</si>
  <si>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</si>
  <si>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</si>
  <si>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</si>
  <si>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</si>
  <si>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</si>
  <si>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</si>
  <si>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</si>
  <si>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</si>
  <si>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</si>
  <si>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</si>
  <si>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</si>
  <si>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</si>
  <si>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</si>
  <si>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</si>
  <si>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</si>
  <si>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</si>
  <si>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</si>
  <si>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</si>
  <si>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</si>
  <si>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</si>
  <si>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</si>
  <si>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</si>
  <si>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</si>
  <si>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</si>
  <si>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</si>
  <si>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</si>
  <si>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</si>
  <si>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</si>
  <si>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</si>
  <si>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</si>
  <si>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</si>
  <si>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</si>
  <si>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</si>
  <si>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</si>
  <si>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</si>
  <si>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</si>
  <si>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</si>
  <si>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</si>
  <si>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</si>
  <si>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</si>
  <si>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</si>
  <si>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</si>
  <si>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</si>
  <si>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</si>
  <si>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</si>
  <si>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</si>
  <si>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</si>
  <si>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</si>
  <si>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</si>
  <si>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</si>
  <si>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</si>
  <si>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</si>
  <si>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</si>
  <si>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</si>
  <si>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</si>
  <si>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</si>
  <si>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</si>
  <si>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</si>
  <si>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</si>
  <si>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</si>
  <si>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</si>
  <si>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</si>
  <si>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</si>
  <si>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</si>
  <si>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</si>
  <si>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</si>
  <si>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</si>
  <si>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</si>
  <si>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</si>
  <si>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</si>
  <si>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</si>
  <si>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</si>
  <si>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</si>
  <si>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</si>
  <si>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</si>
  <si>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</si>
  <si>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</si>
  <si>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</si>
  <si>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</si>
  <si>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</si>
  <si>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</si>
  <si>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</si>
  <si>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</si>
  <si>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</si>
  <si>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</si>
  <si>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</si>
  <si>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</si>
  <si>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</si>
  <si>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</si>
  <si>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</si>
  <si>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</si>
  <si>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</si>
  <si>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</si>
  <si>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</si>
  <si>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</si>
  <si>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</si>
  <si>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</si>
  <si>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</si>
  <si>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</si>
  <si>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</si>
  <si>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</si>
  <si>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</si>
  <si>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</si>
  <si>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</si>
  <si>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</si>
  <si>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</si>
  <si>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</si>
  <si>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</si>
  <si>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</si>
  <si>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</si>
  <si>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</si>
  <si>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</si>
  <si>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</si>
  <si>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</si>
  <si>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</si>
  <si>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</si>
  <si>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</si>
  <si>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</si>
  <si>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</si>
  <si>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</si>
  <si>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</si>
  <si>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</si>
  <si>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</si>
  <si>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</si>
  <si>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</si>
  <si>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</si>
  <si>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</si>
  <si>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</si>
  <si>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</si>
  <si>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</si>
  <si>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</si>
  <si>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</si>
  <si>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</si>
  <si>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</si>
  <si>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</si>
  <si>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</si>
  <si>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</si>
  <si>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</si>
  <si>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</si>
  <si>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</si>
  <si>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</si>
  <si>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</si>
  <si>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</si>
  <si>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</si>
  <si>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</si>
  <si>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</si>
  <si>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</si>
  <si>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</si>
  <si>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</si>
  <si>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</si>
  <si>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</si>
  <si>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</si>
  <si>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</si>
  <si>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</si>
  <si>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</si>
  <si>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</si>
  <si>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</si>
  <si>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</si>
  <si>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</si>
  <si>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</si>
  <si>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</si>
  <si>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</si>
  <si>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</si>
  <si>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</si>
  <si>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</si>
  <si>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</si>
  <si>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</si>
  <si>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</si>
  <si>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</si>
  <si>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</si>
  <si>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</si>
  <si>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</si>
  <si>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</si>
  <si>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</si>
  <si>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</si>
  <si>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</si>
  <si>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</si>
  <si>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</si>
  <si>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</si>
  <si>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</si>
  <si>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</si>
  <si>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</si>
  <si>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</si>
  <si>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</si>
  <si>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</si>
  <si>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</si>
  <si>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</si>
  <si>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</si>
  <si>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</si>
  <si>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</si>
  <si>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</si>
  <si>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</si>
  <si>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</si>
  <si>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</si>
  <si>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</si>
  <si>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</si>
  <si>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</si>
  <si>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</si>
  <si>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</si>
  <si>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</si>
  <si>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</si>
  <si>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</si>
  <si>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</si>
  <si>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</si>
  <si>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</si>
  <si>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</si>
  <si>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</si>
  <si>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</si>
  <si>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</si>
  <si>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</si>
  <si>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</si>
  <si>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</si>
  <si>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</si>
  <si>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</si>
  <si>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</si>
  <si>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</si>
  <si>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</si>
  <si>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</si>
  <si>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</si>
  <si>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</si>
  <si>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</si>
  <si>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</si>
  <si>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</si>
  <si>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</si>
  <si>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</si>
  <si>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</si>
  <si>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</si>
  <si>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</si>
  <si>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</si>
  <si>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</si>
  <si>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</si>
  <si>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</si>
  <si>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</si>
  <si>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</si>
  <si>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</si>
  <si>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</si>
  <si>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</si>
  <si>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</si>
  <si>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</si>
  <si>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</si>
  <si>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</si>
  <si>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</si>
  <si>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</si>
  <si>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</si>
  <si>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</si>
  <si>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</si>
  <si>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</si>
  <si>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</si>
  <si>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</si>
  <si>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</si>
  <si>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</si>
  <si>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</si>
  <si>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</si>
  <si>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</si>
  <si>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</si>
  <si>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</si>
  <si>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</si>
  <si>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</si>
  <si>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</si>
  <si>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</si>
  <si>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</si>
  <si>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</si>
  <si>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</si>
  <si>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</si>
  <si>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</si>
  <si>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</si>
  <si>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</si>
  <si>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</si>
  <si>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</si>
  <si>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</si>
  <si>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</si>
  <si>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</si>
  <si>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</si>
  <si>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</si>
  <si>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</si>
  <si>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</si>
  <si>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</si>
  <si>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</si>
  <si>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</si>
  <si>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</si>
  <si>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</si>
  <si>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</si>
  <si>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</si>
  <si>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</si>
  <si>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</si>
  <si>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</si>
  <si>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</si>
  <si>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</si>
  <si>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</si>
  <si>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</si>
  <si>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</si>
  <si>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</si>
  <si>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</si>
  <si>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</si>
  <si>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</si>
  <si>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</si>
  <si>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</si>
  <si>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</si>
  <si>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</si>
  <si>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</si>
  <si>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</si>
  <si>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</si>
  <si>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</si>
  <si>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</si>
  <si>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</si>
  <si>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</si>
  <si>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</si>
  <si>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</si>
  <si>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</si>
  <si>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</si>
  <si>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</si>
  <si>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</si>
  <si>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</si>
  <si>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</si>
  <si>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</si>
  <si>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</si>
  <si>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</si>
  <si>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</si>
  <si>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</si>
  <si>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</si>
  <si>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</si>
  <si>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</si>
  <si>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</si>
  <si>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</si>
  <si>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</si>
  <si>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</si>
  <si>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</si>
  <si>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</si>
  <si>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</si>
  <si>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</si>
  <si>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</si>
  <si>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</si>
  <si>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</si>
  <si>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</si>
  <si>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</si>
  <si>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</si>
  <si>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</si>
  <si>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</si>
  <si>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</si>
  <si>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</si>
  <si>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</si>
  <si>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</si>
  <si>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</si>
  <si>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</si>
  <si>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</si>
  <si>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</si>
  <si>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</si>
  <si>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</si>
  <si>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</si>
  <si>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</si>
  <si>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</si>
  <si>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</si>
  <si>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</si>
  <si>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</si>
  <si>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</si>
  <si>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</si>
  <si>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</si>
  <si>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</si>
  <si>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</si>
  <si>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</si>
  <si>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</si>
  <si>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</si>
  <si>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</si>
  <si>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</si>
  <si>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</si>
  <si>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</si>
  <si>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</si>
  <si>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</si>
  <si>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</si>
  <si>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</si>
  <si>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</si>
  <si>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</si>
  <si>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</si>
  <si>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</si>
  <si>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</si>
  <si>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</si>
  <si>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</si>
  <si>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</si>
  <si>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</si>
  <si>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</si>
  <si>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</si>
  <si>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</si>
  <si>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</si>
  <si>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</si>
  <si>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</si>
  <si>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</si>
  <si>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</si>
  <si>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</si>
  <si>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</si>
  <si>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</si>
  <si>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</si>
  <si>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</si>
  <si>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</si>
  <si>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</si>
  <si>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</si>
  <si>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</si>
  <si>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</si>
  <si>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</si>
  <si>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</si>
  <si>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</si>
  <si>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</si>
  <si>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</si>
  <si>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</si>
  <si>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</si>
  <si>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</si>
  <si>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</si>
  <si>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</si>
  <si>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</si>
  <si>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</si>
  <si>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</si>
  <si>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</si>
  <si>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</si>
  <si>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</si>
  <si>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</si>
  <si>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</si>
  <si>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</si>
  <si>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</si>
  <si>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</si>
  <si>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</si>
  <si>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</si>
  <si>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</si>
  <si>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</si>
  <si>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</si>
  <si>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</si>
  <si>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</si>
  <si>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</si>
  <si>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</si>
  <si>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</si>
  <si>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</si>
  <si>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</si>
  <si>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</si>
  <si>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</si>
  <si>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</si>
  <si>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</si>
  <si>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</si>
  <si>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</si>
  <si>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</si>
  <si>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</si>
  <si>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</si>
  <si>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</si>
  <si>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</si>
  <si>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</si>
  <si>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</si>
  <si>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</si>
  <si>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</si>
  <si>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</si>
  <si>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</si>
  <si>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</si>
  <si>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</si>
  <si>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</si>
  <si>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</si>
  <si>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</si>
  <si>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</si>
  <si>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</si>
  <si>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</si>
  <si>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</si>
  <si>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</si>
  <si>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</si>
  <si>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</si>
  <si>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</si>
  <si>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</si>
  <si>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</si>
  <si>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</si>
  <si>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</si>
  <si>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</si>
  <si>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</si>
  <si>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</si>
  <si>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</si>
  <si>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</si>
  <si>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</si>
  <si>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</si>
  <si>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</si>
  <si>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</si>
  <si>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</si>
  <si>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</si>
  <si>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</si>
  <si>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</si>
  <si>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</si>
  <si>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</si>
  <si>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</si>
  <si>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</si>
  <si>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</si>
  <si>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</si>
  <si>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</si>
  <si>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</si>
  <si>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</si>
  <si>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</si>
  <si>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</si>
  <si>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</si>
  <si>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</si>
  <si>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</si>
  <si>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</si>
  <si>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</si>
  <si>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</si>
  <si>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</si>
  <si>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</si>
  <si>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</si>
  <si>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</si>
  <si>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</si>
  <si>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</si>
  <si>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</si>
  <si>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</si>
  <si>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</si>
  <si>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</si>
  <si>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</si>
  <si>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</si>
  <si>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</si>
  <si>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</si>
  <si>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</si>
  <si>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</si>
  <si>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</si>
  <si>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</si>
  <si>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</si>
  <si>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</si>
  <si>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</si>
  <si>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</si>
  <si>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</si>
  <si>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</si>
  <si>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</si>
  <si>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</si>
  <si>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</si>
  <si>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</si>
  <si>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</si>
  <si>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</si>
  <si>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</si>
  <si>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</si>
  <si>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</si>
  <si>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</si>
  <si>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</si>
  <si>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</si>
  <si>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</si>
  <si>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</si>
  <si>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</si>
  <si>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</si>
  <si>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</si>
  <si>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</si>
  <si>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</si>
  <si>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</si>
  <si>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</si>
  <si>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</si>
  <si>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</si>
  <si>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</si>
  <si>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</si>
  <si>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</si>
  <si>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</si>
  <si>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</si>
  <si>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</si>
  <si>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</si>
  <si>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</si>
  <si>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</si>
  <si>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</si>
  <si>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</si>
  <si>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</si>
  <si>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</si>
  <si>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</si>
  <si>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</si>
  <si>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</si>
  <si>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</si>
  <si>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</si>
  <si>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</si>
  <si>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</si>
  <si>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</si>
  <si>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</si>
  <si>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</si>
  <si>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</si>
  <si>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</si>
  <si>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</si>
  <si>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</si>
  <si>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</si>
  <si>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</si>
  <si>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</si>
  <si>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</si>
  <si>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</si>
  <si>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</si>
  <si>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</si>
  <si>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</si>
  <si>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</si>
  <si>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</si>
  <si>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</si>
  <si>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</si>
  <si>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</si>
  <si>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</si>
  <si>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</si>
  <si>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</si>
  <si>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</si>
  <si>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</si>
  <si>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</si>
  <si>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</si>
  <si>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</si>
  <si>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</si>
  <si>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</si>
  <si>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</si>
  <si>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</si>
  <si>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</si>
  <si>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</si>
  <si>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</si>
  <si>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</si>
  <si>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</si>
  <si>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</si>
  <si>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</si>
  <si>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</si>
  <si>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</si>
  <si>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</si>
  <si>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</si>
  <si>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</si>
  <si>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</si>
  <si>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</si>
  <si>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</si>
  <si>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</si>
  <si>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</si>
  <si>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</si>
  <si>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</si>
  <si>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</si>
  <si>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</si>
  <si>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</si>
  <si>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</si>
  <si>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</si>
  <si>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</si>
  <si>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</si>
  <si>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</si>
  <si>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</si>
  <si>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</si>
  <si>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</si>
  <si>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</si>
  <si>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</si>
  <si>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</si>
  <si>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</si>
  <si>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</si>
  <si>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</si>
  <si>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</si>
  <si>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</si>
  <si>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</si>
  <si>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</si>
  <si>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</si>
  <si>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</si>
  <si>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</si>
  <si>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</si>
  <si>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</si>
  <si>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</si>
  <si>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</si>
  <si>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</si>
  <si>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</si>
  <si>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</si>
  <si>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</si>
  <si>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</si>
  <si>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</si>
  <si>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</si>
  <si>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</si>
  <si>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</si>
  <si>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</si>
  <si>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</si>
  <si>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</si>
  <si>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</si>
  <si>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</si>
  <si>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</si>
  <si>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</si>
  <si>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</si>
  <si>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</si>
  <si>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</si>
  <si>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</si>
  <si>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</si>
  <si>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</si>
  <si>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</si>
  <si>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</si>
  <si>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</si>
  <si>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</si>
  <si>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</si>
  <si>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</si>
  <si>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</si>
  <si>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</si>
  <si>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</si>
  <si>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</si>
  <si>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</si>
  <si>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</si>
  <si>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</si>
  <si>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</si>
  <si>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</si>
  <si>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</si>
  <si>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</si>
  <si>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</si>
  <si>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</si>
  <si>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</si>
  <si>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</si>
  <si>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</si>
  <si>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</si>
  <si>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</si>
  <si>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</si>
  <si>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</si>
  <si>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</si>
  <si>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</si>
  <si>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</si>
  <si>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</si>
  <si>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</si>
  <si>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</si>
  <si>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</si>
  <si>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</si>
  <si>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</si>
  <si>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</si>
  <si>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</si>
  <si>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</si>
  <si>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</si>
  <si>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</si>
  <si>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</si>
  <si>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</si>
  <si>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</si>
  <si>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</si>
  <si>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</si>
  <si>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</si>
  <si>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</si>
  <si>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</si>
  <si>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</si>
  <si>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</si>
  <si>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</si>
  <si>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</si>
  <si>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</si>
  <si>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</si>
  <si>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</si>
  <si>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</si>
  <si>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</si>
  <si>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</si>
  <si>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</si>
  <si>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</si>
  <si>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</si>
  <si>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</si>
  <si>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</si>
  <si>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</si>
  <si>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</si>
  <si>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</si>
  <si>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</si>
  <si>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</si>
  <si>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</si>
  <si>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</si>
  <si>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</si>
  <si>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</si>
  <si>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</si>
  <si>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</si>
  <si>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</si>
  <si>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</si>
  <si>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</si>
  <si>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</si>
  <si>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</si>
  <si>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</si>
  <si>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</si>
  <si>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</si>
  <si>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</si>
  <si>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</si>
  <si>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</si>
  <si>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</si>
  <si>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</si>
  <si>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</si>
  <si>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</si>
  <si>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</si>
  <si>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</si>
  <si>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</si>
  <si>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</si>
  <si>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</si>
  <si>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</si>
  <si>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</si>
  <si>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</si>
  <si>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</si>
  <si>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</si>
  <si>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</si>
  <si>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</si>
  <si>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</si>
  <si>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</si>
  <si>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</si>
  <si>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</si>
  <si>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</si>
  <si>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</si>
  <si>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</si>
  <si>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</si>
  <si>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</si>
  <si>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</si>
  <si>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</si>
  <si>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</si>
  <si>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</si>
  <si>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</si>
  <si>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</si>
  <si>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</si>
  <si>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</si>
  <si>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</si>
  <si>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</si>
  <si>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</si>
  <si>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</si>
  <si>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</si>
  <si>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</si>
  <si>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</si>
  <si>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</si>
  <si>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</si>
  <si>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</si>
  <si>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</si>
  <si>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</si>
  <si>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</si>
  <si>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</si>
  <si>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</si>
  <si>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</si>
  <si>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</si>
  <si>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</si>
  <si>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</si>
  <si>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</si>
  <si>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</si>
  <si>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</si>
  <si>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</si>
  <si>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</si>
  <si>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</si>
  <si>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</si>
  <si>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</si>
  <si>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</si>
  <si>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</si>
  <si>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</si>
  <si>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</si>
  <si>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</si>
  <si>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</si>
  <si>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</si>
  <si>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</si>
  <si>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</si>
  <si>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</si>
  <si>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</si>
  <si>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</si>
  <si>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</si>
  <si>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</si>
  <si>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</si>
  <si>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</si>
  <si>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</si>
  <si>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</si>
  <si>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</si>
  <si>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</si>
  <si>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</si>
  <si>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</si>
  <si>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</si>
  <si>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</si>
  <si>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</si>
  <si>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</si>
  <si>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</si>
  <si>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</si>
  <si>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</si>
  <si>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</si>
  <si>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</si>
  <si>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</si>
  <si>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</si>
  <si>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</si>
  <si>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</si>
  <si>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</si>
  <si>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</si>
  <si>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</si>
  <si>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</si>
  <si>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</si>
  <si>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</si>
  <si>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</si>
  <si>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</si>
  <si>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</si>
  <si>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</si>
  <si>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</si>
  <si>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</si>
  <si>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</si>
  <si>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</si>
  <si>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</si>
  <si>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</si>
  <si>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</si>
  <si>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</si>
  <si>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</si>
  <si>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</si>
  <si>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</si>
  <si>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</si>
  <si>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</si>
  <si>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</si>
  <si>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</si>
  <si>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</si>
  <si>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</si>
  <si>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</si>
  <si>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</si>
  <si>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</si>
  <si>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</si>
  <si>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</si>
  <si>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</si>
  <si>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</si>
  <si>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</si>
  <si>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</si>
  <si>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</si>
  <si>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</si>
  <si>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</si>
  <si>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</si>
  <si>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</si>
  <si>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</si>
  <si>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</si>
  <si>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</si>
  <si>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</si>
  <si>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</si>
  <si>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</si>
  <si>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</si>
  <si>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</si>
  <si>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</si>
  <si>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</si>
  <si>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</si>
  <si>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</si>
  <si>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</si>
  <si>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</si>
  <si>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</si>
  <si>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</si>
  <si>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</si>
  <si>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</si>
  <si>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</si>
  <si>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</si>
  <si>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</si>
  <si>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</si>
  <si>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</si>
  <si>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</si>
  <si>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</si>
  <si>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</si>
  <si>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</si>
  <si>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</si>
  <si>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</si>
  <si>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</si>
  <si>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</si>
  <si>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</si>
  <si>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</si>
  <si>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</si>
  <si>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</si>
  <si>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</si>
  <si>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</si>
  <si>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</si>
  <si>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</si>
  <si>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</si>
  <si>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</si>
  <si>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</si>
  <si>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</si>
  <si>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</si>
  <si>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</si>
  <si>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</si>
  <si>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</si>
  <si>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</si>
  <si>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</si>
  <si>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</si>
  <si>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</si>
  <si>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</si>
  <si>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</si>
  <si>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</si>
  <si>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</si>
  <si>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</si>
  <si>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</si>
  <si>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</si>
  <si>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</si>
  <si>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</si>
  <si>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</si>
  <si>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</si>
  <si>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</si>
  <si>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</si>
  <si>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</si>
  <si>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</si>
  <si>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</si>
  <si>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</si>
  <si>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</si>
  <si>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</si>
  <si>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</si>
  <si>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</si>
  <si>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</si>
  <si>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</si>
  <si>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</si>
  <si>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</si>
  <si>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</si>
  <si>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</si>
  <si>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</si>
  <si>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</si>
  <si>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</si>
  <si>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</si>
  <si>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</si>
  <si>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</si>
  <si>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</si>
  <si>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</si>
  <si>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</si>
  <si>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</si>
  <si>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</si>
  <si>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</si>
  <si>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</si>
  <si>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</si>
  <si>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</si>
  <si>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</si>
  <si>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</si>
  <si>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</si>
  <si>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</si>
  <si>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</si>
  <si>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</si>
  <si>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</si>
  <si>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</si>
  <si>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</si>
  <si>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</si>
  <si>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</si>
  <si>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</si>
  <si>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</si>
  <si>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</si>
  <si>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</si>
  <si>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</si>
  <si>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</si>
  <si>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</si>
  <si>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</si>
  <si>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</si>
  <si>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</si>
  <si>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</si>
  <si>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</si>
  <si>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</si>
  <si>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</si>
  <si>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</si>
  <si>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</si>
  <si>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</si>
  <si>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</si>
  <si>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</si>
  <si>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</si>
  <si>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</si>
  <si>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</si>
  <si>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</si>
  <si>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</si>
  <si>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</si>
  <si>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</si>
  <si>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</si>
  <si>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</si>
  <si>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</si>
  <si>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</si>
  <si>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</si>
  <si>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</si>
  <si>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</si>
  <si>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</si>
  <si>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</si>
  <si>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</si>
  <si>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</si>
  <si>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</si>
  <si>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</si>
  <si>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</si>
  <si>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</si>
  <si>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</si>
  <si>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</si>
  <si>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</si>
  <si>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</si>
  <si>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</si>
  <si>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</si>
  <si>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</si>
  <si>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</si>
  <si>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</si>
  <si>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</si>
  <si>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</si>
  <si>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</si>
  <si>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</si>
  <si>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</si>
  <si>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</si>
  <si>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</si>
  <si>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</si>
  <si>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</si>
  <si>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</si>
  <si>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</si>
  <si>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</si>
  <si>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</si>
  <si>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</si>
  <si>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</si>
  <si>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</si>
  <si>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</si>
  <si>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</si>
  <si>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</si>
  <si>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</si>
  <si>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</si>
  <si>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</si>
  <si>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</si>
  <si>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</si>
  <si>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</si>
  <si>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</si>
  <si>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</si>
  <si>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</si>
  <si>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</si>
  <si>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</si>
  <si>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</si>
  <si>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</si>
  <si>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</si>
  <si>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</si>
  <si>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</si>
  <si>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</si>
  <si>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</si>
  <si>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</si>
  <si>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</si>
  <si>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</si>
  <si>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</si>
  <si>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</si>
  <si>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</si>
  <si>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</si>
  <si>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</si>
  <si>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</si>
  <si>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</si>
  <si>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</si>
  <si>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</si>
  <si>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</si>
  <si>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</si>
  <si>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</si>
  <si>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</si>
  <si>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</si>
  <si>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</si>
  <si>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</si>
  <si>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</si>
  <si>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</si>
  <si>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</si>
  <si>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</si>
  <si>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</si>
  <si>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</si>
  <si>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</si>
  <si>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</si>
  <si>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</si>
  <si>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</si>
  <si>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</si>
  <si>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</si>
  <si>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</si>
  <si>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</si>
  <si>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</si>
  <si>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</si>
  <si>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</si>
  <si>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</si>
  <si>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</si>
  <si>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</si>
  <si>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</si>
  <si>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</si>
  <si>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</si>
  <si>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</si>
  <si>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</si>
  <si>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</si>
  <si>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</si>
  <si>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</si>
  <si>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</si>
  <si>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</si>
  <si>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</si>
  <si>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</si>
  <si>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</si>
  <si>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</si>
  <si>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</si>
  <si>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</si>
  <si>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</si>
  <si>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</si>
  <si>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</si>
  <si>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</si>
  <si>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</si>
  <si>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</si>
  <si>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</si>
  <si>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</si>
  <si>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</si>
  <si>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</si>
  <si>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</si>
  <si>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</si>
  <si>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</si>
  <si>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</si>
  <si>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</si>
  <si>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</si>
  <si>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</si>
  <si>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</si>
  <si>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</si>
  <si>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</si>
  <si>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</si>
  <si>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</si>
  <si>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</si>
  <si>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</si>
  <si>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</si>
  <si>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</si>
  <si>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</si>
  <si>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</si>
  <si>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</si>
  <si>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</si>
  <si>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</si>
  <si>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</si>
  <si>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</si>
  <si>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</si>
  <si>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</si>
  <si>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</si>
  <si>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</si>
  <si>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</si>
  <si>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</si>
  <si>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</si>
  <si>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</si>
  <si>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</si>
  <si>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</si>
  <si>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</si>
  <si>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</si>
  <si>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</si>
  <si>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</si>
  <si>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</si>
  <si>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</si>
  <si>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</si>
  <si>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</si>
  <si>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</si>
  <si>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</si>
  <si>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</si>
  <si>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</si>
  <si>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</si>
  <si>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</si>
  <si>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</si>
  <si>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</si>
  <si>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</si>
  <si>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</si>
  <si>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</si>
  <si>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</si>
  <si>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</si>
  <si>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</si>
  <si>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</si>
  <si>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</si>
  <si>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</si>
  <si>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</si>
  <si>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</si>
  <si>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</si>
  <si>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</si>
  <si>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</si>
  <si>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</si>
  <si>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</si>
  <si>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</si>
  <si>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</si>
  <si>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</si>
  <si>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</si>
  <si>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</si>
  <si>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</si>
  <si>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</si>
  <si>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</si>
  <si>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</si>
  <si>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</si>
  <si>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</si>
  <si>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</si>
  <si>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</si>
  <si>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</si>
  <si>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</si>
  <si>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</si>
  <si>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</si>
  <si>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</si>
  <si>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</si>
  <si>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</si>
  <si>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</si>
  <si>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</si>
  <si>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</si>
  <si>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</si>
  <si>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</si>
  <si>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</si>
  <si>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</si>
  <si>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</si>
  <si>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</si>
  <si>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</si>
  <si>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</si>
  <si>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</si>
  <si>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</si>
  <si>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</si>
  <si>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</si>
  <si>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</si>
  <si>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</si>
  <si>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</si>
  <si>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</si>
  <si>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</si>
  <si>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</si>
  <si>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</si>
  <si>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</si>
  <si>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</si>
  <si>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</si>
  <si>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</si>
  <si>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</si>
  <si>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</si>
  <si>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</si>
  <si>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</si>
  <si>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</si>
  <si>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</si>
  <si>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</si>
  <si>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</si>
  <si>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</si>
  <si>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</si>
  <si>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</si>
  <si>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</si>
  <si>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</si>
  <si>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</si>
  <si>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</si>
  <si>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</si>
  <si>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</si>
  <si>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</si>
  <si>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</si>
  <si>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</si>
  <si>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</si>
  <si>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</si>
  <si>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</si>
  <si>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</si>
  <si>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</si>
  <si>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</si>
  <si>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</si>
  <si>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</si>
  <si>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</si>
  <si>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</si>
  <si>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</si>
  <si>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</si>
  <si>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</si>
  <si>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</si>
  <si>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</si>
  <si>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</si>
  <si>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</si>
  <si>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</si>
  <si>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</si>
  <si>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</si>
  <si>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</si>
  <si>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</si>
  <si>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</si>
  <si>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</si>
  <si>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</si>
  <si>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</si>
  <si>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</si>
  <si>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</si>
  <si>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</si>
  <si>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</si>
  <si>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</si>
  <si>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</si>
  <si>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</si>
  <si>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</si>
  <si>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</si>
  <si>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</si>
  <si>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</si>
  <si>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</si>
  <si>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</si>
  <si>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</si>
  <si>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</si>
  <si>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</si>
  <si>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</si>
  <si>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</si>
  <si>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</si>
  <si>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</si>
  <si>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</si>
  <si>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</si>
  <si>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</si>
  <si>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</si>
  <si>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</si>
  <si>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</si>
  <si>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</si>
  <si>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</si>
  <si>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</si>
  <si>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</si>
  <si>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</si>
  <si>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</si>
  <si>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</si>
  <si>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</si>
  <si>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</si>
  <si>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</si>
  <si>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</si>
  <si>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</si>
  <si>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</si>
  <si>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</si>
  <si>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</si>
  <si>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</si>
  <si>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</si>
  <si>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</si>
  <si>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</si>
  <si>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</si>
  <si>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</si>
  <si>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</si>
  <si>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</si>
  <si>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</si>
  <si>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</si>
  <si>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</si>
  <si>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</si>
  <si>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</si>
  <si>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</si>
  <si>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</si>
  <si>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</si>
  <si>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</si>
  <si>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</si>
  <si>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</si>
  <si>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</si>
  <si>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</si>
  <si>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</si>
  <si>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</si>
  <si>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</si>
  <si>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</si>
  <si>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</si>
  <si>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</si>
  <si>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</si>
  <si>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</si>
  <si>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</si>
  <si>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</si>
  <si>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</si>
  <si>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</si>
  <si>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</si>
  <si>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</si>
  <si>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</si>
  <si>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</si>
  <si>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</si>
  <si>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</si>
  <si>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</si>
  <si>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</si>
  <si>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</si>
  <si>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</si>
  <si>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</si>
  <si>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</si>
  <si>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</si>
  <si>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</si>
  <si>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</si>
  <si>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</si>
  <si>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</si>
  <si>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</si>
  <si>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</si>
  <si>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</si>
  <si>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</si>
  <si>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</si>
  <si>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</si>
  <si>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</si>
  <si>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</si>
  <si>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</si>
  <si>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</si>
  <si>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</si>
  <si>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</si>
  <si>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</si>
  <si>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</si>
  <si>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</si>
  <si>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</si>
  <si>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</si>
  <si>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</si>
  <si>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</si>
  <si>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</si>
  <si>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</si>
  <si>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</si>
  <si>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</si>
  <si>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</si>
  <si>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</si>
  <si>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</si>
  <si>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</si>
  <si>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</si>
  <si>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</si>
  <si>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</si>
  <si>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</si>
  <si>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</si>
  <si>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</si>
  <si>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</si>
  <si>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</si>
  <si>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</si>
  <si>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</si>
  <si>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</si>
  <si>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</si>
  <si>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</si>
  <si>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</si>
  <si>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</si>
  <si>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</si>
  <si>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</si>
  <si>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</si>
  <si>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</si>
  <si>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</si>
  <si>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</si>
  <si>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</si>
  <si>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</si>
  <si>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</si>
  <si>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</si>
  <si>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</si>
  <si>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</si>
  <si>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</si>
  <si>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</si>
  <si>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</si>
  <si>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</si>
  <si>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</si>
  <si>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</si>
  <si>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</si>
  <si>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</si>
  <si>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</si>
  <si>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</si>
  <si>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</si>
  <si>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</si>
  <si>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</si>
  <si>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</si>
  <si>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</si>
  <si>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</si>
  <si>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</si>
  <si>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</si>
  <si>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</si>
  <si>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</si>
  <si>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</si>
  <si>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</si>
  <si>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</si>
  <si>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</si>
  <si>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</si>
  <si>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</si>
  <si>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</si>
  <si>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</si>
  <si>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</si>
  <si>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</si>
  <si>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</si>
  <si>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</si>
  <si>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</si>
  <si>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</si>
  <si>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</si>
  <si>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</si>
  <si>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</si>
  <si>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</si>
  <si>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</si>
  <si>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</si>
  <si>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</si>
  <si>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</si>
  <si>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</si>
  <si>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</si>
  <si>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</si>
  <si>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</si>
  <si>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</si>
  <si>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</si>
  <si>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</si>
  <si>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</si>
  <si>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</si>
  <si>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</si>
  <si>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</si>
  <si>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</si>
  <si>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</si>
  <si>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</si>
  <si>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</si>
  <si>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</si>
  <si>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</si>
  <si>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</si>
  <si>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</si>
  <si>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</si>
  <si>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</si>
  <si>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</si>
  <si>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</si>
  <si>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</si>
  <si>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</si>
  <si>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</si>
  <si>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</si>
  <si>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</si>
  <si>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</si>
  <si>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</si>
  <si>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</si>
  <si>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</si>
  <si>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</si>
  <si>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</si>
  <si>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</si>
  <si>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</si>
  <si>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</si>
  <si>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</si>
  <si>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</si>
  <si>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</si>
  <si>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</si>
  <si>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</si>
  <si>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</si>
  <si>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</si>
  <si>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</si>
  <si>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</si>
  <si>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</si>
  <si>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</si>
  <si>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</si>
  <si>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</si>
  <si>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</si>
  <si>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</si>
  <si>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</si>
  <si>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</si>
  <si>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</si>
  <si>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</si>
  <si>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</si>
  <si>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</si>
  <si>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</si>
  <si>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</si>
  <si>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</si>
  <si>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</si>
  <si>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</si>
  <si>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</si>
  <si>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</si>
  <si>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</si>
  <si>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</si>
  <si>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</si>
  <si>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</si>
  <si>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</si>
  <si>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</si>
  <si>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</si>
  <si>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</si>
  <si>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</si>
  <si>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</si>
  <si>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</si>
  <si>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</si>
  <si>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</si>
  <si>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</si>
  <si>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</si>
  <si>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</si>
  <si>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</si>
  <si>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</si>
  <si>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</si>
  <si>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</si>
  <si>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</si>
  <si>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</si>
  <si>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</si>
  <si>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</si>
  <si>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</si>
  <si>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</si>
  <si>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</si>
  <si>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</si>
  <si>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</si>
  <si>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</si>
  <si>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</si>
  <si>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</si>
  <si>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</si>
  <si>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</si>
  <si>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</si>
  <si>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</si>
  <si>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</si>
  <si>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</si>
  <si>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</si>
  <si>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</si>
  <si>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</si>
  <si>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</si>
  <si>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</si>
  <si>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</si>
  <si>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</si>
  <si>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</si>
  <si>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</si>
  <si>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</si>
  <si>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</si>
  <si>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</si>
  <si>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</si>
  <si>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</si>
  <si>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</si>
  <si>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</si>
  <si>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</si>
  <si>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</si>
  <si>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</si>
  <si>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</si>
  <si>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</si>
  <si>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</si>
  <si>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</si>
  <si>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</si>
  <si>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</si>
  <si>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</si>
  <si>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</si>
  <si>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</si>
  <si>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</si>
  <si>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</si>
  <si>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</si>
  <si>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</si>
  <si>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</si>
  <si>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</si>
  <si>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</si>
  <si>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</si>
  <si>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</si>
  <si>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</si>
  <si>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</si>
  <si>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</si>
  <si>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</si>
  <si>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</si>
  <si>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</si>
  <si>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</si>
  <si>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</si>
  <si>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</si>
  <si>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</si>
  <si>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</si>
  <si>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</si>
  <si>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</si>
  <si>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</si>
  <si>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</si>
  <si>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</si>
  <si>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</si>
  <si>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</si>
  <si>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</si>
  <si>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</si>
  <si>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</si>
  <si>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</si>
  <si>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</si>
  <si>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</si>
  <si>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</si>
  <si>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</si>
  <si>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</si>
  <si>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</si>
  <si>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</si>
  <si>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</si>
  <si>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</si>
  <si>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</si>
  <si>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</si>
  <si>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</si>
  <si>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</si>
  <si>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</si>
  <si>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</si>
  <si>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</si>
  <si>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</si>
  <si>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</si>
  <si>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</si>
  <si>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</si>
  <si>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</si>
  <si>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</si>
  <si>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</si>
  <si>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</si>
  <si>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</si>
  <si>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</si>
  <si>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</si>
  <si>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</si>
  <si>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</si>
  <si>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</si>
  <si>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</si>
  <si>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</si>
  <si>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</si>
  <si>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</si>
  <si>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</si>
  <si>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</si>
  <si>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</si>
  <si>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</si>
  <si>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</si>
  <si>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</si>
  <si>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</si>
  <si>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</si>
  <si>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</si>
  <si>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</si>
  <si>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</si>
  <si>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</si>
  <si>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</si>
  <si>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</si>
  <si>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</si>
  <si>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</si>
  <si>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</si>
  <si>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</si>
  <si>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</si>
  <si>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</si>
  <si>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</si>
  <si>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</si>
  <si>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</si>
  <si>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</si>
  <si>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</si>
  <si>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</si>
  <si>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</si>
  <si>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</si>
  <si>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</si>
  <si>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</si>
  <si>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</si>
  <si>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</si>
  <si>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</si>
  <si>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</si>
  <si>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</si>
  <si>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</si>
  <si>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</si>
  <si>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</si>
  <si>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</si>
  <si>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</si>
  <si>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</si>
  <si>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</si>
  <si>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</si>
  <si>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</si>
  <si>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</si>
  <si>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</si>
  <si>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</si>
  <si>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</si>
  <si>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</si>
  <si>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</si>
  <si>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</si>
  <si>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</si>
  <si>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</si>
  <si>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</si>
  <si>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</si>
  <si>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</si>
  <si>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</si>
  <si>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</si>
  <si>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</si>
  <si>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</si>
  <si>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</si>
  <si>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</si>
  <si>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</si>
  <si>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</si>
  <si>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</si>
  <si>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</si>
  <si>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</si>
  <si>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</si>
  <si>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</si>
  <si>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</si>
  <si>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</si>
  <si>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</si>
  <si>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</si>
  <si>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</si>
  <si>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</si>
  <si>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</si>
  <si>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</si>
  <si>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</si>
  <si>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</si>
  <si>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</si>
  <si>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</si>
  <si>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</si>
  <si>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</si>
  <si>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</si>
  <si>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</si>
  <si>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</si>
  <si>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</si>
  <si>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</si>
  <si>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</si>
  <si>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</si>
  <si>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</si>
  <si>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</si>
  <si>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</si>
  <si>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</si>
  <si>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</si>
  <si>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</si>
  <si>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</si>
  <si>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</si>
  <si>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</si>
  <si>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</si>
  <si>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</si>
  <si>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</si>
  <si>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</si>
  <si>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</si>
  <si>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</si>
  <si>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</si>
  <si>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</si>
  <si>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</si>
  <si>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</si>
  <si>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</si>
  <si>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</si>
  <si>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</si>
  <si>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</si>
  <si>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</si>
  <si>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</si>
  <si>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</si>
  <si>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</si>
  <si>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</si>
  <si>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</si>
  <si>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</si>
  <si>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</si>
  <si>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</si>
  <si>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</si>
  <si>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</si>
  <si>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</si>
  <si>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</si>
  <si>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</si>
  <si>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</si>
  <si>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</si>
  <si>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</si>
  <si>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</si>
  <si>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</si>
  <si>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</si>
  <si>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</si>
  <si>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</si>
  <si>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</si>
  <si>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</si>
  <si>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</si>
  <si>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</si>
  <si>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</si>
  <si>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</si>
  <si>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</si>
  <si>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</si>
  <si>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</si>
  <si>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</si>
  <si>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</si>
  <si>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</si>
  <si>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</si>
  <si>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</si>
  <si>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</si>
  <si>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</si>
  <si>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</si>
  <si>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</si>
  <si>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</si>
  <si>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</si>
  <si>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</si>
  <si>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</si>
  <si>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</si>
  <si>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</si>
  <si>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</si>
  <si>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</si>
  <si>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</si>
  <si>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</si>
  <si>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</si>
  <si>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</si>
  <si>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</si>
  <si>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</si>
  <si>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</si>
  <si>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</si>
  <si>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</si>
  <si>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</si>
  <si>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</si>
  <si>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</si>
  <si>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</si>
  <si>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</si>
  <si>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</si>
  <si>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</si>
  <si>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</si>
  <si>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</si>
  <si>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</si>
  <si>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</si>
  <si>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</si>
  <si>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</si>
  <si>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</si>
  <si>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</si>
  <si>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</si>
  <si>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</si>
  <si>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</si>
  <si>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</si>
  <si>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</si>
  <si>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</si>
  <si>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</si>
  <si>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</si>
  <si>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</si>
  <si>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</si>
  <si>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</si>
  <si>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</si>
  <si>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</si>
  <si>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</si>
  <si>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</si>
  <si>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</si>
  <si>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</si>
  <si>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</si>
  <si>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</si>
  <si>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</si>
  <si>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</si>
  <si>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</si>
  <si>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</si>
  <si>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</si>
  <si>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</si>
  <si>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</si>
  <si>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</si>
  <si>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</si>
  <si>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</si>
  <si>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</si>
  <si>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</si>
  <si>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</si>
  <si>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</si>
  <si>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</si>
  <si>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</si>
  <si>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</si>
  <si>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</si>
  <si>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</si>
  <si>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</si>
  <si>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</si>
  <si>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</si>
  <si>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</si>
  <si>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</si>
  <si>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</si>
  <si>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</si>
  <si>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</si>
  <si>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</si>
  <si>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</si>
  <si>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</si>
  <si>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</si>
  <si>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</si>
  <si>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</si>
  <si>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</si>
  <si>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</si>
  <si>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</si>
  <si>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</si>
  <si>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</si>
  <si>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</si>
  <si>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</si>
  <si>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</si>
  <si>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</si>
  <si>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</si>
  <si>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</si>
  <si>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</si>
  <si>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</si>
  <si>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</si>
  <si>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</si>
  <si>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</si>
  <si>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</si>
  <si>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</si>
  <si>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</si>
  <si>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</si>
  <si>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</si>
  <si>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</si>
  <si>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</si>
  <si>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</si>
  <si>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</si>
  <si>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</si>
  <si>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</si>
  <si>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</si>
  <si>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</si>
  <si>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</si>
  <si>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</si>
  <si>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</si>
  <si>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</si>
  <si>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</si>
  <si>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</si>
  <si>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</si>
  <si>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</si>
  <si>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</si>
  <si>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</si>
  <si>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</si>
  <si>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</si>
  <si>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</si>
  <si>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</si>
  <si>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</si>
  <si>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</si>
  <si>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</si>
  <si>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</si>
  <si>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</si>
  <si>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</si>
  <si>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</si>
  <si>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</si>
  <si>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</si>
  <si>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</si>
  <si>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</si>
  <si>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</si>
  <si>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</si>
  <si>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</si>
  <si>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</si>
  <si>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</si>
  <si>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</si>
  <si>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</si>
  <si>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</si>
  <si>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</si>
  <si>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</si>
  <si>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</si>
  <si>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</si>
  <si>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</si>
  <si>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</si>
  <si>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</si>
  <si>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</si>
  <si>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</si>
  <si>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</si>
  <si>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</si>
  <si>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</si>
  <si>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</si>
  <si>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</si>
  <si>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</si>
  <si>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</si>
  <si>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</si>
  <si>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</si>
  <si>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</si>
  <si>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</si>
  <si>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</si>
  <si>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</si>
  <si>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</si>
  <si>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</si>
  <si>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</si>
  <si>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</si>
  <si>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</si>
  <si>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</si>
  <si>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</si>
  <si>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</si>
  <si>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</si>
  <si>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</si>
  <si>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</si>
  <si>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</si>
  <si>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</si>
  <si>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</si>
  <si>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</si>
  <si>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</si>
  <si>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</si>
  <si>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</si>
  <si>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</si>
  <si>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</si>
  <si>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</si>
  <si>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</si>
  <si>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</si>
  <si>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</si>
  <si>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</si>
  <si>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</si>
  <si>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</si>
  <si>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</si>
  <si>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</si>
  <si>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</si>
  <si>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</si>
  <si>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</si>
  <si>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</si>
  <si>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</si>
  <si>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</si>
  <si>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</si>
  <si>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</si>
  <si>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</si>
  <si>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</si>
  <si>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</si>
  <si>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</si>
  <si>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</si>
  <si>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</si>
  <si>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</si>
  <si>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</si>
  <si>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</si>
  <si>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</si>
  <si>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</si>
  <si>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</si>
  <si>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</si>
  <si>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</si>
  <si>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</si>
  <si>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</si>
  <si>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</si>
  <si>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</si>
  <si>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</si>
  <si>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</si>
  <si>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</si>
  <si>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</si>
  <si>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</si>
  <si>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</si>
  <si>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</si>
  <si>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</si>
  <si>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</si>
  <si>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</si>
  <si>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</si>
  <si>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</si>
  <si>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</si>
  <si>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</si>
  <si>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</si>
  <si>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</si>
  <si>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</si>
  <si>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</si>
  <si>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</si>
  <si>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</si>
  <si>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</si>
  <si>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</si>
  <si>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</si>
  <si>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</si>
  <si>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</si>
  <si>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</si>
  <si>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</si>
  <si>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</si>
  <si>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</si>
  <si>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</si>
  <si>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</si>
  <si>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</si>
  <si>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</si>
  <si>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</si>
  <si>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</si>
  <si>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</si>
  <si>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</si>
  <si>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</si>
  <si>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</si>
  <si>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</si>
  <si>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</si>
  <si>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</si>
  <si>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</si>
  <si>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</si>
  <si>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</si>
  <si>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</si>
  <si>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</si>
  <si>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</si>
  <si>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</si>
  <si>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</si>
  <si>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</si>
  <si>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</si>
  <si>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</si>
  <si>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</si>
  <si>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</si>
  <si>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</si>
  <si>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</si>
  <si>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</si>
  <si>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</si>
  <si>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</si>
  <si>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</si>
  <si>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</si>
  <si>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</si>
  <si>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</si>
  <si>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</si>
  <si>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</si>
  <si>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</si>
  <si>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</si>
  <si>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</si>
  <si>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</si>
  <si>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</si>
  <si>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</si>
  <si>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</si>
  <si>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</si>
  <si>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</si>
  <si>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</si>
  <si>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</si>
  <si>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</si>
  <si>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</si>
  <si>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</si>
  <si>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</si>
  <si>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</si>
  <si>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</si>
  <si>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</si>
  <si>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</si>
  <si>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</si>
  <si>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</si>
  <si>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</si>
  <si>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</si>
  <si>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</si>
  <si>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</si>
  <si>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</si>
  <si>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</si>
  <si>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</si>
  <si>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</si>
  <si>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</si>
  <si>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</si>
  <si>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</si>
  <si>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</si>
  <si>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</si>
  <si>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</si>
  <si>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</si>
  <si>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</si>
  <si>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</si>
  <si>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</si>
  <si>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</si>
  <si>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</si>
  <si>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</si>
  <si>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</si>
  <si>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</si>
  <si>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</si>
  <si>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</si>
  <si>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</si>
  <si>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</si>
  <si>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</si>
  <si>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</si>
  <si>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</si>
  <si>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</si>
  <si>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</si>
  <si>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</si>
  <si>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</si>
  <si>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</si>
  <si>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</si>
  <si>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</si>
  <si>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</si>
  <si>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</si>
  <si>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</si>
  <si>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</si>
  <si>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</si>
  <si>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</si>
  <si>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</si>
  <si>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</si>
  <si>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</si>
  <si>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</si>
  <si>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</si>
  <si>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</si>
  <si>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</si>
  <si>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</si>
  <si>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</si>
  <si>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</si>
  <si>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</si>
  <si>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</si>
  <si>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</si>
  <si>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</si>
  <si>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</si>
  <si>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</si>
  <si>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</si>
  <si>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</si>
  <si>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</si>
  <si>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</si>
  <si>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</si>
  <si>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</si>
  <si>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</si>
  <si>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</si>
  <si>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</si>
  <si>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</si>
  <si>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</si>
  <si>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</si>
  <si>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</si>
  <si>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</si>
  <si>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</si>
  <si>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</si>
  <si>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</si>
  <si>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</si>
  <si>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</si>
  <si>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</si>
  <si>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</si>
  <si>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</si>
  <si>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</si>
  <si>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</si>
  <si>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</si>
  <si>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</si>
  <si>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</si>
  <si>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</si>
  <si>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</si>
  <si>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</si>
  <si>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</si>
  <si>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</si>
  <si>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</si>
  <si>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</si>
  <si>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</si>
  <si>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</si>
  <si>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</si>
  <si>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</si>
  <si>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</si>
  <si>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</si>
  <si>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</si>
  <si>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</si>
  <si>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</si>
  <si>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</si>
  <si>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</si>
  <si>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</si>
  <si>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</si>
  <si>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</si>
  <si>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</si>
  <si>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</si>
  <si>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</si>
  <si>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</si>
  <si>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</si>
  <si>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</si>
  <si>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</si>
  <si>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</si>
  <si>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</si>
  <si>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</si>
  <si>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</si>
  <si>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</si>
  <si>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</si>
  <si>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</si>
  <si>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</si>
  <si>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</si>
  <si>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</si>
  <si>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</si>
  <si>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</si>
  <si>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</si>
  <si>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</si>
  <si>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</si>
  <si>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</si>
  <si>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</si>
  <si>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</si>
  <si>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</si>
  <si>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</si>
  <si>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</si>
  <si>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</si>
  <si>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</si>
  <si>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</si>
  <si>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</si>
  <si>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</si>
  <si>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</si>
  <si>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</si>
  <si>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</si>
  <si>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</si>
  <si>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</si>
  <si>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</si>
  <si>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</si>
  <si>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</si>
  <si>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</si>
  <si>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</si>
  <si>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</si>
  <si>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</si>
  <si>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</si>
  <si>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</si>
  <si>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</si>
  <si>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</si>
  <si>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</si>
  <si>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</si>
  <si>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</si>
  <si>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</si>
  <si>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</si>
  <si>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</si>
  <si>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</si>
  <si>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</si>
  <si>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</si>
  <si>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</si>
  <si>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</si>
  <si>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</si>
  <si>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</si>
  <si>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</si>
  <si>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</si>
  <si>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</si>
  <si>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</si>
  <si>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</si>
  <si>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</si>
  <si>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</si>
  <si>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</si>
  <si>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</si>
  <si>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</si>
  <si>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</si>
  <si>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</si>
  <si>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</si>
  <si>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</si>
  <si>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</si>
  <si>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</si>
  <si>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</si>
  <si>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</si>
  <si>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</si>
  <si>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</si>
  <si>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</si>
  <si>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</si>
  <si>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</si>
  <si>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</si>
  <si>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</si>
  <si>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</si>
  <si>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</si>
  <si>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</si>
  <si>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</si>
  <si>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</si>
  <si>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</si>
  <si>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</si>
  <si>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</si>
  <si>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</si>
  <si>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</si>
  <si>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</si>
  <si>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</si>
  <si>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</si>
  <si>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</si>
  <si>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</si>
  <si>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</si>
  <si>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</si>
  <si>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</si>
  <si>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</si>
  <si>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</si>
  <si>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</si>
  <si>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</si>
  <si>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</si>
  <si>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</si>
  <si>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</si>
  <si>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</si>
  <si>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</si>
  <si>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</si>
  <si>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</si>
  <si>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</si>
  <si>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</si>
  <si>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</si>
  <si>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</si>
  <si>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</si>
  <si>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</si>
  <si>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</si>
  <si>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</si>
  <si>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</si>
  <si>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</si>
  <si>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</si>
  <si>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</si>
  <si>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</si>
  <si>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</si>
  <si>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</si>
  <si>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</si>
  <si>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</si>
  <si>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</si>
  <si>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</si>
  <si>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</si>
  <si>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</si>
  <si>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</si>
  <si>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</si>
  <si>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</si>
  <si>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</si>
  <si>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</si>
  <si>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</si>
  <si>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</si>
  <si>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</si>
  <si>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</si>
  <si>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</si>
  <si>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</si>
  <si>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</si>
  <si>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</si>
  <si>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</si>
  <si>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</si>
  <si>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</si>
  <si>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</si>
  <si>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</si>
  <si>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</si>
  <si>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</si>
  <si>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</si>
  <si>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</si>
  <si>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</si>
  <si>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</si>
  <si>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</si>
  <si>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</si>
  <si>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</si>
  <si>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</si>
  <si>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</si>
  <si>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</si>
  <si>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</si>
  <si>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</si>
  <si>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</si>
  <si>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</si>
  <si>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</si>
  <si>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</si>
  <si>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</si>
  <si>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</si>
  <si>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</si>
  <si>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</si>
  <si>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</si>
  <si>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</si>
  <si>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</si>
  <si>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</si>
  <si>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</si>
  <si>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</si>
  <si>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</si>
  <si>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</si>
  <si>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</si>
  <si>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</si>
  <si>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</si>
  <si>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</si>
  <si>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</si>
  <si>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</si>
  <si>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</si>
  <si>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</si>
  <si>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</si>
  <si>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</si>
  <si>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</si>
  <si>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</si>
  <si>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</si>
  <si>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</si>
  <si>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</si>
  <si>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</si>
  <si>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</si>
  <si>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</si>
  <si>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</si>
  <si>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</si>
  <si>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</si>
  <si>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</si>
  <si>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</si>
  <si>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</si>
  <si>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</si>
  <si>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</si>
  <si>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</si>
  <si>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</si>
  <si>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</si>
  <si>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</si>
  <si>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</si>
  <si>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</si>
  <si>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</si>
  <si>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</si>
  <si>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</si>
  <si>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</si>
  <si>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</si>
  <si>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</si>
  <si>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</si>
  <si>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</si>
  <si>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</si>
  <si>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</si>
  <si>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</si>
  <si>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</si>
  <si>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</si>
  <si>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</si>
  <si>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</si>
  <si>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</si>
  <si>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</si>
  <si>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</si>
  <si>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</si>
  <si>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</si>
  <si>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</si>
  <si>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</si>
  <si>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</si>
  <si>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</si>
  <si>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</si>
  <si>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</si>
  <si>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</si>
  <si>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</si>
  <si>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</si>
  <si>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</si>
  <si>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</si>
  <si>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</si>
  <si>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</si>
  <si>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</si>
  <si>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</si>
  <si>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</si>
  <si>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</si>
  <si>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</si>
  <si>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</si>
  <si>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</si>
  <si>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</si>
  <si>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</si>
  <si>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</si>
  <si>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</si>
  <si>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</si>
  <si>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</si>
  <si>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</si>
  <si>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</si>
  <si>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</si>
  <si>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</si>
  <si>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</si>
  <si>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</si>
  <si>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</si>
  <si>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</si>
  <si>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</si>
  <si>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</si>
  <si>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</si>
  <si>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</si>
  <si>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</si>
  <si>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</si>
  <si>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</si>
  <si>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</si>
  <si>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</si>
  <si>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</si>
  <si>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</si>
  <si>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</si>
  <si>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</si>
  <si>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</si>
  <si>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</si>
  <si>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</si>
  <si>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</si>
  <si>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</si>
  <si>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</si>
  <si>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</si>
  <si>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</si>
  <si>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</si>
  <si>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</si>
  <si>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</si>
  <si>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</si>
  <si>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</si>
  <si>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</si>
  <si>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</si>
  <si>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</si>
  <si>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</si>
  <si>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</si>
  <si>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</si>
  <si>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</si>
  <si>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</si>
  <si>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</si>
  <si>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</si>
  <si>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</si>
  <si>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</si>
  <si>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</si>
  <si>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</si>
  <si>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</si>
  <si>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</si>
  <si>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</si>
  <si>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</si>
  <si>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</si>
  <si>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</si>
  <si>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</si>
  <si>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</si>
  <si>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</si>
  <si>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</si>
  <si>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</si>
  <si>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</si>
  <si>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</si>
  <si>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</si>
  <si>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</si>
  <si>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</si>
  <si>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</si>
  <si>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</si>
  <si>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</si>
  <si>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</si>
  <si>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</si>
  <si>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</si>
  <si>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</si>
  <si>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</si>
  <si>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</si>
  <si>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</si>
  <si>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</si>
  <si>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</si>
  <si>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</si>
  <si>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</si>
  <si>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</si>
  <si>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</si>
  <si>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</si>
  <si>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</si>
  <si>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</si>
  <si>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</si>
  <si>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</si>
  <si>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</si>
  <si>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</si>
  <si>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</si>
  <si>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</si>
  <si>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</si>
  <si>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</si>
  <si>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</si>
  <si>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</si>
  <si>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</si>
  <si>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</si>
  <si>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</si>
  <si>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</si>
  <si>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</si>
  <si>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</si>
  <si>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</si>
  <si>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</si>
  <si>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</si>
  <si>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</si>
  <si>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</si>
  <si>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</si>
  <si>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</si>
  <si>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</si>
  <si>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</si>
  <si>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</si>
  <si>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</si>
  <si>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</si>
  <si>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</si>
  <si>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</si>
  <si>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</si>
  <si>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</si>
  <si>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</si>
  <si>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</si>
  <si>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</si>
  <si>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</si>
  <si>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</si>
  <si>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</si>
  <si>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</si>
  <si>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</si>
  <si>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</si>
  <si>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</si>
  <si>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</si>
  <si>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</si>
  <si>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</si>
  <si>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</si>
  <si>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</si>
  <si>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</si>
  <si>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</si>
  <si>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</si>
  <si>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</si>
  <si>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</si>
  <si>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</si>
  <si>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</si>
  <si>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</si>
  <si>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</si>
  <si>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</si>
  <si>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</si>
  <si>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</si>
  <si>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</si>
  <si>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</si>
  <si>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</si>
  <si>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</si>
  <si>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</si>
  <si>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</si>
  <si>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</si>
  <si>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</si>
  <si>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</si>
  <si>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</si>
  <si>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</si>
  <si>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</si>
  <si>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</si>
  <si>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</si>
  <si>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</si>
  <si>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</si>
  <si>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</si>
  <si>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</si>
  <si>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</si>
  <si>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</si>
  <si>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</si>
  <si>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</si>
  <si>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</si>
  <si>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</si>
  <si>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</si>
  <si>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</si>
  <si>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</si>
  <si>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</si>
  <si>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</si>
  <si>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</si>
  <si>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</si>
  <si>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</si>
  <si>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</si>
  <si>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</si>
  <si>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</si>
  <si>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</si>
  <si>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</si>
  <si>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</si>
  <si>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</si>
  <si>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</si>
  <si>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</si>
  <si>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</si>
  <si>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</si>
  <si>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</si>
  <si>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</si>
  <si>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</si>
  <si>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</si>
  <si>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</si>
  <si>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</si>
  <si>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</si>
  <si>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</si>
  <si>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</si>
  <si>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</si>
  <si>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</si>
  <si>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</si>
  <si>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</si>
  <si>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</si>
  <si>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</si>
  <si>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</si>
  <si>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</si>
  <si>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</si>
  <si>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</si>
  <si>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</si>
  <si>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</si>
  <si>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</si>
  <si>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</si>
  <si>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</si>
  <si>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</si>
  <si>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</si>
  <si>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</si>
  <si>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</si>
  <si>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</si>
  <si>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</si>
  <si>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</si>
  <si>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</si>
  <si>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</si>
  <si>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</si>
  <si>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</si>
  <si>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</si>
  <si>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</si>
  <si>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</si>
  <si>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</si>
  <si>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</si>
  <si>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</si>
  <si>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</si>
  <si>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</si>
  <si>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</si>
  <si>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</si>
  <si>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</si>
  <si>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</si>
  <si>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</si>
  <si>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</si>
  <si>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</si>
  <si>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</si>
  <si>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</si>
  <si>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</si>
  <si>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</si>
  <si>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</si>
  <si>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</si>
  <si>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</si>
  <si>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</si>
  <si>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</si>
  <si>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</si>
  <si>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</si>
  <si>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</si>
  <si>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</si>
  <si>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</si>
  <si>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</si>
  <si>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</si>
  <si>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</si>
  <si>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</si>
  <si>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</si>
  <si>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</si>
  <si>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</si>
  <si>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</si>
  <si>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</si>
  <si>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</si>
  <si>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</si>
  <si>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</si>
  <si>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</si>
  <si>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</si>
  <si>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</si>
  <si>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</si>
  <si>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</si>
  <si>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</si>
  <si>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</si>
  <si>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</si>
  <si>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</si>
  <si>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</si>
  <si>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</si>
  <si>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</si>
  <si>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</si>
  <si>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</si>
  <si>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</si>
  <si>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</si>
  <si>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</si>
  <si>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</si>
  <si>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</si>
  <si>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</si>
  <si>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</si>
  <si>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</si>
  <si>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</si>
  <si>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</si>
  <si>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</si>
  <si>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</si>
  <si>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</si>
  <si>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</si>
  <si>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</si>
  <si>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</si>
  <si>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</si>
  <si>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</si>
  <si>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</si>
  <si>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</si>
  <si>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</si>
  <si>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</si>
  <si>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</si>
  <si>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</si>
  <si>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</si>
  <si>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</si>
  <si>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</si>
  <si>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</si>
  <si>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</si>
  <si>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</si>
  <si>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</si>
  <si>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</si>
  <si>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</si>
  <si>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</si>
  <si>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</si>
  <si>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</si>
  <si>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</si>
  <si>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</si>
  <si>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</si>
  <si>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</si>
  <si>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</si>
  <si>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</si>
  <si>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</si>
  <si>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</si>
  <si>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</si>
  <si>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</si>
  <si>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</si>
  <si>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</si>
  <si>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</si>
  <si>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</si>
  <si>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</si>
  <si>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</si>
  <si>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</si>
  <si>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</si>
  <si>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</si>
  <si>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</si>
  <si>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</si>
  <si>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</si>
  <si>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</si>
  <si>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</si>
  <si>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</si>
  <si>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</si>
  <si>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</si>
  <si>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</si>
  <si>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</si>
  <si>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</si>
  <si>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</si>
  <si>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</si>
  <si>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</si>
  <si>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</si>
  <si>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</si>
  <si>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</si>
  <si>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</si>
  <si>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</si>
  <si>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</si>
  <si>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</si>
  <si>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</si>
  <si>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</si>
  <si>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</si>
  <si>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</si>
  <si>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</si>
  <si>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</si>
  <si>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</si>
  <si>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</si>
  <si>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</si>
  <si>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</si>
  <si>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</si>
  <si>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</si>
  <si>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</si>
  <si>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</si>
  <si>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</si>
  <si>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</si>
  <si>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</si>
  <si>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</si>
  <si>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</si>
  <si>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</si>
  <si>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</si>
  <si>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</si>
  <si>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</si>
  <si>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</si>
  <si>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</si>
  <si>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</si>
  <si>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</si>
  <si>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</si>
  <si>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 외 1명
*자재 입고 지연 시 일정 변경 예정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</si>
  <si>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</si>
  <si>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</si>
  <si>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</si>
  <si>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</si>
  <si>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김유신, 자재 입고 일자 확인 중</t>
    <phoneticPr fontId="2" type="noConversion"/>
  </si>
  <si>
    <t>자재 입고 완료</t>
    <phoneticPr fontId="2" type="noConversion"/>
  </si>
  <si>
    <t>자재 확인 중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</si>
  <si>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</si>
  <si>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</si>
  <si>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</si>
  <si>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TF</t>
    <phoneticPr fontId="2" type="noConversion"/>
  </si>
  <si>
    <t>포장</t>
    <phoneticPr fontId="2" type="noConversion"/>
  </si>
  <si>
    <t>송영국</t>
    <phoneticPr fontId="2" type="noConversion"/>
  </si>
  <si>
    <t>YN06</t>
    <phoneticPr fontId="2" type="noConversion"/>
  </si>
  <si>
    <t>HH</t>
    <phoneticPr fontId="2" type="noConversion"/>
  </si>
  <si>
    <t>PV</t>
    <phoneticPr fontId="2" type="noConversion"/>
  </si>
  <si>
    <t>ER</t>
    <phoneticPr fontId="2" type="noConversion"/>
  </si>
  <si>
    <t>조립</t>
    <phoneticPr fontId="2" type="noConversion"/>
  </si>
  <si>
    <t>박해식</t>
    <phoneticPr fontId="2" type="noConversion"/>
  </si>
  <si>
    <t>이시맥</t>
    <phoneticPr fontId="2" type="noConversion"/>
  </si>
  <si>
    <t>4/13 ~ 4/17</t>
    <phoneticPr fontId="2" type="noConversion"/>
  </si>
  <si>
    <t>시운전, 자체테스트</t>
    <phoneticPr fontId="2" type="noConversion"/>
  </si>
  <si>
    <t>HIO(3)</t>
    <phoneticPr fontId="2" type="noConversion"/>
  </si>
  <si>
    <t>우신(5)</t>
    <phoneticPr fontId="2" type="noConversion"/>
  </si>
  <si>
    <t>4/13 ~ 4/14</t>
    <phoneticPr fontId="2" type="noConversion"/>
  </si>
  <si>
    <t>4/14 ~ 4/16</t>
    <phoneticPr fontId="2" type="noConversion"/>
  </si>
  <si>
    <t>HIO(2), 범양(5)</t>
    <phoneticPr fontId="2" type="noConversion"/>
  </si>
  <si>
    <t>납품/설치</t>
    <phoneticPr fontId="2" type="noConversion"/>
  </si>
  <si>
    <t>인도전</t>
    <phoneticPr fontId="2" type="noConversion"/>
  </si>
  <si>
    <t>CS, WC, DWW</t>
    <phoneticPr fontId="2" type="noConversion"/>
  </si>
  <si>
    <t>본선 설치</t>
    <phoneticPr fontId="2" type="noConversion"/>
  </si>
  <si>
    <t>진진(15)</t>
    <phoneticPr fontId="2" type="noConversion"/>
  </si>
  <si>
    <t>-</t>
    <phoneticPr fontId="2" type="noConversion"/>
  </si>
  <si>
    <t>계약사항</t>
    <phoneticPr fontId="2" type="noConversion"/>
  </si>
  <si>
    <t>박성용</t>
    <phoneticPr fontId="2" type="noConversion"/>
  </si>
  <si>
    <t>보증수리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</si>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</sst>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38" zoomScaleNormal="100" workbookViewId="0">
      <selection activeCell="M246" sqref="M24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9" t="s">
        <v>3265</v>
      </c>
      <c r="B1" s="669"/>
      <c r="C1" s="669"/>
      <c r="D1" s="669"/>
      <c r="E1" s="669"/>
      <c r="F1" s="669"/>
      <c r="G1" s="669"/>
      <c r="H1" s="669"/>
      <c r="I1" s="669"/>
      <c r="J1" s="669"/>
      <c r="K1" s="669"/>
      <c r="L1" s="669"/>
      <c r="M1" s="669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663"/>
      <c r="Q22" s="664"/>
      <c r="R22" s="664"/>
      <c r="S22" s="664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663"/>
      <c r="Q27" s="664"/>
      <c r="R27" s="664"/>
      <c r="S27" s="664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663"/>
      <c r="Q36" s="664"/>
      <c r="R36" s="664"/>
      <c r="S36" s="664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663"/>
      <c r="Q37" s="664"/>
      <c r="R37" s="664"/>
      <c r="S37" s="664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663"/>
      <c r="Q40" s="664"/>
      <c r="R40" s="664"/>
      <c r="S40" s="664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663"/>
      <c r="Q41" s="664"/>
      <c r="R41" s="664"/>
      <c r="S41" s="664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663" t="s">
        <v>4394</v>
      </c>
      <c r="Q43" s="664"/>
      <c r="R43" s="664"/>
      <c r="S43" s="664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663"/>
      <c r="Q61" s="664"/>
      <c r="R61" s="664"/>
      <c r="S61" s="664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663"/>
      <c r="Q64" s="664"/>
      <c r="R64" s="664"/>
      <c r="S64" s="664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663"/>
      <c r="Q67" s="664"/>
      <c r="R67" s="664"/>
      <c r="S67" s="664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663"/>
      <c r="Q74" s="664"/>
      <c r="R74" s="664"/>
      <c r="S74" s="664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663"/>
      <c r="Q83" s="664"/>
      <c r="R83" s="664"/>
      <c r="S83" s="664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663"/>
      <c r="Q85" s="664"/>
      <c r="R85" s="664"/>
      <c r="S85" s="664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663" t="s">
        <v>4394</v>
      </c>
      <c r="Q93" s="664"/>
      <c r="R93" s="664"/>
      <c r="S93" s="664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667"/>
      <c r="Q169" s="668"/>
      <c r="R169" s="668"/>
      <c r="S169" s="668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665" t="s">
        <v>4697</v>
      </c>
      <c r="Q182" s="666"/>
      <c r="R182" s="666"/>
      <c r="S182" s="666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5457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5441</v>
      </c>
      <c r="I216" s="475"/>
      <c r="J216" s="474" t="s">
        <v>5408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5460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5459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5441</v>
      </c>
      <c r="I220" s="541"/>
      <c r="J220" s="474" t="s">
        <v>5408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5438</v>
      </c>
      <c r="K222" s="136" t="s">
        <v>105</v>
      </c>
      <c r="L222" s="480" t="s">
        <v>5437</v>
      </c>
      <c r="M222" s="8">
        <v>3</v>
      </c>
      <c r="N222" s="193"/>
      <c r="O222" s="456" t="s">
        <v>5461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5438</v>
      </c>
      <c r="K223" s="136" t="s">
        <v>105</v>
      </c>
      <c r="L223" s="480" t="s">
        <v>4559</v>
      </c>
      <c r="M223" s="627">
        <v>3</v>
      </c>
      <c r="N223" s="31"/>
      <c r="O223" s="456" t="s">
        <v>5459</v>
      </c>
      <c r="P223" s="633" t="s">
        <v>5458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5457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5407</v>
      </c>
      <c r="J225" s="551" t="s">
        <v>5446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5468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5453</v>
      </c>
      <c r="I228" s="541" t="s">
        <v>5452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5469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5478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5445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5406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5462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5524</v>
      </c>
      <c r="I232" s="541" t="s">
        <v>5525</v>
      </c>
      <c r="J232" s="544" t="s">
        <v>5526</v>
      </c>
      <c r="K232" s="545" t="s">
        <v>5527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5466</v>
      </c>
      <c r="F233" s="479" t="s">
        <v>4519</v>
      </c>
      <c r="G233" s="480" t="s">
        <v>35</v>
      </c>
      <c r="H233" s="474" t="s">
        <v>5333</v>
      </c>
      <c r="I233" s="474" t="s">
        <v>5465</v>
      </c>
      <c r="J233" s="474"/>
      <c r="K233" s="136" t="s">
        <v>15</v>
      </c>
      <c r="L233" s="16" t="s">
        <v>5528</v>
      </c>
      <c r="M233" s="8">
        <v>3</v>
      </c>
      <c r="N233" s="439"/>
      <c r="O233" s="446" t="s">
        <v>5467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5453</v>
      </c>
      <c r="I234" s="31" t="s">
        <v>5451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5470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5454</v>
      </c>
      <c r="G235" s="480" t="s">
        <v>143</v>
      </c>
      <c r="H235" s="474" t="s">
        <v>5523</v>
      </c>
      <c r="I235" s="622" t="s">
        <v>5451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5455</v>
      </c>
      <c r="G236" s="480" t="s">
        <v>143</v>
      </c>
      <c r="H236" s="474" t="s">
        <v>5456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/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5471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5488</v>
      </c>
      <c r="I238" s="475"/>
      <c r="J238" s="474" t="s">
        <v>487</v>
      </c>
      <c r="K238" s="136" t="s">
        <v>15</v>
      </c>
      <c r="L238" s="480" t="s">
        <v>5471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5539</v>
      </c>
      <c r="K239" s="136" t="s">
        <v>15</v>
      </c>
      <c r="L239" s="480" t="s">
        <v>5471</v>
      </c>
      <c r="M239" s="476">
        <v>3</v>
      </c>
      <c r="N239" s="642" t="s">
        <v>5567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5463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5479</v>
      </c>
      <c r="G241" s="480" t="s">
        <v>23</v>
      </c>
      <c r="H241" s="623" t="s">
        <v>5480</v>
      </c>
      <c r="I241" s="622"/>
      <c r="J241" s="623" t="s">
        <v>120</v>
      </c>
      <c r="K241" s="125" t="s">
        <v>5481</v>
      </c>
      <c r="L241" s="16">
        <v>9080</v>
      </c>
      <c r="M241" s="627">
        <v>1</v>
      </c>
      <c r="N241" s="622"/>
      <c r="O241" s="446" t="s">
        <v>5556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5458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5457</v>
      </c>
    </row>
    <row r="244" spans="1:16" s="17" customFormat="1" ht="33" customHeight="1">
      <c r="A244" s="441" t="s">
        <v>4501</v>
      </c>
      <c r="B244" s="407">
        <v>46125</v>
      </c>
      <c r="C244" s="4" t="s">
        <v>5388</v>
      </c>
      <c r="D244" s="4" t="s">
        <v>5391</v>
      </c>
      <c r="E244" s="31" t="s">
        <v>5389</v>
      </c>
      <c r="F244" s="193" t="s">
        <v>5390</v>
      </c>
      <c r="G244" s="16" t="s">
        <v>5392</v>
      </c>
      <c r="H244" s="193" t="s">
        <v>5393</v>
      </c>
      <c r="I244" s="31" t="s">
        <v>5398</v>
      </c>
      <c r="J244" s="31" t="s">
        <v>5533</v>
      </c>
      <c r="K244" s="125" t="s">
        <v>5399</v>
      </c>
      <c r="L244" s="16" t="s">
        <v>5401</v>
      </c>
      <c r="M244" s="8">
        <v>2</v>
      </c>
      <c r="N244" s="31"/>
      <c r="O244" s="446" t="s">
        <v>5559</v>
      </c>
      <c r="P244" s="633" t="s">
        <v>5316</v>
      </c>
    </row>
    <row r="245" spans="1:16" s="17" customFormat="1" ht="33" customHeight="1">
      <c r="A245" s="442"/>
      <c r="B245" s="372">
        <v>46125</v>
      </c>
      <c r="C245" s="4" t="s">
        <v>21</v>
      </c>
      <c r="D245" s="4" t="s">
        <v>5394</v>
      </c>
      <c r="E245" s="547" t="s">
        <v>5389</v>
      </c>
      <c r="F245" s="293" t="s">
        <v>5566</v>
      </c>
      <c r="G245" s="16" t="s">
        <v>5395</v>
      </c>
      <c r="H245" s="193" t="s">
        <v>5396</v>
      </c>
      <c r="I245" s="31" t="s">
        <v>5397</v>
      </c>
      <c r="J245" s="31" t="s">
        <v>686</v>
      </c>
      <c r="K245" s="125" t="s">
        <v>5400</v>
      </c>
      <c r="L245" s="16" t="s">
        <v>5401</v>
      </c>
      <c r="M245" s="8">
        <v>2</v>
      </c>
      <c r="N245" s="31"/>
      <c r="O245" s="446" t="s">
        <v>5559</v>
      </c>
      <c r="P245" s="631"/>
    </row>
    <row r="246" spans="1:16" s="17" customFormat="1" ht="33" customHeight="1">
      <c r="A246" s="442"/>
      <c r="B246" s="372">
        <v>46125</v>
      </c>
      <c r="C246" s="4" t="s">
        <v>138</v>
      </c>
      <c r="D246" s="4" t="s">
        <v>5447</v>
      </c>
      <c r="E246" s="475" t="s">
        <v>1791</v>
      </c>
      <c r="F246" s="474" t="s">
        <v>5292</v>
      </c>
      <c r="G246" s="480" t="s">
        <v>5448</v>
      </c>
      <c r="H246" s="642" t="s">
        <v>5477</v>
      </c>
      <c r="I246" s="640"/>
      <c r="J246" s="642" t="s">
        <v>1877</v>
      </c>
      <c r="K246" s="125" t="s">
        <v>5449</v>
      </c>
      <c r="L246" s="16" t="s">
        <v>5450</v>
      </c>
      <c r="M246" s="641">
        <v>2</v>
      </c>
      <c r="N246" s="640"/>
      <c r="O246" s="446" t="s">
        <v>5555</v>
      </c>
      <c r="P246" s="631"/>
    </row>
    <row r="247" spans="1:16" s="17" customFormat="1" ht="33" customHeight="1">
      <c r="A247" s="442"/>
      <c r="B247" s="372">
        <v>46125</v>
      </c>
      <c r="C247" s="4" t="s">
        <v>4897</v>
      </c>
      <c r="D247" s="4" t="s">
        <v>4898</v>
      </c>
      <c r="E247" s="475" t="s">
        <v>1791</v>
      </c>
      <c r="F247" s="640" t="s">
        <v>5483</v>
      </c>
      <c r="G247" s="480" t="s">
        <v>67</v>
      </c>
      <c r="H247" s="642" t="s">
        <v>5602</v>
      </c>
      <c r="I247" s="640" t="s">
        <v>5484</v>
      </c>
      <c r="J247" s="642" t="s">
        <v>686</v>
      </c>
      <c r="K247" s="125" t="s">
        <v>5485</v>
      </c>
      <c r="L247" s="16" t="s">
        <v>4383</v>
      </c>
      <c r="M247" s="641">
        <v>2</v>
      </c>
      <c r="N247" s="640"/>
      <c r="O247" s="446" t="s">
        <v>5560</v>
      </c>
      <c r="P247" s="631"/>
    </row>
    <row r="248" spans="1:16" s="17" customFormat="1" ht="33" customHeight="1">
      <c r="A248" s="442"/>
      <c r="B248" s="372">
        <v>46125</v>
      </c>
      <c r="C248" s="4" t="s">
        <v>4897</v>
      </c>
      <c r="D248" s="4" t="s">
        <v>4898</v>
      </c>
      <c r="E248" s="475" t="s">
        <v>1791</v>
      </c>
      <c r="F248" s="640" t="s">
        <v>5483</v>
      </c>
      <c r="G248" s="480" t="s">
        <v>205</v>
      </c>
      <c r="H248" s="642" t="s">
        <v>5531</v>
      </c>
      <c r="I248" s="640" t="s">
        <v>5484</v>
      </c>
      <c r="J248" s="642" t="s">
        <v>686</v>
      </c>
      <c r="K248" s="125" t="s">
        <v>5485</v>
      </c>
      <c r="L248" s="16" t="s">
        <v>4383</v>
      </c>
      <c r="M248" s="641">
        <v>2</v>
      </c>
      <c r="N248" s="640"/>
      <c r="O248" s="446" t="s">
        <v>5560</v>
      </c>
      <c r="P248" s="631"/>
    </row>
    <row r="249" spans="1:16" s="17" customFormat="1" ht="33" customHeight="1">
      <c r="A249" s="442"/>
      <c r="B249" s="372">
        <v>46125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5529</v>
      </c>
      <c r="H249" s="474" t="s">
        <v>5323</v>
      </c>
      <c r="I249" s="474"/>
      <c r="J249" s="474" t="s">
        <v>5554</v>
      </c>
      <c r="K249" s="545" t="s">
        <v>15</v>
      </c>
      <c r="L249" s="630" t="s">
        <v>5553</v>
      </c>
      <c r="M249" s="641">
        <v>4</v>
      </c>
      <c r="N249" s="640"/>
      <c r="O249" s="446" t="s">
        <v>5561</v>
      </c>
      <c r="P249" s="631"/>
    </row>
    <row r="250" spans="1:16" s="17" customFormat="1" ht="33" customHeight="1">
      <c r="A250" s="442"/>
      <c r="B250" s="407">
        <v>46126</v>
      </c>
      <c r="C250" s="3" t="s">
        <v>21</v>
      </c>
      <c r="D250" s="3" t="s">
        <v>14</v>
      </c>
      <c r="E250" s="475" t="s">
        <v>1897</v>
      </c>
      <c r="F250" s="475" t="s">
        <v>4949</v>
      </c>
      <c r="G250" s="480" t="s">
        <v>5529</v>
      </c>
      <c r="H250" s="474" t="s">
        <v>5323</v>
      </c>
      <c r="I250" s="474" t="s">
        <v>5397</v>
      </c>
      <c r="J250" s="474" t="s">
        <v>5554</v>
      </c>
      <c r="K250" s="545" t="s">
        <v>15</v>
      </c>
      <c r="L250" s="630" t="s">
        <v>5553</v>
      </c>
      <c r="M250" s="641">
        <v>4</v>
      </c>
      <c r="N250" s="640"/>
      <c r="O250" s="446"/>
      <c r="P250" s="633" t="s">
        <v>5316</v>
      </c>
    </row>
    <row r="251" spans="1:16" s="17" customFormat="1" ht="33" customHeight="1">
      <c r="A251" s="442"/>
      <c r="B251" s="407">
        <v>46126</v>
      </c>
      <c r="C251" s="540" t="s">
        <v>5402</v>
      </c>
      <c r="D251" s="540" t="s">
        <v>5403</v>
      </c>
      <c r="E251" s="544" t="s">
        <v>5404</v>
      </c>
      <c r="F251" s="544" t="s">
        <v>3904</v>
      </c>
      <c r="G251" s="543" t="s">
        <v>5405</v>
      </c>
      <c r="H251" s="552" t="s">
        <v>5537</v>
      </c>
      <c r="I251" s="31" t="s">
        <v>5601</v>
      </c>
      <c r="J251" s="193" t="s">
        <v>686</v>
      </c>
      <c r="K251" s="125" t="s">
        <v>105</v>
      </c>
      <c r="L251" s="16" t="s">
        <v>5436</v>
      </c>
      <c r="M251" s="8">
        <v>2</v>
      </c>
      <c r="N251" s="439"/>
      <c r="O251" s="446" t="s">
        <v>5562</v>
      </c>
      <c r="P251" s="631"/>
    </row>
    <row r="252" spans="1:16" s="17" customFormat="1" ht="33" customHeight="1">
      <c r="A252" s="442"/>
      <c r="B252" s="407">
        <v>46126</v>
      </c>
      <c r="C252" s="3" t="s">
        <v>21</v>
      </c>
      <c r="D252" s="3" t="s">
        <v>31</v>
      </c>
      <c r="E252" s="544" t="s">
        <v>5404</v>
      </c>
      <c r="F252" s="475" t="s">
        <v>2333</v>
      </c>
      <c r="G252" s="480" t="s">
        <v>23</v>
      </c>
      <c r="H252" s="474" t="s">
        <v>5487</v>
      </c>
      <c r="I252" s="640" t="s">
        <v>5538</v>
      </c>
      <c r="J252" s="642" t="s">
        <v>686</v>
      </c>
      <c r="K252" s="125" t="s">
        <v>105</v>
      </c>
      <c r="L252" s="16" t="s">
        <v>5436</v>
      </c>
      <c r="M252" s="8">
        <v>3</v>
      </c>
      <c r="N252" s="439"/>
      <c r="O252" s="446" t="s">
        <v>5563</v>
      </c>
      <c r="P252" s="631"/>
    </row>
    <row r="253" spans="1:16" s="17" customFormat="1" ht="33" customHeight="1">
      <c r="A253" s="442"/>
      <c r="B253" s="407">
        <v>46127</v>
      </c>
      <c r="C253" s="4" t="s">
        <v>5473</v>
      </c>
      <c r="D253" s="4" t="s">
        <v>5474</v>
      </c>
      <c r="E253" s="293" t="s">
        <v>3313</v>
      </c>
      <c r="F253" s="31" t="s">
        <v>5475</v>
      </c>
      <c r="G253" s="16" t="s">
        <v>5476</v>
      </c>
      <c r="H253" s="193" t="s">
        <v>5557</v>
      </c>
      <c r="I253" s="31" t="s">
        <v>5536</v>
      </c>
      <c r="J253" s="31"/>
      <c r="K253" s="125" t="s">
        <v>5527</v>
      </c>
      <c r="L253" s="16" t="s">
        <v>5541</v>
      </c>
      <c r="M253" s="8">
        <v>1</v>
      </c>
      <c r="N253" s="31"/>
      <c r="O253" s="450" t="s">
        <v>5564</v>
      </c>
      <c r="P253" s="633" t="s">
        <v>5316</v>
      </c>
    </row>
    <row r="254" spans="1:16" s="17" customFormat="1" ht="33" customHeight="1">
      <c r="A254" s="442"/>
      <c r="B254" s="407">
        <v>46127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5529</v>
      </c>
      <c r="H254" s="474" t="s">
        <v>5323</v>
      </c>
      <c r="I254" s="474"/>
      <c r="J254" s="474" t="s">
        <v>5530</v>
      </c>
      <c r="K254" s="545" t="s">
        <v>15</v>
      </c>
      <c r="L254" s="630">
        <v>9080</v>
      </c>
      <c r="M254" s="641">
        <v>3</v>
      </c>
      <c r="N254" s="640"/>
      <c r="O254" s="450"/>
      <c r="P254" s="631"/>
    </row>
    <row r="255" spans="1:16" s="17" customFormat="1" ht="33" customHeight="1">
      <c r="A255" s="442"/>
      <c r="B255" s="407">
        <v>46128</v>
      </c>
      <c r="C255" s="3" t="s">
        <v>21</v>
      </c>
      <c r="D255" s="3" t="s">
        <v>30</v>
      </c>
      <c r="E255" s="475" t="s">
        <v>107</v>
      </c>
      <c r="F255" s="475" t="s">
        <v>2570</v>
      </c>
      <c r="G255" s="480" t="s">
        <v>3746</v>
      </c>
      <c r="H255" s="474" t="s">
        <v>4852</v>
      </c>
      <c r="I255" s="475" t="s">
        <v>5549</v>
      </c>
      <c r="J255" s="475" t="s">
        <v>4393</v>
      </c>
      <c r="K255" s="136" t="s">
        <v>15</v>
      </c>
      <c r="L255" s="480" t="s">
        <v>5440</v>
      </c>
      <c r="M255" s="8">
        <v>3</v>
      </c>
      <c r="N255" s="439"/>
      <c r="O255" s="446" t="s">
        <v>5565</v>
      </c>
      <c r="P255" s="633" t="s">
        <v>5316</v>
      </c>
    </row>
    <row r="256" spans="1:16" s="17" customFormat="1" ht="33" customHeight="1">
      <c r="A256" s="442"/>
      <c r="B256" s="372">
        <v>46128</v>
      </c>
      <c r="C256" s="4" t="s">
        <v>5206</v>
      </c>
      <c r="D256" s="4" t="s">
        <v>5245</v>
      </c>
      <c r="E256" s="293" t="s">
        <v>5246</v>
      </c>
      <c r="F256" s="31" t="s">
        <v>5247</v>
      </c>
      <c r="G256" s="16" t="s">
        <v>5248</v>
      </c>
      <c r="H256" s="193" t="s">
        <v>5550</v>
      </c>
      <c r="I256" s="31" t="s">
        <v>5249</v>
      </c>
      <c r="J256" s="31"/>
      <c r="K256" s="125" t="s">
        <v>5250</v>
      </c>
      <c r="L256" s="16" t="s">
        <v>5251</v>
      </c>
      <c r="M256" s="8">
        <v>1</v>
      </c>
      <c r="N256" s="31"/>
      <c r="O256" s="450"/>
      <c r="P256" s="631"/>
    </row>
    <row r="257" spans="1:16" s="17" customFormat="1" ht="33" customHeight="1">
      <c r="A257" s="442"/>
      <c r="B257" s="372">
        <v>46128</v>
      </c>
      <c r="C257" s="4" t="s">
        <v>4897</v>
      </c>
      <c r="D257" s="4" t="s">
        <v>4898</v>
      </c>
      <c r="E257" s="475" t="s">
        <v>1791</v>
      </c>
      <c r="F257" s="640" t="s">
        <v>5479</v>
      </c>
      <c r="G257" s="480" t="s">
        <v>23</v>
      </c>
      <c r="H257" s="623" t="s">
        <v>5482</v>
      </c>
      <c r="I257" s="475"/>
      <c r="J257" s="474" t="s">
        <v>5542</v>
      </c>
      <c r="K257" s="136" t="s">
        <v>5527</v>
      </c>
      <c r="L257" s="480" t="s">
        <v>4559</v>
      </c>
      <c r="M257" s="476">
        <v>2</v>
      </c>
      <c r="N257" s="622"/>
      <c r="O257" s="446" t="s">
        <v>5558</v>
      </c>
      <c r="P257" s="631"/>
    </row>
    <row r="258" spans="1:16" s="17" customFormat="1" ht="33" customHeight="1">
      <c r="A258" s="442"/>
      <c r="B258" s="372">
        <v>46128</v>
      </c>
      <c r="C258" s="3" t="s">
        <v>21</v>
      </c>
      <c r="D258" s="3" t="s">
        <v>14</v>
      </c>
      <c r="E258" s="475" t="s">
        <v>1897</v>
      </c>
      <c r="F258" s="475" t="s">
        <v>4949</v>
      </c>
      <c r="G258" s="480" t="s">
        <v>5529</v>
      </c>
      <c r="H258" s="474" t="s">
        <v>5323</v>
      </c>
      <c r="I258" s="474"/>
      <c r="J258" s="474" t="s">
        <v>5530</v>
      </c>
      <c r="K258" s="545" t="s">
        <v>15</v>
      </c>
      <c r="L258" s="630">
        <v>9080</v>
      </c>
      <c r="M258" s="641">
        <v>3</v>
      </c>
      <c r="N258" s="640"/>
      <c r="O258" s="450"/>
      <c r="P258" s="631"/>
    </row>
    <row r="259" spans="1:16" s="17" customFormat="1" ht="33" customHeight="1">
      <c r="A259" s="442"/>
      <c r="B259" s="407">
        <v>46129</v>
      </c>
      <c r="C259" s="3" t="s">
        <v>21</v>
      </c>
      <c r="D259" s="3" t="s">
        <v>14</v>
      </c>
      <c r="E259" s="475" t="s">
        <v>1897</v>
      </c>
      <c r="F259" s="475" t="s">
        <v>4949</v>
      </c>
      <c r="G259" s="480" t="s">
        <v>5529</v>
      </c>
      <c r="H259" s="474" t="s">
        <v>5323</v>
      </c>
      <c r="I259" s="474"/>
      <c r="J259" s="474" t="s">
        <v>5530</v>
      </c>
      <c r="K259" s="545" t="s">
        <v>15</v>
      </c>
      <c r="L259" s="630">
        <v>9080</v>
      </c>
      <c r="M259" s="641">
        <v>3</v>
      </c>
      <c r="N259" s="31" t="s">
        <v>4674</v>
      </c>
      <c r="O259" s="449"/>
      <c r="P259" s="631"/>
    </row>
    <row r="260" spans="1:16" s="17" customFormat="1" ht="33" customHeight="1">
      <c r="A260" s="442"/>
      <c r="B260" s="372">
        <v>46129</v>
      </c>
      <c r="C260" s="540" t="s">
        <v>21</v>
      </c>
      <c r="D260" s="540" t="s">
        <v>17</v>
      </c>
      <c r="E260" s="544" t="s">
        <v>78</v>
      </c>
      <c r="F260" s="544" t="s">
        <v>3904</v>
      </c>
      <c r="G260" s="543" t="s">
        <v>36</v>
      </c>
      <c r="H260" s="642" t="s">
        <v>5551</v>
      </c>
      <c r="I260" s="640" t="s">
        <v>5540</v>
      </c>
      <c r="J260" s="642" t="s">
        <v>5526</v>
      </c>
      <c r="K260" s="125" t="s">
        <v>105</v>
      </c>
      <c r="L260" s="16" t="s">
        <v>4383</v>
      </c>
      <c r="M260" s="641">
        <v>2</v>
      </c>
      <c r="N260" s="31"/>
      <c r="O260" s="446"/>
      <c r="P260" s="633" t="s">
        <v>5316</v>
      </c>
    </row>
    <row r="261" spans="1:16" s="17" customFormat="1" ht="33" customHeight="1">
      <c r="A261" s="442"/>
      <c r="B261" s="407">
        <v>46130</v>
      </c>
      <c r="C261" s="3"/>
      <c r="D261" s="3"/>
      <c r="E261" s="475"/>
      <c r="F261" s="475"/>
      <c r="G261" s="480"/>
      <c r="H261" s="474"/>
      <c r="I261" s="474"/>
      <c r="J261" s="474"/>
      <c r="K261" s="545"/>
      <c r="L261" s="630"/>
      <c r="M261" s="8"/>
      <c r="N261" s="193"/>
      <c r="O261" s="456"/>
      <c r="P261" s="631"/>
    </row>
    <row r="262" spans="1:16" s="17" customFormat="1" ht="33" customHeight="1">
      <c r="A262" s="443"/>
      <c r="B262" s="407">
        <v>46130</v>
      </c>
      <c r="C262" s="4"/>
      <c r="D262" s="4"/>
      <c r="E262" s="31"/>
      <c r="F262" s="31"/>
      <c r="G262" s="16"/>
      <c r="H262" s="193"/>
      <c r="I262" s="193"/>
      <c r="J262" s="193"/>
      <c r="K262" s="125"/>
      <c r="L262" s="16"/>
      <c r="M262" s="8"/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5457</v>
      </c>
    </row>
    <row r="264" spans="1:16" s="17" customFormat="1" ht="33" customHeight="1">
      <c r="A264" s="441" t="s">
        <v>4502</v>
      </c>
      <c r="B264" s="407">
        <v>46132</v>
      </c>
      <c r="C264" s="3"/>
      <c r="D264" s="3"/>
      <c r="E264" s="474"/>
      <c r="F264" s="475"/>
      <c r="G264" s="480"/>
      <c r="H264" s="474"/>
      <c r="I264" s="619"/>
      <c r="J264" s="619"/>
      <c r="K264" s="125"/>
      <c r="L264" s="16"/>
      <c r="M264" s="8"/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/>
      <c r="D265" s="4"/>
      <c r="E265" s="293"/>
      <c r="F265" s="31"/>
      <c r="G265" s="16"/>
      <c r="H265" s="193"/>
      <c r="I265" s="31"/>
      <c r="J265" s="31"/>
      <c r="K265" s="125"/>
      <c r="L265" s="16"/>
      <c r="M265" s="8"/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4"/>
      <c r="D267" s="4"/>
      <c r="E267" s="31"/>
      <c r="F267" s="31"/>
      <c r="G267" s="16"/>
      <c r="H267" s="193"/>
      <c r="I267" s="31"/>
      <c r="J267" s="193"/>
      <c r="K267" s="125"/>
      <c r="L267" s="16"/>
      <c r="M267" s="8"/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5535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4"/>
      <c r="D269" s="4"/>
      <c r="E269" s="293"/>
      <c r="F269" s="31"/>
      <c r="G269" s="16"/>
      <c r="H269" s="193"/>
      <c r="I269" s="31"/>
      <c r="J269" s="31"/>
      <c r="K269" s="125"/>
      <c r="L269" s="16"/>
      <c r="M269" s="8"/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4"/>
      <c r="D271" s="4"/>
      <c r="E271" s="293"/>
      <c r="F271" s="31"/>
      <c r="G271" s="16"/>
      <c r="H271" s="193"/>
      <c r="I271" s="31"/>
      <c r="J271" s="31"/>
      <c r="K271" s="125"/>
      <c r="L271" s="16"/>
      <c r="M271" s="8"/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5439</v>
      </c>
      <c r="I272" s="475" t="s">
        <v>5534</v>
      </c>
      <c r="J272" s="475" t="s">
        <v>686</v>
      </c>
      <c r="K272" s="136" t="s">
        <v>15</v>
      </c>
      <c r="L272" s="480" t="s">
        <v>5440</v>
      </c>
      <c r="M272" s="8">
        <v>2</v>
      </c>
      <c r="N272" s="31" t="s">
        <v>5552</v>
      </c>
      <c r="O272" s="447"/>
      <c r="P272" s="631"/>
    </row>
    <row r="273" spans="1:16" s="17" customFormat="1" ht="33" customHeight="1">
      <c r="A273" s="442"/>
      <c r="B273" s="407">
        <v>46136</v>
      </c>
      <c r="C273" s="4"/>
      <c r="D273" s="4"/>
      <c r="E273" s="31"/>
      <c r="F273" s="31"/>
      <c r="G273" s="16"/>
      <c r="H273" s="193"/>
      <c r="I273" s="31"/>
      <c r="J273" s="31"/>
      <c r="K273" s="125"/>
      <c r="L273" s="16"/>
      <c r="M273" s="8"/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5457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5486</v>
      </c>
      <c r="I277" s="640" t="s">
        <v>5397</v>
      </c>
      <c r="J277" s="640" t="s">
        <v>5464</v>
      </c>
      <c r="K277" s="125" t="s">
        <v>5399</v>
      </c>
      <c r="L277" s="16" t="s">
        <v>5401</v>
      </c>
      <c r="M277" s="641">
        <v>2</v>
      </c>
      <c r="N277" s="31" t="s">
        <v>4674</v>
      </c>
      <c r="O277" s="449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49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5472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450" t="s">
        <v>5543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48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48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0"/>
      <c r="P282" s="631"/>
    </row>
    <row r="283" spans="1:16" s="17" customFormat="1" ht="33" customHeight="1">
      <c r="A283" s="442"/>
      <c r="B283" s="407">
        <v>46142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48"/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450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47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46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456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450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5457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5457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5457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5457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5457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5457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9"/>
  <sheetViews>
    <sheetView zoomScaleNormal="100" zoomScaleSheetLayoutView="115" workbookViewId="0">
      <pane ySplit="2" topLeftCell="A1371" activePane="bottomLeft" state="frozen"/>
      <selection pane="bottomLeft" activeCell="I1387" sqref="I138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0" t="s">
        <v>161</v>
      </c>
      <c r="B1" s="770" t="s">
        <v>162</v>
      </c>
      <c r="C1" s="768" t="s">
        <v>1</v>
      </c>
      <c r="D1" s="768" t="s">
        <v>2</v>
      </c>
      <c r="E1" s="768" t="s">
        <v>3</v>
      </c>
      <c r="F1" s="27" t="s">
        <v>54</v>
      </c>
      <c r="G1" s="768" t="s">
        <v>5</v>
      </c>
      <c r="H1" s="768" t="s">
        <v>6</v>
      </c>
      <c r="I1" s="768" t="s">
        <v>7</v>
      </c>
      <c r="J1" s="768" t="s">
        <v>55</v>
      </c>
      <c r="K1" s="772" t="s">
        <v>483</v>
      </c>
      <c r="L1" s="774" t="s">
        <v>56</v>
      </c>
      <c r="M1" s="766" t="s">
        <v>57</v>
      </c>
      <c r="N1" s="768" t="s">
        <v>58</v>
      </c>
    </row>
    <row r="2" spans="1:14">
      <c r="A2" s="771"/>
      <c r="B2" s="771"/>
      <c r="C2" s="769"/>
      <c r="D2" s="769"/>
      <c r="E2" s="769"/>
      <c r="F2" s="28" t="s">
        <v>59</v>
      </c>
      <c r="G2" s="769"/>
      <c r="H2" s="769"/>
      <c r="I2" s="769"/>
      <c r="J2" s="769"/>
      <c r="K2" s="773"/>
      <c r="L2" s="775"/>
      <c r="M2" s="767"/>
      <c r="N2" s="769"/>
    </row>
    <row r="3" spans="1:14" ht="27">
      <c r="A3" s="55">
        <v>1</v>
      </c>
      <c r="B3" s="72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3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2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45"/>
      <c r="C9" s="7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45"/>
      <c r="C10" s="7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45"/>
      <c r="C12" s="7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45"/>
      <c r="C13" s="7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45"/>
      <c r="C14" s="7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45"/>
      <c r="C15" s="7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45"/>
      <c r="C16" s="7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3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2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3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1"/>
    </row>
    <row r="24" spans="1:17" ht="27">
      <c r="A24" s="55">
        <v>4</v>
      </c>
      <c r="B24" s="729" t="s">
        <v>21</v>
      </c>
      <c r="C24" s="7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35" t="s">
        <v>85</v>
      </c>
      <c r="K24" s="752" t="s">
        <v>41</v>
      </c>
      <c r="L24" s="6" t="s">
        <v>15</v>
      </c>
      <c r="M24" s="757">
        <v>180000</v>
      </c>
      <c r="N24" s="45" t="s">
        <v>194</v>
      </c>
    </row>
    <row r="25" spans="1:17" ht="27">
      <c r="A25" s="55">
        <v>4</v>
      </c>
      <c r="B25" s="745"/>
      <c r="C25" s="7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36"/>
      <c r="K25" s="753"/>
      <c r="L25" s="6" t="s">
        <v>15</v>
      </c>
      <c r="M25" s="758"/>
      <c r="N25" s="45" t="s">
        <v>194</v>
      </c>
    </row>
    <row r="26" spans="1:17">
      <c r="A26" s="55">
        <v>4</v>
      </c>
      <c r="B26" s="745"/>
      <c r="C26" s="7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30"/>
      <c r="C27" s="7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2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45"/>
      <c r="C32" s="7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45"/>
      <c r="C33" s="7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3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29" t="s">
        <v>20</v>
      </c>
      <c r="C35" s="7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30"/>
      <c r="C36" s="7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29" t="s">
        <v>20</v>
      </c>
      <c r="C37" s="7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30"/>
      <c r="C38" s="7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6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64"/>
      <c r="C40" s="7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64"/>
      <c r="C41" s="7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6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55"/>
      <c r="C45" s="7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55"/>
      <c r="C46" s="76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5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6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6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6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5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6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2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3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29" t="s">
        <v>64</v>
      </c>
      <c r="C67" s="7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2" t="s">
        <v>435</v>
      </c>
      <c r="L67" s="6" t="s">
        <v>436</v>
      </c>
      <c r="M67" s="757">
        <v>750000</v>
      </c>
      <c r="N67" s="45" t="s">
        <v>446</v>
      </c>
    </row>
    <row r="68" spans="1:15" ht="27">
      <c r="A68" s="55">
        <v>19</v>
      </c>
      <c r="B68" s="745"/>
      <c r="C68" s="7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3"/>
      <c r="L68" s="6" t="s">
        <v>411</v>
      </c>
      <c r="M68" s="758"/>
      <c r="N68" s="45" t="s">
        <v>445</v>
      </c>
    </row>
    <row r="69" spans="1:15">
      <c r="A69" s="55">
        <v>19</v>
      </c>
      <c r="B69" s="745"/>
      <c r="C69" s="7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3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2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3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2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3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2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3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45"/>
      <c r="C83" s="7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45"/>
      <c r="C84" s="7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45"/>
      <c r="C85" s="7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45"/>
      <c r="C86" s="7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3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2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3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2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45"/>
      <c r="C93" s="7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45"/>
      <c r="C94" s="7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45"/>
      <c r="C95" s="7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3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29" t="s">
        <v>21</v>
      </c>
      <c r="C99" s="7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45"/>
      <c r="C100" s="7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3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2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3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2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3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46" t="s">
        <v>658</v>
      </c>
      <c r="C110" s="7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7"/>
      <c r="C111" s="77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7"/>
      <c r="C112" s="78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79"/>
      <c r="C113" s="77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8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7"/>
      <c r="C115" s="7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48"/>
      <c r="C116" s="77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29" t="s">
        <v>20</v>
      </c>
      <c r="C117" s="78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35" t="s">
        <v>168</v>
      </c>
      <c r="K117" s="752" t="s">
        <v>645</v>
      </c>
      <c r="L117" s="57" t="s">
        <v>209</v>
      </c>
      <c r="M117" s="781">
        <f>250000*5</f>
        <v>1250000</v>
      </c>
      <c r="N117" s="729" t="s">
        <v>121</v>
      </c>
    </row>
    <row r="118" spans="1:14">
      <c r="A118" s="101">
        <v>28</v>
      </c>
      <c r="B118" s="745"/>
      <c r="C118" s="7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91"/>
      <c r="K118" s="790"/>
      <c r="L118" s="57" t="s">
        <v>209</v>
      </c>
      <c r="M118" s="782"/>
      <c r="N118" s="745"/>
    </row>
    <row r="119" spans="1:14">
      <c r="A119" s="101">
        <v>28</v>
      </c>
      <c r="B119" s="745"/>
      <c r="C119" s="7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36"/>
      <c r="K119" s="753"/>
      <c r="L119" s="57" t="s">
        <v>209</v>
      </c>
      <c r="M119" s="783"/>
      <c r="N119" s="730"/>
    </row>
    <row r="120" spans="1:14">
      <c r="A120" s="101">
        <v>28</v>
      </c>
      <c r="B120" s="730"/>
      <c r="C120" s="7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46" t="s">
        <v>307</v>
      </c>
      <c r="C122" s="7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47"/>
      <c r="C123" s="7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46" t="s">
        <v>664</v>
      </c>
      <c r="K123" s="754" t="s">
        <v>707</v>
      </c>
      <c r="L123" s="110" t="s">
        <v>324</v>
      </c>
      <c r="M123" s="784" t="s">
        <v>708</v>
      </c>
      <c r="N123" s="110"/>
    </row>
    <row r="124" spans="1:14">
      <c r="A124" s="55">
        <v>29</v>
      </c>
      <c r="B124" s="747"/>
      <c r="C124" s="7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7"/>
      <c r="K124" s="755"/>
      <c r="L124" s="110" t="s">
        <v>324</v>
      </c>
      <c r="M124" s="785"/>
      <c r="N124" s="110"/>
    </row>
    <row r="125" spans="1:14">
      <c r="A125" s="55">
        <v>29</v>
      </c>
      <c r="B125" s="747"/>
      <c r="C125" s="7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48"/>
      <c r="K125" s="756"/>
      <c r="L125" s="110" t="s">
        <v>324</v>
      </c>
      <c r="M125" s="786"/>
      <c r="N125" s="110"/>
    </row>
    <row r="126" spans="1:14">
      <c r="A126" s="55">
        <v>29</v>
      </c>
      <c r="B126" s="748"/>
      <c r="C126" s="74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47"/>
      <c r="C130" s="7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47"/>
      <c r="C131" s="74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47"/>
      <c r="C132" s="7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47"/>
      <c r="C133" s="74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4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29" t="s">
        <v>618</v>
      </c>
      <c r="C135" s="7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45"/>
      <c r="C136" s="7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45"/>
      <c r="C137" s="7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30"/>
      <c r="C138" s="7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2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45"/>
      <c r="C140" s="7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45"/>
      <c r="C141" s="7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29" t="s">
        <v>735</v>
      </c>
    </row>
    <row r="142" spans="1:14">
      <c r="A142" s="55">
        <v>30</v>
      </c>
      <c r="B142" s="73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2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3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29" t="s">
        <v>20</v>
      </c>
      <c r="C146" s="727" t="s">
        <v>869</v>
      </c>
      <c r="D146" s="752" t="s">
        <v>19</v>
      </c>
      <c r="E146" s="78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30"/>
      <c r="C147" s="728"/>
      <c r="D147" s="753"/>
      <c r="E147" s="78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29" t="s">
        <v>123</v>
      </c>
      <c r="C148" s="727" t="s">
        <v>782</v>
      </c>
      <c r="D148" s="752" t="s">
        <v>19</v>
      </c>
      <c r="E148" s="78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30"/>
      <c r="C149" s="728"/>
      <c r="D149" s="753"/>
      <c r="E149" s="78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2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3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2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29" t="s">
        <v>247</v>
      </c>
    </row>
    <row r="154" spans="1:14" ht="27">
      <c r="A154" s="55">
        <v>34</v>
      </c>
      <c r="B154" s="745"/>
      <c r="C154" s="7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45"/>
    </row>
    <row r="155" spans="1:14" ht="27">
      <c r="A155" s="55">
        <v>34</v>
      </c>
      <c r="B155" s="745"/>
      <c r="C155" s="7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0"/>
    </row>
    <row r="156" spans="1:14" ht="27">
      <c r="A156" s="55">
        <v>34</v>
      </c>
      <c r="B156" s="745"/>
      <c r="C156" s="7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29" t="s">
        <v>825</v>
      </c>
    </row>
    <row r="157" spans="1:14" ht="27">
      <c r="A157" s="55">
        <v>34</v>
      </c>
      <c r="B157" s="745"/>
      <c r="C157" s="7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45"/>
    </row>
    <row r="158" spans="1:14" ht="27">
      <c r="A158" s="55">
        <v>34</v>
      </c>
      <c r="B158" s="745"/>
      <c r="C158" s="7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45"/>
    </row>
    <row r="159" spans="1:14" ht="27">
      <c r="A159" s="55">
        <v>34</v>
      </c>
      <c r="B159" s="745"/>
      <c r="C159" s="7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45"/>
    </row>
    <row r="160" spans="1:14" ht="27">
      <c r="A160" s="55">
        <v>34</v>
      </c>
      <c r="B160" s="7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45"/>
    </row>
    <row r="161" spans="1:15" ht="27">
      <c r="A161" s="55">
        <v>34</v>
      </c>
      <c r="B161" s="7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0"/>
    </row>
    <row r="162" spans="1:15" ht="27">
      <c r="A162" s="55">
        <v>34</v>
      </c>
      <c r="B162" s="73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3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02" t="s">
        <v>849</v>
      </c>
      <c r="C167" s="72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03"/>
      <c r="C168" s="72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03"/>
      <c r="C169" s="72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04"/>
      <c r="C170" s="72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0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0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0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0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0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0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0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03"/>
      <c r="C178" s="72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04"/>
      <c r="C179" s="72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0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03"/>
      <c r="C181" s="7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35" t="s">
        <v>838</v>
      </c>
      <c r="K181" s="752" t="s">
        <v>985</v>
      </c>
      <c r="L181" s="6" t="s">
        <v>910</v>
      </c>
      <c r="M181" s="781">
        <f>180000+200000+200000</f>
        <v>580000</v>
      </c>
      <c r="N181" s="45" t="s">
        <v>806</v>
      </c>
    </row>
    <row r="182" spans="1:14">
      <c r="A182" s="55">
        <v>36</v>
      </c>
      <c r="B182" s="703"/>
      <c r="C182" s="7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36"/>
      <c r="K182" s="753"/>
      <c r="L182" s="6" t="s">
        <v>911</v>
      </c>
      <c r="M182" s="783"/>
      <c r="N182" s="45" t="s">
        <v>806</v>
      </c>
    </row>
    <row r="183" spans="1:14">
      <c r="A183" s="55">
        <v>36</v>
      </c>
      <c r="B183" s="703"/>
      <c r="C183" s="7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0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0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0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03"/>
      <c r="C187" s="72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04"/>
      <c r="C188" s="72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0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0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0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02" t="s">
        <v>939</v>
      </c>
      <c r="C192" s="72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03"/>
      <c r="C193" s="72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0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0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03"/>
      <c r="C196" s="7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03"/>
      <c r="C197" s="7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03"/>
      <c r="C198" s="7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04"/>
      <c r="C199" s="7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02" t="s">
        <v>20</v>
      </c>
      <c r="C200" s="72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03"/>
      <c r="C201" s="72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03"/>
      <c r="C202" s="72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04"/>
      <c r="C203" s="72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0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0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0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02" t="s">
        <v>20</v>
      </c>
      <c r="C207" s="72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03"/>
      <c r="C208" s="72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0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0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0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0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0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0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0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0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0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02" t="s">
        <v>20</v>
      </c>
      <c r="C218" s="72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03"/>
      <c r="C219" s="72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0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0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0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0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0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0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29" t="s">
        <v>247</v>
      </c>
    </row>
    <row r="226" spans="1:14">
      <c r="A226" s="55">
        <v>44</v>
      </c>
      <c r="B226" s="70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45"/>
    </row>
    <row r="227" spans="1:14">
      <c r="A227" s="55">
        <v>44</v>
      </c>
      <c r="B227" s="70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0"/>
    </row>
    <row r="228" spans="1:14">
      <c r="A228" s="55">
        <v>44</v>
      </c>
      <c r="B228" s="70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0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0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0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0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0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0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0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0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0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0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0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0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0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0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0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0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0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0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03"/>
      <c r="C249" s="72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29" t="s">
        <v>247</v>
      </c>
    </row>
    <row r="250" spans="1:14">
      <c r="A250" s="55">
        <v>48</v>
      </c>
      <c r="B250" s="704"/>
      <c r="C250" s="72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0"/>
    </row>
    <row r="251" spans="1:14">
      <c r="A251" s="55">
        <v>48</v>
      </c>
      <c r="B251" s="70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0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0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0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0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03"/>
      <c r="C256" s="72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29" t="s">
        <v>247</v>
      </c>
    </row>
    <row r="257" spans="1:14">
      <c r="A257" s="55">
        <v>49</v>
      </c>
      <c r="B257" s="704"/>
      <c r="C257" s="72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0"/>
    </row>
    <row r="258" spans="1:14" ht="40.5">
      <c r="A258" s="55">
        <v>49</v>
      </c>
      <c r="B258" s="70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0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1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1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13" t="s">
        <v>1103</v>
      </c>
    </row>
    <row r="262" spans="1:14" ht="25.5">
      <c r="A262" s="132">
        <v>49</v>
      </c>
      <c r="B262" s="71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4"/>
    </row>
    <row r="263" spans="1:14" ht="16.5" customHeight="1">
      <c r="A263" s="55">
        <v>50</v>
      </c>
      <c r="B263" s="702" t="s">
        <v>20</v>
      </c>
      <c r="C263" s="72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03"/>
      <c r="C264" s="72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03"/>
      <c r="C265" s="72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03"/>
      <c r="C266" s="72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04"/>
      <c r="C267" s="72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15" t="s">
        <v>658</v>
      </c>
      <c r="C268" s="71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16"/>
      <c r="C269" s="74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17"/>
      <c r="C270" s="71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02" t="s">
        <v>20</v>
      </c>
      <c r="C271" s="72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03"/>
      <c r="C272" s="72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03"/>
      <c r="C273" s="72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0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03"/>
      <c r="C275" s="72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03"/>
      <c r="C276" s="72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0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39" t="s">
        <v>1196</v>
      </c>
      <c r="B278" s="740"/>
      <c r="C278" s="740"/>
      <c r="D278" s="740"/>
      <c r="E278" s="740"/>
      <c r="F278" s="740"/>
      <c r="G278" s="740"/>
      <c r="H278" s="740"/>
      <c r="I278" s="740"/>
      <c r="J278" s="740"/>
      <c r="K278" s="740"/>
      <c r="L278" s="740"/>
      <c r="M278" s="740"/>
      <c r="N278" s="741"/>
    </row>
    <row r="279" spans="1:15" ht="16.5" customHeight="1">
      <c r="A279" s="55">
        <v>1</v>
      </c>
      <c r="B279" s="702" t="s">
        <v>20</v>
      </c>
      <c r="C279" s="72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04"/>
      <c r="C280" s="72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02" t="s">
        <v>64</v>
      </c>
      <c r="C281" s="72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03"/>
      <c r="C282" s="72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03"/>
      <c r="C283" s="72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35" t="s">
        <v>1174</v>
      </c>
      <c r="K283" s="7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03"/>
      <c r="C284" s="72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36"/>
      <c r="K284" s="7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0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0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42" t="s">
        <v>123</v>
      </c>
      <c r="C287" s="71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43"/>
      <c r="C288" s="71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15" t="s">
        <v>64</v>
      </c>
      <c r="C289" s="71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16"/>
      <c r="C290" s="7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16"/>
      <c r="C291" s="7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13" t="s">
        <v>638</v>
      </c>
      <c r="K291" s="731" t="s">
        <v>671</v>
      </c>
      <c r="L291" s="148" t="s">
        <v>309</v>
      </c>
      <c r="M291" s="722" t="s">
        <v>672</v>
      </c>
      <c r="N291" s="148" t="s">
        <v>723</v>
      </c>
    </row>
    <row r="292" spans="1:15">
      <c r="A292" s="55">
        <v>2</v>
      </c>
      <c r="B292" s="716"/>
      <c r="C292" s="7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4"/>
      <c r="K292" s="732"/>
      <c r="L292" s="148" t="s">
        <v>309</v>
      </c>
      <c r="M292" s="723"/>
      <c r="N292" s="148" t="s">
        <v>723</v>
      </c>
    </row>
    <row r="293" spans="1:15">
      <c r="A293" s="55">
        <v>2</v>
      </c>
      <c r="B293" s="716"/>
      <c r="C293" s="7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16"/>
      <c r="C294" s="71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1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02" t="s">
        <v>20</v>
      </c>
      <c r="C296" s="72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03"/>
      <c r="C297" s="72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04"/>
      <c r="C298" s="72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0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0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0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02" t="s">
        <v>20</v>
      </c>
      <c r="C302" s="72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03"/>
      <c r="C303" s="72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03"/>
      <c r="C304" s="72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03"/>
      <c r="C305" s="72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04"/>
      <c r="C306" s="72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02" t="s">
        <v>20</v>
      </c>
      <c r="C308" s="72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04"/>
      <c r="C309" s="72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0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0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0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15" t="s">
        <v>307</v>
      </c>
      <c r="C313" s="71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17"/>
      <c r="C314" s="71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02" t="s">
        <v>20</v>
      </c>
      <c r="C316" s="72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03"/>
      <c r="C317" s="72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04"/>
      <c r="C318" s="72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0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0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0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02" t="s">
        <v>20</v>
      </c>
      <c r="C322" s="72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04"/>
      <c r="C323" s="72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0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0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0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0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0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02" t="s">
        <v>20</v>
      </c>
      <c r="C329" s="72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03"/>
      <c r="C330" s="72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04"/>
      <c r="C331" s="72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0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0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02" t="s">
        <v>20</v>
      </c>
      <c r="C334" s="72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03"/>
      <c r="C335" s="72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03"/>
      <c r="C336" s="72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04"/>
      <c r="C337" s="72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0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0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0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0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02" t="s">
        <v>20</v>
      </c>
      <c r="C342" s="72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03"/>
      <c r="C343" s="72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0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0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0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0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0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03"/>
      <c r="C349" s="7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04"/>
      <c r="C350" s="7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1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1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1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1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1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1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1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1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1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0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0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0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0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0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0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0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0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0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0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0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0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0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0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0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15" t="s">
        <v>307</v>
      </c>
      <c r="C375" s="128" t="s">
        <v>1531</v>
      </c>
      <c r="D375" s="713" t="s">
        <v>306</v>
      </c>
      <c r="E375" s="713" t="s">
        <v>322</v>
      </c>
      <c r="F375" s="713" t="s">
        <v>307</v>
      </c>
      <c r="G375" s="718">
        <v>4266</v>
      </c>
      <c r="H375" s="713" t="s">
        <v>640</v>
      </c>
      <c r="I375" s="718" t="s">
        <v>1533</v>
      </c>
      <c r="J375" s="713" t="s">
        <v>1534</v>
      </c>
      <c r="K375" s="720" t="s">
        <v>692</v>
      </c>
      <c r="L375" s="713" t="s">
        <v>324</v>
      </c>
      <c r="M375" s="722" t="s">
        <v>1535</v>
      </c>
      <c r="N375" s="713" t="s">
        <v>425</v>
      </c>
    </row>
    <row r="376" spans="1:19">
      <c r="A376" s="199" t="s">
        <v>1539</v>
      </c>
      <c r="B376" s="716"/>
      <c r="C376" s="129" t="s">
        <v>1532</v>
      </c>
      <c r="D376" s="714"/>
      <c r="E376" s="714"/>
      <c r="F376" s="714"/>
      <c r="G376" s="719"/>
      <c r="H376" s="714"/>
      <c r="I376" s="719"/>
      <c r="J376" s="714"/>
      <c r="K376" s="721"/>
      <c r="L376" s="714"/>
      <c r="M376" s="723"/>
      <c r="N376" s="714"/>
    </row>
    <row r="377" spans="1:19">
      <c r="A377" s="199" t="s">
        <v>1539</v>
      </c>
      <c r="B377" s="716"/>
      <c r="C377" s="128" t="s">
        <v>1536</v>
      </c>
      <c r="D377" s="713" t="s">
        <v>306</v>
      </c>
      <c r="E377" s="713" t="s">
        <v>322</v>
      </c>
      <c r="F377" s="713" t="s">
        <v>307</v>
      </c>
      <c r="G377" s="718">
        <v>3306</v>
      </c>
      <c r="H377" s="713" t="s">
        <v>1153</v>
      </c>
      <c r="I377" s="718" t="s">
        <v>1538</v>
      </c>
      <c r="J377" s="713" t="s">
        <v>1534</v>
      </c>
      <c r="K377" s="720" t="s">
        <v>692</v>
      </c>
      <c r="L377" s="713" t="s">
        <v>324</v>
      </c>
      <c r="M377" s="722" t="s">
        <v>1535</v>
      </c>
      <c r="N377" s="713" t="s">
        <v>425</v>
      </c>
    </row>
    <row r="378" spans="1:19">
      <c r="A378" s="199" t="s">
        <v>1539</v>
      </c>
      <c r="B378" s="717"/>
      <c r="C378" s="129" t="s">
        <v>1537</v>
      </c>
      <c r="D378" s="714"/>
      <c r="E378" s="714"/>
      <c r="F378" s="714"/>
      <c r="G378" s="719"/>
      <c r="H378" s="714"/>
      <c r="I378" s="719"/>
      <c r="J378" s="714"/>
      <c r="K378" s="721"/>
      <c r="L378" s="714"/>
      <c r="M378" s="723"/>
      <c r="N378" s="714"/>
    </row>
    <row r="379" spans="1:19" ht="27" customHeight="1">
      <c r="A379" s="123">
        <v>15</v>
      </c>
      <c r="B379" s="70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0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0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0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0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0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0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0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0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0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0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0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0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0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0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0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0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0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0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0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0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0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0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0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95" t="s">
        <v>1786</v>
      </c>
      <c r="C403" s="228" t="s">
        <v>1752</v>
      </c>
      <c r="D403" s="707" t="s">
        <v>306</v>
      </c>
      <c r="E403" s="707" t="s">
        <v>322</v>
      </c>
      <c r="F403" s="707" t="s">
        <v>307</v>
      </c>
      <c r="G403" s="709">
        <v>3306</v>
      </c>
      <c r="H403" s="707" t="s">
        <v>1153</v>
      </c>
      <c r="I403" s="709" t="s">
        <v>1753</v>
      </c>
      <c r="J403" s="707" t="s">
        <v>664</v>
      </c>
      <c r="K403" s="711" t="s">
        <v>1288</v>
      </c>
      <c r="L403" s="707" t="s">
        <v>324</v>
      </c>
      <c r="M403" s="705" t="s">
        <v>1754</v>
      </c>
      <c r="N403" s="707" t="s">
        <v>665</v>
      </c>
    </row>
    <row r="404" spans="1:14">
      <c r="A404" s="123">
        <v>18</v>
      </c>
      <c r="B404" s="696"/>
      <c r="C404" s="228" t="s">
        <v>1755</v>
      </c>
      <c r="D404" s="708"/>
      <c r="E404" s="708"/>
      <c r="F404" s="708"/>
      <c r="G404" s="710"/>
      <c r="H404" s="708"/>
      <c r="I404" s="710"/>
      <c r="J404" s="708"/>
      <c r="K404" s="712"/>
      <c r="L404" s="708"/>
      <c r="M404" s="706"/>
      <c r="N404" s="708"/>
    </row>
    <row r="405" spans="1:14" ht="22.5">
      <c r="A405" s="123">
        <v>18</v>
      </c>
      <c r="B405" s="69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696"/>
      <c r="C406" s="228" t="s">
        <v>1759</v>
      </c>
      <c r="D406" s="707" t="s">
        <v>306</v>
      </c>
      <c r="E406" s="707" t="s">
        <v>322</v>
      </c>
      <c r="F406" s="707" t="s">
        <v>307</v>
      </c>
      <c r="G406" s="709" t="s">
        <v>1760</v>
      </c>
      <c r="H406" s="707" t="s">
        <v>347</v>
      </c>
      <c r="I406" s="709" t="s">
        <v>1154</v>
      </c>
      <c r="J406" s="707" t="s">
        <v>664</v>
      </c>
      <c r="K406" s="707" t="s">
        <v>1761</v>
      </c>
      <c r="L406" s="707" t="s">
        <v>324</v>
      </c>
      <c r="M406" s="705" t="s">
        <v>1762</v>
      </c>
      <c r="N406" s="707" t="s">
        <v>665</v>
      </c>
    </row>
    <row r="407" spans="1:14">
      <c r="A407" s="123">
        <v>18</v>
      </c>
      <c r="B407" s="696"/>
      <c r="C407" s="228" t="s">
        <v>1763</v>
      </c>
      <c r="D407" s="708"/>
      <c r="E407" s="708"/>
      <c r="F407" s="708"/>
      <c r="G407" s="710"/>
      <c r="H407" s="708"/>
      <c r="I407" s="710"/>
      <c r="J407" s="708"/>
      <c r="K407" s="708"/>
      <c r="L407" s="708"/>
      <c r="M407" s="706"/>
      <c r="N407" s="708"/>
    </row>
    <row r="408" spans="1:14" ht="16.5" customHeight="1">
      <c r="A408" s="123">
        <v>18</v>
      </c>
      <c r="B408" s="696"/>
      <c r="C408" s="230" t="s">
        <v>1764</v>
      </c>
      <c r="D408" s="707" t="s">
        <v>306</v>
      </c>
      <c r="E408" s="707" t="s">
        <v>322</v>
      </c>
      <c r="F408" s="707" t="s">
        <v>307</v>
      </c>
      <c r="G408" s="709" t="s">
        <v>1765</v>
      </c>
      <c r="H408" s="707" t="s">
        <v>329</v>
      </c>
      <c r="I408" s="709" t="s">
        <v>1766</v>
      </c>
      <c r="J408" s="707" t="s">
        <v>664</v>
      </c>
      <c r="K408" s="707" t="s">
        <v>1767</v>
      </c>
      <c r="L408" s="707" t="s">
        <v>324</v>
      </c>
      <c r="M408" s="705" t="s">
        <v>1768</v>
      </c>
      <c r="N408" s="707" t="s">
        <v>1769</v>
      </c>
    </row>
    <row r="409" spans="1:14">
      <c r="A409" s="123">
        <v>18</v>
      </c>
      <c r="B409" s="697"/>
      <c r="C409" s="228" t="s">
        <v>1770</v>
      </c>
      <c r="D409" s="708"/>
      <c r="E409" s="708"/>
      <c r="F409" s="708"/>
      <c r="G409" s="710"/>
      <c r="H409" s="708"/>
      <c r="I409" s="710"/>
      <c r="J409" s="708"/>
      <c r="K409" s="708"/>
      <c r="L409" s="708"/>
      <c r="M409" s="706"/>
      <c r="N409" s="708"/>
    </row>
    <row r="410" spans="1:14" ht="16.5" customHeight="1">
      <c r="A410" s="123">
        <v>18</v>
      </c>
      <c r="B410" s="695" t="s">
        <v>253</v>
      </c>
      <c r="C410" s="792" t="s">
        <v>1771</v>
      </c>
      <c r="D410" s="707" t="s">
        <v>311</v>
      </c>
      <c r="E410" s="707" t="s">
        <v>320</v>
      </c>
      <c r="F410" s="707" t="s">
        <v>709</v>
      </c>
      <c r="G410" s="707" t="s">
        <v>1772</v>
      </c>
      <c r="H410" s="792" t="s">
        <v>1773</v>
      </c>
      <c r="I410" s="229" t="s">
        <v>1774</v>
      </c>
      <c r="J410" s="707"/>
      <c r="K410" s="794" t="s">
        <v>1775</v>
      </c>
      <c r="L410" s="707" t="s">
        <v>309</v>
      </c>
      <c r="M410" s="705" t="s">
        <v>1768</v>
      </c>
      <c r="N410" s="707" t="s">
        <v>1776</v>
      </c>
    </row>
    <row r="411" spans="1:14">
      <c r="A411" s="123">
        <v>18</v>
      </c>
      <c r="B411" s="696"/>
      <c r="C411" s="793"/>
      <c r="D411" s="708"/>
      <c r="E411" s="708"/>
      <c r="F411" s="708"/>
      <c r="G411" s="708"/>
      <c r="H411" s="793"/>
      <c r="I411" s="229" t="s">
        <v>1777</v>
      </c>
      <c r="J411" s="708"/>
      <c r="K411" s="795"/>
      <c r="L411" s="708"/>
      <c r="M411" s="706"/>
      <c r="N411" s="708"/>
    </row>
    <row r="412" spans="1:14" ht="22.5">
      <c r="A412" s="123">
        <v>18</v>
      </c>
      <c r="B412" s="69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696"/>
      <c r="C413" s="792" t="s">
        <v>1780</v>
      </c>
      <c r="D413" s="792" t="s">
        <v>700</v>
      </c>
      <c r="E413" s="707" t="s">
        <v>675</v>
      </c>
      <c r="F413" s="792" t="s">
        <v>1781</v>
      </c>
      <c r="G413" s="792" t="s">
        <v>1782</v>
      </c>
      <c r="H413" s="792" t="s">
        <v>662</v>
      </c>
      <c r="I413" s="229" t="s">
        <v>1783</v>
      </c>
      <c r="J413" s="707" t="s">
        <v>638</v>
      </c>
      <c r="K413" s="707" t="s">
        <v>731</v>
      </c>
      <c r="L413" s="707" t="s">
        <v>309</v>
      </c>
      <c r="M413" s="705" t="s">
        <v>1784</v>
      </c>
      <c r="N413" s="707" t="s">
        <v>1785</v>
      </c>
    </row>
    <row r="414" spans="1:14">
      <c r="A414" s="123">
        <v>18</v>
      </c>
      <c r="B414" s="697"/>
      <c r="C414" s="793"/>
      <c r="D414" s="793"/>
      <c r="E414" s="708"/>
      <c r="F414" s="793"/>
      <c r="G414" s="793"/>
      <c r="H414" s="793"/>
      <c r="I414" s="26"/>
      <c r="J414" s="708"/>
      <c r="K414" s="708"/>
      <c r="L414" s="708"/>
      <c r="M414" s="706"/>
      <c r="N414" s="708"/>
    </row>
    <row r="415" spans="1:14" ht="16.5" customHeight="1">
      <c r="A415" s="123">
        <v>19</v>
      </c>
      <c r="B415" s="695" t="s">
        <v>20</v>
      </c>
      <c r="C415" s="148" t="s">
        <v>1798</v>
      </c>
      <c r="D415" s="713" t="s">
        <v>306</v>
      </c>
      <c r="E415" s="713" t="s">
        <v>322</v>
      </c>
      <c r="F415" s="713" t="s">
        <v>307</v>
      </c>
      <c r="G415" s="718" t="s">
        <v>1800</v>
      </c>
      <c r="H415" s="713" t="s">
        <v>1801</v>
      </c>
      <c r="I415" s="718" t="s">
        <v>1796</v>
      </c>
      <c r="J415" s="713" t="s">
        <v>664</v>
      </c>
      <c r="K415" s="148" t="s">
        <v>1520</v>
      </c>
      <c r="L415" s="713" t="s">
        <v>324</v>
      </c>
      <c r="M415" s="722" t="s">
        <v>1803</v>
      </c>
      <c r="N415" s="713" t="s">
        <v>665</v>
      </c>
    </row>
    <row r="416" spans="1:14">
      <c r="A416" s="123">
        <v>19</v>
      </c>
      <c r="B416" s="696"/>
      <c r="C416" s="148" t="s">
        <v>1799</v>
      </c>
      <c r="D416" s="714"/>
      <c r="E416" s="714"/>
      <c r="F416" s="714"/>
      <c r="G416" s="719"/>
      <c r="H416" s="714"/>
      <c r="I416" s="719"/>
      <c r="J416" s="714"/>
      <c r="K416" s="148" t="s">
        <v>1802</v>
      </c>
      <c r="L416" s="714"/>
      <c r="M416" s="723"/>
      <c r="N416" s="714"/>
    </row>
    <row r="417" spans="1:14">
      <c r="A417" s="123">
        <v>19</v>
      </c>
      <c r="B417" s="696"/>
      <c r="C417" s="148" t="s">
        <v>1804</v>
      </c>
      <c r="D417" s="713" t="s">
        <v>306</v>
      </c>
      <c r="E417" s="713" t="s">
        <v>322</v>
      </c>
      <c r="F417" s="713" t="s">
        <v>307</v>
      </c>
      <c r="G417" s="718" t="s">
        <v>1805</v>
      </c>
      <c r="H417" s="713" t="s">
        <v>1806</v>
      </c>
      <c r="I417" s="718" t="s">
        <v>1807</v>
      </c>
      <c r="J417" s="713" t="s">
        <v>664</v>
      </c>
      <c r="K417" s="731" t="s">
        <v>1155</v>
      </c>
      <c r="L417" s="713" t="s">
        <v>324</v>
      </c>
      <c r="M417" s="722" t="s">
        <v>1808</v>
      </c>
      <c r="N417" s="713" t="s">
        <v>665</v>
      </c>
    </row>
    <row r="418" spans="1:14">
      <c r="A418" s="123">
        <v>19</v>
      </c>
      <c r="B418" s="697"/>
      <c r="C418" s="148" t="s">
        <v>1799</v>
      </c>
      <c r="D418" s="714"/>
      <c r="E418" s="714"/>
      <c r="F418" s="714"/>
      <c r="G418" s="719"/>
      <c r="H418" s="714"/>
      <c r="I418" s="719"/>
      <c r="J418" s="714"/>
      <c r="K418" s="732"/>
      <c r="L418" s="714"/>
      <c r="M418" s="723"/>
      <c r="N418" s="714"/>
    </row>
    <row r="419" spans="1:14" ht="16.5" customHeight="1">
      <c r="A419" s="123">
        <v>19</v>
      </c>
      <c r="B419" s="695" t="s">
        <v>21</v>
      </c>
      <c r="C419" s="746" t="s">
        <v>1809</v>
      </c>
      <c r="D419" s="746" t="s">
        <v>700</v>
      </c>
      <c r="E419" s="713" t="s">
        <v>675</v>
      </c>
      <c r="F419" s="746" t="s">
        <v>1810</v>
      </c>
      <c r="G419" s="746" t="s">
        <v>1811</v>
      </c>
      <c r="H419" s="746" t="s">
        <v>662</v>
      </c>
      <c r="I419" s="718" t="s">
        <v>1812</v>
      </c>
      <c r="J419" s="713"/>
      <c r="K419" s="796" t="s">
        <v>1813</v>
      </c>
      <c r="L419" s="713" t="s">
        <v>309</v>
      </c>
      <c r="M419" s="722" t="s">
        <v>1814</v>
      </c>
      <c r="N419" s="149" t="s">
        <v>1815</v>
      </c>
    </row>
    <row r="420" spans="1:14">
      <c r="A420" s="123">
        <v>19</v>
      </c>
      <c r="B420" s="696"/>
      <c r="C420" s="748"/>
      <c r="D420" s="748"/>
      <c r="E420" s="714"/>
      <c r="F420" s="748"/>
      <c r="G420" s="748"/>
      <c r="H420" s="748"/>
      <c r="I420" s="719"/>
      <c r="J420" s="714"/>
      <c r="K420" s="797"/>
      <c r="L420" s="714"/>
      <c r="M420" s="723"/>
      <c r="N420" s="149" t="s">
        <v>1816</v>
      </c>
    </row>
    <row r="421" spans="1:14">
      <c r="A421" s="123">
        <v>19</v>
      </c>
      <c r="B421" s="696"/>
      <c r="C421" s="798" t="s">
        <v>1817</v>
      </c>
      <c r="D421" s="746" t="s">
        <v>700</v>
      </c>
      <c r="E421" s="713" t="s">
        <v>320</v>
      </c>
      <c r="F421" s="713" t="s">
        <v>337</v>
      </c>
      <c r="G421" s="746" t="s">
        <v>353</v>
      </c>
      <c r="H421" s="746" t="s">
        <v>1818</v>
      </c>
      <c r="I421" s="718" t="s">
        <v>1819</v>
      </c>
      <c r="J421" s="713" t="s">
        <v>638</v>
      </c>
      <c r="K421" s="800" t="s">
        <v>692</v>
      </c>
      <c r="L421" s="713" t="s">
        <v>309</v>
      </c>
      <c r="M421" s="722" t="s">
        <v>1820</v>
      </c>
      <c r="N421" s="148" t="s">
        <v>1821</v>
      </c>
    </row>
    <row r="422" spans="1:14">
      <c r="A422" s="123">
        <v>19</v>
      </c>
      <c r="B422" s="696"/>
      <c r="C422" s="799"/>
      <c r="D422" s="748"/>
      <c r="E422" s="714"/>
      <c r="F422" s="714"/>
      <c r="G422" s="748"/>
      <c r="H422" s="748"/>
      <c r="I422" s="719"/>
      <c r="J422" s="714"/>
      <c r="K422" s="801"/>
      <c r="L422" s="714"/>
      <c r="M422" s="723"/>
      <c r="N422" s="148" t="s">
        <v>1822</v>
      </c>
    </row>
    <row r="423" spans="1:14">
      <c r="A423" s="123">
        <v>19</v>
      </c>
      <c r="B423" s="69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696"/>
      <c r="C424" s="746" t="s">
        <v>1824</v>
      </c>
      <c r="D424" s="746" t="s">
        <v>700</v>
      </c>
      <c r="E424" s="713" t="s">
        <v>320</v>
      </c>
      <c r="F424" s="713" t="s">
        <v>709</v>
      </c>
      <c r="G424" s="713" t="s">
        <v>1772</v>
      </c>
      <c r="H424" s="746" t="s">
        <v>1825</v>
      </c>
      <c r="I424" s="149" t="s">
        <v>1826</v>
      </c>
      <c r="J424" s="713" t="s">
        <v>638</v>
      </c>
      <c r="K424" s="713" t="s">
        <v>692</v>
      </c>
      <c r="L424" s="713" t="s">
        <v>309</v>
      </c>
      <c r="M424" s="722" t="s">
        <v>1535</v>
      </c>
      <c r="N424" s="718" t="s">
        <v>1828</v>
      </c>
    </row>
    <row r="425" spans="1:14">
      <c r="A425" s="123">
        <v>19</v>
      </c>
      <c r="B425" s="696"/>
      <c r="C425" s="748"/>
      <c r="D425" s="748"/>
      <c r="E425" s="714"/>
      <c r="F425" s="714"/>
      <c r="G425" s="714"/>
      <c r="H425" s="748"/>
      <c r="I425" s="149" t="s">
        <v>1827</v>
      </c>
      <c r="J425" s="714"/>
      <c r="K425" s="714"/>
      <c r="L425" s="714"/>
      <c r="M425" s="723"/>
      <c r="N425" s="719"/>
    </row>
    <row r="426" spans="1:14">
      <c r="A426" s="123">
        <v>19</v>
      </c>
      <c r="B426" s="69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69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9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9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9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9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9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69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69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69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69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69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9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69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69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69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69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69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69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9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9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9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9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9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69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69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695" t="s">
        <v>2082</v>
      </c>
      <c r="C452" s="245" t="s">
        <v>1910</v>
      </c>
      <c r="D452" s="691" t="s">
        <v>306</v>
      </c>
      <c r="E452" s="691" t="s">
        <v>322</v>
      </c>
      <c r="F452" s="691" t="s">
        <v>307</v>
      </c>
      <c r="G452" s="691">
        <v>3306</v>
      </c>
      <c r="H452" s="691" t="s">
        <v>1153</v>
      </c>
      <c r="I452" s="691" t="s">
        <v>1911</v>
      </c>
      <c r="J452" s="691" t="s">
        <v>1111</v>
      </c>
      <c r="K452" s="691" t="s">
        <v>692</v>
      </c>
      <c r="L452" s="691" t="s">
        <v>324</v>
      </c>
      <c r="M452" s="700" t="s">
        <v>1912</v>
      </c>
      <c r="N452" s="691" t="s">
        <v>665</v>
      </c>
    </row>
    <row r="453" spans="1:14">
      <c r="A453" s="123">
        <v>23</v>
      </c>
      <c r="B453" s="696"/>
      <c r="C453" s="245" t="s">
        <v>1913</v>
      </c>
      <c r="D453" s="692"/>
      <c r="E453" s="692"/>
      <c r="F453" s="692"/>
      <c r="G453" s="692"/>
      <c r="H453" s="692"/>
      <c r="I453" s="692"/>
      <c r="J453" s="692"/>
      <c r="K453" s="692"/>
      <c r="L453" s="692"/>
      <c r="M453" s="701"/>
      <c r="N453" s="692"/>
    </row>
    <row r="454" spans="1:14">
      <c r="A454" s="123">
        <v>23</v>
      </c>
      <c r="B454" s="696"/>
      <c r="C454" s="245" t="s">
        <v>1914</v>
      </c>
      <c r="D454" s="691" t="s">
        <v>306</v>
      </c>
      <c r="E454" s="691" t="s">
        <v>322</v>
      </c>
      <c r="F454" s="691" t="s">
        <v>307</v>
      </c>
      <c r="G454" s="693" t="s">
        <v>1418</v>
      </c>
      <c r="H454" s="691" t="s">
        <v>1915</v>
      </c>
      <c r="I454" s="693" t="s">
        <v>1154</v>
      </c>
      <c r="J454" s="691" t="s">
        <v>664</v>
      </c>
      <c r="K454" s="802" t="s">
        <v>1767</v>
      </c>
      <c r="L454" s="691" t="s">
        <v>324</v>
      </c>
      <c r="M454" s="700" t="s">
        <v>1535</v>
      </c>
      <c r="N454" s="691" t="s">
        <v>665</v>
      </c>
    </row>
    <row r="455" spans="1:14">
      <c r="A455" s="123">
        <v>23</v>
      </c>
      <c r="B455" s="696"/>
      <c r="C455" s="245" t="s">
        <v>1913</v>
      </c>
      <c r="D455" s="692"/>
      <c r="E455" s="692"/>
      <c r="F455" s="692"/>
      <c r="G455" s="694"/>
      <c r="H455" s="692"/>
      <c r="I455" s="694"/>
      <c r="J455" s="692"/>
      <c r="K455" s="803"/>
      <c r="L455" s="692"/>
      <c r="M455" s="701"/>
      <c r="N455" s="692"/>
    </row>
    <row r="456" spans="1:14">
      <c r="A456" s="123">
        <v>23</v>
      </c>
      <c r="B456" s="69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696"/>
      <c r="C457" s="245" t="s">
        <v>1921</v>
      </c>
      <c r="D457" s="691" t="s">
        <v>306</v>
      </c>
      <c r="E457" s="691" t="s">
        <v>322</v>
      </c>
      <c r="F457" s="691" t="s">
        <v>307</v>
      </c>
      <c r="G457" s="693">
        <v>4267</v>
      </c>
      <c r="H457" s="691" t="s">
        <v>640</v>
      </c>
      <c r="I457" s="693" t="s">
        <v>1154</v>
      </c>
      <c r="J457" s="691" t="s">
        <v>664</v>
      </c>
      <c r="K457" s="802" t="s">
        <v>1767</v>
      </c>
      <c r="L457" s="691" t="s">
        <v>324</v>
      </c>
      <c r="M457" s="700" t="s">
        <v>1535</v>
      </c>
      <c r="N457" s="691" t="s">
        <v>665</v>
      </c>
    </row>
    <row r="458" spans="1:14">
      <c r="A458" s="123">
        <v>23</v>
      </c>
      <c r="B458" s="696"/>
      <c r="C458" s="245" t="s">
        <v>1922</v>
      </c>
      <c r="D458" s="692"/>
      <c r="E458" s="692"/>
      <c r="F458" s="692"/>
      <c r="G458" s="694"/>
      <c r="H458" s="692"/>
      <c r="I458" s="694"/>
      <c r="J458" s="692"/>
      <c r="K458" s="803"/>
      <c r="L458" s="692"/>
      <c r="M458" s="701"/>
      <c r="N458" s="692"/>
    </row>
    <row r="459" spans="1:14">
      <c r="A459" s="123">
        <v>23</v>
      </c>
      <c r="B459" s="696"/>
      <c r="C459" s="245" t="s">
        <v>1921</v>
      </c>
      <c r="D459" s="691" t="s">
        <v>306</v>
      </c>
      <c r="E459" s="691" t="s">
        <v>322</v>
      </c>
      <c r="F459" s="691" t="s">
        <v>307</v>
      </c>
      <c r="G459" s="693" t="s">
        <v>1923</v>
      </c>
      <c r="H459" s="691" t="s">
        <v>662</v>
      </c>
      <c r="I459" s="693" t="s">
        <v>1924</v>
      </c>
      <c r="J459" s="691" t="s">
        <v>349</v>
      </c>
      <c r="K459" s="804" t="s">
        <v>1920</v>
      </c>
      <c r="L459" s="691" t="s">
        <v>324</v>
      </c>
      <c r="M459" s="700" t="s">
        <v>1535</v>
      </c>
      <c r="N459" s="691" t="s">
        <v>425</v>
      </c>
    </row>
    <row r="460" spans="1:14">
      <c r="A460" s="123">
        <v>23</v>
      </c>
      <c r="B460" s="697"/>
      <c r="C460" s="246" t="s">
        <v>1922</v>
      </c>
      <c r="D460" s="692"/>
      <c r="E460" s="692"/>
      <c r="F460" s="692"/>
      <c r="G460" s="694"/>
      <c r="H460" s="692"/>
      <c r="I460" s="694"/>
      <c r="J460" s="692"/>
      <c r="K460" s="805"/>
      <c r="L460" s="692"/>
      <c r="M460" s="701"/>
      <c r="N460" s="692"/>
    </row>
    <row r="461" spans="1:14">
      <c r="A461" s="123">
        <v>23</v>
      </c>
      <c r="B461" s="69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696"/>
      <c r="C462" s="691" t="s">
        <v>1925</v>
      </c>
      <c r="D462" s="691" t="s">
        <v>311</v>
      </c>
      <c r="E462" s="691" t="s">
        <v>675</v>
      </c>
      <c r="F462" s="691" t="s">
        <v>1930</v>
      </c>
      <c r="G462" s="691" t="s">
        <v>1931</v>
      </c>
      <c r="H462" s="698" t="s">
        <v>347</v>
      </c>
      <c r="I462" s="244" t="s">
        <v>1932</v>
      </c>
      <c r="J462" s="691"/>
      <c r="K462" s="693" t="s">
        <v>1928</v>
      </c>
      <c r="L462" s="691" t="s">
        <v>309</v>
      </c>
      <c r="M462" s="700" t="s">
        <v>1832</v>
      </c>
      <c r="N462" s="693" t="s">
        <v>1929</v>
      </c>
    </row>
    <row r="463" spans="1:14">
      <c r="A463" s="123">
        <v>23</v>
      </c>
      <c r="B463" s="696"/>
      <c r="C463" s="692"/>
      <c r="D463" s="692"/>
      <c r="E463" s="692"/>
      <c r="F463" s="692"/>
      <c r="G463" s="692"/>
      <c r="H463" s="699"/>
      <c r="I463" s="244" t="s">
        <v>1933</v>
      </c>
      <c r="J463" s="692"/>
      <c r="K463" s="694"/>
      <c r="L463" s="692"/>
      <c r="M463" s="701"/>
      <c r="N463" s="694"/>
    </row>
    <row r="464" spans="1:14" ht="24">
      <c r="A464" s="123">
        <v>23</v>
      </c>
      <c r="B464" s="69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69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69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69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69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69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69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69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69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69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69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69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69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69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69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69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69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69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69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9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9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9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9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9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9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9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9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9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69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9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9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9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9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9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9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9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9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9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9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9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9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9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9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9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69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69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69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69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9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9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9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69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9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69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69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69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9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9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9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9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9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9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9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9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9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9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9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9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9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9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9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9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9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9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9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9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9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9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9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9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9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9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9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69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69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69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9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9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9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9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9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9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9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9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69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69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69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9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9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9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9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69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69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69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9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9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2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2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2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2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2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2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69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9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2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2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2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2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69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9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9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9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9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69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69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69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69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69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69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9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9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9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69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69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69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9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9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9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9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9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2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2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2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69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9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9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9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9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69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69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9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9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9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07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08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08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09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9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69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69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9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69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69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69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69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9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9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69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69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69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69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69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69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69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69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69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69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69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69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69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69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69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69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69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69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69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69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69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69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69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69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69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69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69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9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9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69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06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69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69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69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69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69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69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69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69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69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69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69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69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69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696"/>
      <c r="C687" s="148" t="s">
        <v>2730</v>
      </c>
      <c r="D687" s="713" t="s">
        <v>306</v>
      </c>
      <c r="E687" s="713" t="s">
        <v>322</v>
      </c>
      <c r="F687" s="713" t="s">
        <v>307</v>
      </c>
      <c r="G687" s="718" t="s">
        <v>2723</v>
      </c>
      <c r="H687" s="713" t="s">
        <v>1047</v>
      </c>
      <c r="I687" s="718" t="s">
        <v>704</v>
      </c>
      <c r="J687" s="713" t="s">
        <v>664</v>
      </c>
      <c r="K687" s="810" t="s">
        <v>1767</v>
      </c>
      <c r="L687" s="713"/>
      <c r="M687" s="722" t="s">
        <v>458</v>
      </c>
      <c r="N687" s="713" t="s">
        <v>665</v>
      </c>
    </row>
    <row r="688" spans="1:14">
      <c r="A688" s="123">
        <v>8</v>
      </c>
      <c r="B688" s="696"/>
      <c r="C688" s="148" t="s">
        <v>2731</v>
      </c>
      <c r="D688" s="714"/>
      <c r="E688" s="714"/>
      <c r="F688" s="714"/>
      <c r="G688" s="719"/>
      <c r="H688" s="714"/>
      <c r="I688" s="719"/>
      <c r="J688" s="714"/>
      <c r="K688" s="811"/>
      <c r="L688" s="714"/>
      <c r="M688" s="723"/>
      <c r="N688" s="714"/>
    </row>
    <row r="689" spans="1:14">
      <c r="A689" s="123">
        <v>8</v>
      </c>
      <c r="B689" s="69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696"/>
      <c r="C690" s="148" t="s">
        <v>2734</v>
      </c>
      <c r="D690" s="713" t="s">
        <v>306</v>
      </c>
      <c r="E690" s="713" t="s">
        <v>322</v>
      </c>
      <c r="F690" s="713" t="s">
        <v>307</v>
      </c>
      <c r="G690" s="718" t="s">
        <v>2735</v>
      </c>
      <c r="H690" s="713" t="s">
        <v>640</v>
      </c>
      <c r="I690" s="718" t="s">
        <v>668</v>
      </c>
      <c r="J690" s="713" t="s">
        <v>349</v>
      </c>
      <c r="K690" s="812" t="s">
        <v>2736</v>
      </c>
      <c r="L690" s="713"/>
      <c r="M690" s="722" t="s">
        <v>2773</v>
      </c>
      <c r="N690" s="713" t="s">
        <v>425</v>
      </c>
    </row>
    <row r="691" spans="1:14">
      <c r="A691" s="123">
        <v>8</v>
      </c>
      <c r="B691" s="697"/>
      <c r="C691" s="148" t="s">
        <v>2727</v>
      </c>
      <c r="D691" s="714"/>
      <c r="E691" s="714"/>
      <c r="F691" s="714"/>
      <c r="G691" s="719"/>
      <c r="H691" s="714"/>
      <c r="I691" s="719"/>
      <c r="J691" s="714"/>
      <c r="K691" s="813"/>
      <c r="L691" s="714"/>
      <c r="M691" s="723"/>
      <c r="N691" s="714"/>
    </row>
    <row r="692" spans="1:14">
      <c r="A692" s="123">
        <v>8</v>
      </c>
      <c r="B692" s="69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696"/>
      <c r="C693" s="713" t="s">
        <v>2772</v>
      </c>
      <c r="D693" s="713" t="s">
        <v>311</v>
      </c>
      <c r="E693" s="713" t="s">
        <v>675</v>
      </c>
      <c r="F693" s="149" t="s">
        <v>1810</v>
      </c>
      <c r="G693" s="718" t="s">
        <v>689</v>
      </c>
      <c r="H693" s="718" t="s">
        <v>662</v>
      </c>
      <c r="I693" s="718" t="s">
        <v>2743</v>
      </c>
      <c r="J693" s="718"/>
      <c r="K693" s="718" t="s">
        <v>698</v>
      </c>
      <c r="L693" s="713" t="s">
        <v>309</v>
      </c>
      <c r="M693" s="722" t="s">
        <v>672</v>
      </c>
      <c r="N693" s="713" t="s">
        <v>2744</v>
      </c>
    </row>
    <row r="694" spans="1:14">
      <c r="A694" s="123">
        <v>8</v>
      </c>
      <c r="B694" s="697"/>
      <c r="C694" s="714"/>
      <c r="D694" s="714"/>
      <c r="E694" s="714"/>
      <c r="F694" s="149" t="s">
        <v>2742</v>
      </c>
      <c r="G694" s="719"/>
      <c r="H694" s="719"/>
      <c r="I694" s="719"/>
      <c r="J694" s="719"/>
      <c r="K694" s="719"/>
      <c r="L694" s="714"/>
      <c r="M694" s="723"/>
      <c r="N694" s="744"/>
    </row>
    <row r="695" spans="1:14">
      <c r="A695" s="123">
        <v>9</v>
      </c>
      <c r="B695" s="69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69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696"/>
      <c r="C697" s="245" t="s">
        <v>2749</v>
      </c>
      <c r="D697" s="691" t="s">
        <v>306</v>
      </c>
      <c r="E697" s="691" t="s">
        <v>322</v>
      </c>
      <c r="F697" s="691" t="s">
        <v>307</v>
      </c>
      <c r="G697" s="693" t="s">
        <v>2750</v>
      </c>
      <c r="H697" s="691" t="s">
        <v>405</v>
      </c>
      <c r="I697" s="693" t="s">
        <v>2751</v>
      </c>
      <c r="J697" s="691" t="s">
        <v>664</v>
      </c>
      <c r="K697" s="814" t="s">
        <v>1761</v>
      </c>
      <c r="L697" s="691"/>
      <c r="M697" s="700">
        <v>750000</v>
      </c>
      <c r="N697" s="691" t="s">
        <v>665</v>
      </c>
    </row>
    <row r="698" spans="1:14">
      <c r="A698" s="123">
        <v>9</v>
      </c>
      <c r="B698" s="696"/>
      <c r="C698" s="245" t="s">
        <v>2752</v>
      </c>
      <c r="D698" s="692"/>
      <c r="E698" s="692"/>
      <c r="F698" s="692"/>
      <c r="G698" s="694"/>
      <c r="H698" s="692"/>
      <c r="I698" s="694"/>
      <c r="J698" s="692"/>
      <c r="K698" s="815"/>
      <c r="L698" s="692"/>
      <c r="M698" s="701"/>
      <c r="N698" s="692"/>
    </row>
    <row r="699" spans="1:14">
      <c r="A699" s="123">
        <v>9</v>
      </c>
      <c r="B699" s="696"/>
      <c r="C699" s="245" t="s">
        <v>2749</v>
      </c>
      <c r="D699" s="691" t="s">
        <v>306</v>
      </c>
      <c r="E699" s="691" t="s">
        <v>322</v>
      </c>
      <c r="F699" s="691" t="s">
        <v>307</v>
      </c>
      <c r="G699" s="693" t="s">
        <v>2753</v>
      </c>
      <c r="H699" s="691" t="s">
        <v>662</v>
      </c>
      <c r="I699" s="693" t="s">
        <v>668</v>
      </c>
      <c r="J699" s="691" t="s">
        <v>349</v>
      </c>
      <c r="K699" s="816" t="s">
        <v>2736</v>
      </c>
      <c r="L699" s="691"/>
      <c r="M699" s="700">
        <v>1000000</v>
      </c>
      <c r="N699" s="691" t="s">
        <v>425</v>
      </c>
    </row>
    <row r="700" spans="1:14">
      <c r="A700" s="123">
        <v>9</v>
      </c>
      <c r="B700" s="696"/>
      <c r="C700" s="245" t="s">
        <v>2754</v>
      </c>
      <c r="D700" s="692"/>
      <c r="E700" s="692"/>
      <c r="F700" s="692"/>
      <c r="G700" s="694"/>
      <c r="H700" s="692"/>
      <c r="I700" s="694"/>
      <c r="J700" s="692"/>
      <c r="K700" s="817"/>
      <c r="L700" s="692"/>
      <c r="M700" s="701"/>
      <c r="N700" s="692"/>
    </row>
    <row r="701" spans="1:14">
      <c r="A701" s="123">
        <v>9</v>
      </c>
      <c r="B701" s="69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69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69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69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69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69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69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69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69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69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69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69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69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69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9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9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69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69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69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69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9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9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9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9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9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69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9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69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69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69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9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18" t="s">
        <v>2825</v>
      </c>
    </row>
    <row r="734" spans="1:14" ht="27">
      <c r="A734" s="123">
        <v>15</v>
      </c>
      <c r="B734" s="69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19"/>
    </row>
    <row r="735" spans="1:14">
      <c r="A735" s="123">
        <v>15</v>
      </c>
      <c r="B735" s="69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9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9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69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69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69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69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69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9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9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69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69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9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9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9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9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9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9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9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9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9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9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69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69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69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69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69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69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69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69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69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69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69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69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69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69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9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9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69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69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9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9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9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9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69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9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9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9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69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9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9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9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69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69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69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69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69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2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2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2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69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69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69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69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69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69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69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69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69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69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9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9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9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9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9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9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9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9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9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9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9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9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69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9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9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9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9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9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9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69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9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69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69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69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9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69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9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95" t="s">
        <v>3101</v>
      </c>
      <c r="C835" s="148" t="s">
        <v>3083</v>
      </c>
      <c r="D835" s="713" t="s">
        <v>306</v>
      </c>
      <c r="E835" s="713" t="s">
        <v>322</v>
      </c>
      <c r="F835" s="713" t="s">
        <v>307</v>
      </c>
      <c r="G835" s="718" t="s">
        <v>3055</v>
      </c>
      <c r="H835" s="713" t="s">
        <v>1997</v>
      </c>
      <c r="I835" s="718" t="s">
        <v>3056</v>
      </c>
      <c r="J835" s="713" t="s">
        <v>664</v>
      </c>
      <c r="K835" s="148" t="s">
        <v>3085</v>
      </c>
      <c r="L835" s="713"/>
      <c r="M835" s="821" t="s">
        <v>3086</v>
      </c>
      <c r="N835" s="148" t="s">
        <v>3087</v>
      </c>
    </row>
    <row r="836" spans="1:14">
      <c r="A836" s="123">
        <v>29</v>
      </c>
      <c r="B836" s="696"/>
      <c r="C836" s="148" t="s">
        <v>3084</v>
      </c>
      <c r="D836" s="744"/>
      <c r="E836" s="744"/>
      <c r="F836" s="744"/>
      <c r="G836" s="820"/>
      <c r="H836" s="744"/>
      <c r="I836" s="820"/>
      <c r="J836" s="744"/>
      <c r="K836" s="148" t="s">
        <v>707</v>
      </c>
      <c r="L836" s="744"/>
      <c r="M836" s="822"/>
      <c r="N836" s="148"/>
    </row>
    <row r="837" spans="1:14">
      <c r="A837" s="123">
        <v>29</v>
      </c>
      <c r="B837" s="696"/>
      <c r="C837" s="148"/>
      <c r="D837" s="714"/>
      <c r="E837" s="714"/>
      <c r="F837" s="714"/>
      <c r="G837" s="719"/>
      <c r="H837" s="714"/>
      <c r="I837" s="719"/>
      <c r="J837" s="714"/>
      <c r="K837" s="148"/>
      <c r="L837" s="714"/>
      <c r="M837" s="823"/>
      <c r="N837" s="148" t="s">
        <v>3088</v>
      </c>
    </row>
    <row r="838" spans="1:14">
      <c r="A838" s="123">
        <v>29</v>
      </c>
      <c r="B838" s="69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69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695" t="s">
        <v>21</v>
      </c>
      <c r="C840" s="111" t="s">
        <v>3091</v>
      </c>
      <c r="D840" s="713" t="s">
        <v>311</v>
      </c>
      <c r="E840" s="713" t="s">
        <v>320</v>
      </c>
      <c r="F840" s="718" t="s">
        <v>2605</v>
      </c>
      <c r="G840" s="718" t="s">
        <v>3063</v>
      </c>
      <c r="H840" s="718" t="s">
        <v>3064</v>
      </c>
      <c r="I840" s="718" t="s">
        <v>3065</v>
      </c>
      <c r="J840" s="718" t="s">
        <v>702</v>
      </c>
      <c r="K840" s="718" t="s">
        <v>3066</v>
      </c>
      <c r="L840" s="713" t="s">
        <v>309</v>
      </c>
      <c r="M840" s="821" t="s">
        <v>1820</v>
      </c>
      <c r="N840" s="713" t="s">
        <v>3092</v>
      </c>
    </row>
    <row r="841" spans="1:14">
      <c r="A841" s="123">
        <v>29</v>
      </c>
      <c r="B841" s="696"/>
      <c r="C841" s="111" t="s">
        <v>3069</v>
      </c>
      <c r="D841" s="714"/>
      <c r="E841" s="714"/>
      <c r="F841" s="719"/>
      <c r="G841" s="719"/>
      <c r="H841" s="719"/>
      <c r="I841" s="719"/>
      <c r="J841" s="719"/>
      <c r="K841" s="719"/>
      <c r="L841" s="714"/>
      <c r="M841" s="823"/>
      <c r="N841" s="714"/>
    </row>
    <row r="842" spans="1:14">
      <c r="A842" s="123">
        <v>29</v>
      </c>
      <c r="B842" s="69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69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696"/>
      <c r="C844" s="111" t="s">
        <v>3083</v>
      </c>
      <c r="D844" s="713" t="s">
        <v>311</v>
      </c>
      <c r="E844" s="713" t="s">
        <v>320</v>
      </c>
      <c r="F844" s="718" t="s">
        <v>3072</v>
      </c>
      <c r="G844" s="718" t="s">
        <v>1923</v>
      </c>
      <c r="H844" s="718" t="s">
        <v>3073</v>
      </c>
      <c r="I844" s="149" t="s">
        <v>3094</v>
      </c>
      <c r="J844" s="718"/>
      <c r="K844" s="718" t="s">
        <v>3074</v>
      </c>
      <c r="L844" s="713" t="s">
        <v>309</v>
      </c>
      <c r="M844" s="824" t="s">
        <v>3096</v>
      </c>
      <c r="N844" s="713" t="s">
        <v>1206</v>
      </c>
    </row>
    <row r="845" spans="1:14">
      <c r="A845" s="123">
        <v>29</v>
      </c>
      <c r="B845" s="696"/>
      <c r="C845" s="111" t="s">
        <v>3093</v>
      </c>
      <c r="D845" s="714"/>
      <c r="E845" s="714"/>
      <c r="F845" s="719"/>
      <c r="G845" s="719"/>
      <c r="H845" s="719"/>
      <c r="I845" s="149" t="s">
        <v>3095</v>
      </c>
      <c r="J845" s="719"/>
      <c r="K845" s="719"/>
      <c r="L845" s="714"/>
      <c r="M845" s="825"/>
      <c r="N845" s="714"/>
    </row>
    <row r="846" spans="1:14">
      <c r="A846" s="123">
        <v>29</v>
      </c>
      <c r="B846" s="696"/>
      <c r="C846" s="111" t="s">
        <v>3083</v>
      </c>
      <c r="D846" s="713" t="s">
        <v>311</v>
      </c>
      <c r="E846" s="713" t="s">
        <v>320</v>
      </c>
      <c r="F846" s="718" t="s">
        <v>2605</v>
      </c>
      <c r="G846" s="718" t="s">
        <v>3063</v>
      </c>
      <c r="H846" s="718" t="s">
        <v>3064</v>
      </c>
      <c r="I846" s="718" t="s">
        <v>3075</v>
      </c>
      <c r="J846" s="718" t="s">
        <v>702</v>
      </c>
      <c r="K846" s="718" t="s">
        <v>1054</v>
      </c>
      <c r="L846" s="713" t="s">
        <v>309</v>
      </c>
      <c r="M846" s="821" t="s">
        <v>3098</v>
      </c>
      <c r="N846" s="713" t="s">
        <v>3099</v>
      </c>
    </row>
    <row r="847" spans="1:14">
      <c r="A847" s="123">
        <v>29</v>
      </c>
      <c r="B847" s="696"/>
      <c r="C847" s="111"/>
      <c r="D847" s="744"/>
      <c r="E847" s="744"/>
      <c r="F847" s="820"/>
      <c r="G847" s="820"/>
      <c r="H847" s="820"/>
      <c r="I847" s="820"/>
      <c r="J847" s="820"/>
      <c r="K847" s="820"/>
      <c r="L847" s="744"/>
      <c r="M847" s="822"/>
      <c r="N847" s="744"/>
    </row>
    <row r="848" spans="1:14">
      <c r="A848" s="123">
        <v>29</v>
      </c>
      <c r="B848" s="696"/>
      <c r="C848" s="111" t="s">
        <v>3097</v>
      </c>
      <c r="D848" s="714"/>
      <c r="E848" s="714"/>
      <c r="F848" s="719"/>
      <c r="G848" s="719"/>
      <c r="H848" s="719"/>
      <c r="I848" s="719"/>
      <c r="J848" s="719"/>
      <c r="K848" s="719"/>
      <c r="L848" s="714"/>
      <c r="M848" s="823"/>
      <c r="N848" s="714"/>
    </row>
    <row r="849" spans="1:14">
      <c r="A849" s="123">
        <v>29</v>
      </c>
      <c r="B849" s="696"/>
      <c r="C849" s="111" t="s">
        <v>3100</v>
      </c>
      <c r="D849" s="713" t="s">
        <v>311</v>
      </c>
      <c r="E849" s="713" t="s">
        <v>320</v>
      </c>
      <c r="F849" s="718" t="s">
        <v>337</v>
      </c>
      <c r="G849" s="718" t="s">
        <v>3076</v>
      </c>
      <c r="H849" s="718" t="s">
        <v>354</v>
      </c>
      <c r="I849" s="718" t="s">
        <v>310</v>
      </c>
      <c r="J849" s="718" t="s">
        <v>638</v>
      </c>
      <c r="K849" s="718" t="s">
        <v>3077</v>
      </c>
      <c r="L849" s="713" t="s">
        <v>309</v>
      </c>
      <c r="M849" s="821" t="s">
        <v>1820</v>
      </c>
      <c r="N849" s="713" t="s">
        <v>3099</v>
      </c>
    </row>
    <row r="850" spans="1:14">
      <c r="A850" s="123">
        <v>29</v>
      </c>
      <c r="B850" s="697"/>
      <c r="C850" s="111" t="s">
        <v>3093</v>
      </c>
      <c r="D850" s="714"/>
      <c r="E850" s="714"/>
      <c r="F850" s="719"/>
      <c r="G850" s="719"/>
      <c r="H850" s="719"/>
      <c r="I850" s="719"/>
      <c r="J850" s="719"/>
      <c r="K850" s="719"/>
      <c r="L850" s="714"/>
      <c r="M850" s="823"/>
      <c r="N850" s="714"/>
    </row>
    <row r="851" spans="1:14">
      <c r="A851" s="123">
        <v>30</v>
      </c>
      <c r="B851" s="82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2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29"/>
      <c r="C853" s="148" t="s">
        <v>3110</v>
      </c>
      <c r="D853" s="713" t="s">
        <v>306</v>
      </c>
      <c r="E853" s="713" t="s">
        <v>322</v>
      </c>
      <c r="F853" s="713" t="s">
        <v>307</v>
      </c>
      <c r="G853" s="718" t="s">
        <v>3055</v>
      </c>
      <c r="H853" s="713" t="s">
        <v>1997</v>
      </c>
      <c r="I853" s="718" t="s">
        <v>3112</v>
      </c>
      <c r="J853" s="713" t="s">
        <v>664</v>
      </c>
      <c r="K853" s="148" t="s">
        <v>3113</v>
      </c>
      <c r="L853" s="713"/>
      <c r="M853" s="722" t="s">
        <v>3114</v>
      </c>
      <c r="N853" s="713" t="s">
        <v>665</v>
      </c>
    </row>
    <row r="854" spans="1:14">
      <c r="A854" s="123">
        <v>30</v>
      </c>
      <c r="B854" s="829"/>
      <c r="C854" s="148" t="s">
        <v>3111</v>
      </c>
      <c r="D854" s="714"/>
      <c r="E854" s="714"/>
      <c r="F854" s="714"/>
      <c r="G854" s="719"/>
      <c r="H854" s="714"/>
      <c r="I854" s="719"/>
      <c r="J854" s="714"/>
      <c r="K854" s="148" t="s">
        <v>655</v>
      </c>
      <c r="L854" s="714"/>
      <c r="M854" s="723"/>
      <c r="N854" s="714"/>
    </row>
    <row r="855" spans="1:14">
      <c r="A855" s="123">
        <v>30</v>
      </c>
      <c r="B855" s="83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695" t="s">
        <v>3120</v>
      </c>
      <c r="C856" s="826" t="s">
        <v>3121</v>
      </c>
      <c r="D856" s="713" t="s">
        <v>311</v>
      </c>
      <c r="E856" s="713" t="s">
        <v>320</v>
      </c>
      <c r="F856" s="718" t="s">
        <v>2605</v>
      </c>
      <c r="G856" s="718" t="s">
        <v>2753</v>
      </c>
      <c r="H856" s="718" t="s">
        <v>347</v>
      </c>
      <c r="I856" s="718" t="s">
        <v>3122</v>
      </c>
      <c r="J856" s="718" t="s">
        <v>638</v>
      </c>
      <c r="K856" s="718" t="s">
        <v>698</v>
      </c>
      <c r="L856" s="713" t="s">
        <v>309</v>
      </c>
      <c r="M856" s="722" t="s">
        <v>1814</v>
      </c>
      <c r="N856" s="148" t="s">
        <v>3123</v>
      </c>
    </row>
    <row r="857" spans="1:14">
      <c r="A857" s="123">
        <v>30</v>
      </c>
      <c r="B857" s="696"/>
      <c r="C857" s="827"/>
      <c r="D857" s="714"/>
      <c r="E857" s="714"/>
      <c r="F857" s="719"/>
      <c r="G857" s="719"/>
      <c r="H857" s="719"/>
      <c r="I857" s="719"/>
      <c r="J857" s="719"/>
      <c r="K857" s="719"/>
      <c r="L857" s="714"/>
      <c r="M857" s="723"/>
      <c r="N857" s="148" t="s">
        <v>3124</v>
      </c>
    </row>
    <row r="858" spans="1:14" ht="16.5" customHeight="1">
      <c r="A858" s="123">
        <v>30</v>
      </c>
      <c r="B858" s="696"/>
      <c r="C858" s="826" t="s">
        <v>3121</v>
      </c>
      <c r="D858" s="713" t="s">
        <v>311</v>
      </c>
      <c r="E858" s="713" t="s">
        <v>320</v>
      </c>
      <c r="F858" s="718" t="s">
        <v>709</v>
      </c>
      <c r="G858" s="149" t="s">
        <v>3125</v>
      </c>
      <c r="H858" s="718" t="s">
        <v>640</v>
      </c>
      <c r="I858" s="718" t="s">
        <v>3126</v>
      </c>
      <c r="J858" s="718"/>
      <c r="K858" s="718" t="s">
        <v>692</v>
      </c>
      <c r="L858" s="713" t="s">
        <v>309</v>
      </c>
      <c r="M858" s="722" t="s">
        <v>1535</v>
      </c>
      <c r="N858" s="713" t="s">
        <v>1776</v>
      </c>
    </row>
    <row r="859" spans="1:14">
      <c r="A859" s="123">
        <v>30</v>
      </c>
      <c r="B859" s="696"/>
      <c r="C859" s="827"/>
      <c r="D859" s="714"/>
      <c r="E859" s="714"/>
      <c r="F859" s="719"/>
      <c r="G859" s="149">
        <v>2651</v>
      </c>
      <c r="H859" s="719"/>
      <c r="I859" s="719"/>
      <c r="J859" s="719"/>
      <c r="K859" s="719"/>
      <c r="L859" s="714"/>
      <c r="M859" s="723"/>
      <c r="N859" s="714"/>
    </row>
    <row r="860" spans="1:14">
      <c r="A860" s="123">
        <v>30</v>
      </c>
      <c r="B860" s="696"/>
      <c r="C860" s="826" t="s">
        <v>3127</v>
      </c>
      <c r="D860" s="713" t="s">
        <v>311</v>
      </c>
      <c r="E860" s="713" t="s">
        <v>320</v>
      </c>
      <c r="F860" s="718" t="s">
        <v>720</v>
      </c>
      <c r="G860" s="718" t="s">
        <v>1760</v>
      </c>
      <c r="H860" s="718" t="s">
        <v>347</v>
      </c>
      <c r="I860" s="149" t="s">
        <v>3128</v>
      </c>
      <c r="J860" s="718"/>
      <c r="K860" s="718" t="s">
        <v>3130</v>
      </c>
      <c r="L860" s="713" t="s">
        <v>309</v>
      </c>
      <c r="M860" s="722" t="s">
        <v>1937</v>
      </c>
      <c r="N860" s="713" t="s">
        <v>1206</v>
      </c>
    </row>
    <row r="861" spans="1:14">
      <c r="A861" s="123">
        <v>30</v>
      </c>
      <c r="B861" s="696"/>
      <c r="C861" s="827"/>
      <c r="D861" s="714"/>
      <c r="E861" s="714"/>
      <c r="F861" s="719"/>
      <c r="G861" s="719"/>
      <c r="H861" s="719"/>
      <c r="I861" s="149" t="s">
        <v>3129</v>
      </c>
      <c r="J861" s="719"/>
      <c r="K861" s="719"/>
      <c r="L861" s="714"/>
      <c r="M861" s="723"/>
      <c r="N861" s="714"/>
    </row>
    <row r="862" spans="1:14">
      <c r="A862" s="123">
        <v>30</v>
      </c>
      <c r="B862" s="696"/>
      <c r="C862" s="111" t="s">
        <v>3131</v>
      </c>
      <c r="D862" s="713" t="s">
        <v>311</v>
      </c>
      <c r="E862" s="713" t="s">
        <v>320</v>
      </c>
      <c r="F862" s="718" t="s">
        <v>690</v>
      </c>
      <c r="G862" s="718" t="s">
        <v>3070</v>
      </c>
      <c r="H862" s="718" t="s">
        <v>354</v>
      </c>
      <c r="I862" s="718" t="s">
        <v>3133</v>
      </c>
      <c r="J862" s="718" t="s">
        <v>638</v>
      </c>
      <c r="K862" s="718" t="s">
        <v>655</v>
      </c>
      <c r="L862" s="713" t="s">
        <v>309</v>
      </c>
      <c r="M862" s="722" t="s">
        <v>1535</v>
      </c>
      <c r="N862" s="713" t="s">
        <v>1206</v>
      </c>
    </row>
    <row r="863" spans="1:14">
      <c r="A863" s="123">
        <v>30</v>
      </c>
      <c r="B863" s="696"/>
      <c r="C863" s="111" t="s">
        <v>3132</v>
      </c>
      <c r="D863" s="714"/>
      <c r="E863" s="714"/>
      <c r="F863" s="719"/>
      <c r="G863" s="719"/>
      <c r="H863" s="719"/>
      <c r="I863" s="719"/>
      <c r="J863" s="719"/>
      <c r="K863" s="719"/>
      <c r="L863" s="714"/>
      <c r="M863" s="723"/>
      <c r="N863" s="714"/>
    </row>
    <row r="864" spans="1:14">
      <c r="A864" s="123">
        <v>30</v>
      </c>
      <c r="B864" s="696"/>
      <c r="C864" s="111" t="s">
        <v>3134</v>
      </c>
      <c r="D864" s="713" t="s">
        <v>311</v>
      </c>
      <c r="E864" s="713" t="s">
        <v>320</v>
      </c>
      <c r="F864" s="718" t="s">
        <v>337</v>
      </c>
      <c r="G864" s="718" t="s">
        <v>3076</v>
      </c>
      <c r="H864" s="718" t="s">
        <v>354</v>
      </c>
      <c r="I864" s="718" t="s">
        <v>3135</v>
      </c>
      <c r="J864" s="718" t="s">
        <v>638</v>
      </c>
      <c r="K864" s="718" t="s">
        <v>713</v>
      </c>
      <c r="L864" s="713" t="s">
        <v>309</v>
      </c>
      <c r="M864" s="722" t="s">
        <v>1814</v>
      </c>
      <c r="N864" s="713" t="s">
        <v>1206</v>
      </c>
    </row>
    <row r="865" spans="1:14">
      <c r="A865" s="123">
        <v>30</v>
      </c>
      <c r="B865" s="696"/>
      <c r="C865" s="111" t="s">
        <v>3111</v>
      </c>
      <c r="D865" s="714"/>
      <c r="E865" s="714"/>
      <c r="F865" s="719"/>
      <c r="G865" s="719"/>
      <c r="H865" s="719"/>
      <c r="I865" s="719"/>
      <c r="J865" s="719"/>
      <c r="K865" s="719"/>
      <c r="L865" s="714"/>
      <c r="M865" s="723"/>
      <c r="N865" s="714"/>
    </row>
    <row r="866" spans="1:14" ht="25.5">
      <c r="A866" s="123">
        <v>30</v>
      </c>
      <c r="B866" s="69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696"/>
      <c r="C867" s="826" t="s">
        <v>3115</v>
      </c>
      <c r="D867" s="713" t="s">
        <v>311</v>
      </c>
      <c r="E867" s="713" t="s">
        <v>675</v>
      </c>
      <c r="F867" s="718" t="s">
        <v>660</v>
      </c>
      <c r="G867" s="718" t="s">
        <v>661</v>
      </c>
      <c r="H867" s="718" t="s">
        <v>662</v>
      </c>
      <c r="I867" s="149" t="s">
        <v>3138</v>
      </c>
      <c r="J867" s="718" t="s">
        <v>638</v>
      </c>
      <c r="K867" s="718" t="s">
        <v>731</v>
      </c>
      <c r="L867" s="713" t="s">
        <v>309</v>
      </c>
      <c r="M867" s="722" t="s">
        <v>1832</v>
      </c>
      <c r="N867" s="713" t="s">
        <v>3140</v>
      </c>
    </row>
    <row r="868" spans="1:14">
      <c r="A868" s="123">
        <v>30</v>
      </c>
      <c r="B868" s="697"/>
      <c r="C868" s="827"/>
      <c r="D868" s="714"/>
      <c r="E868" s="714"/>
      <c r="F868" s="719"/>
      <c r="G868" s="719"/>
      <c r="H868" s="719"/>
      <c r="I868" s="149" t="s">
        <v>3139</v>
      </c>
      <c r="J868" s="719"/>
      <c r="K868" s="719"/>
      <c r="L868" s="714"/>
      <c r="M868" s="723"/>
      <c r="N868" s="714"/>
    </row>
    <row r="869" spans="1:14">
      <c r="A869" s="123">
        <v>31</v>
      </c>
      <c r="B869" s="69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696"/>
      <c r="C870" s="148" t="s">
        <v>3144</v>
      </c>
      <c r="D870" s="713" t="s">
        <v>306</v>
      </c>
      <c r="E870" s="713" t="s">
        <v>322</v>
      </c>
      <c r="F870" s="713" t="s">
        <v>307</v>
      </c>
      <c r="G870" s="718">
        <v>1566</v>
      </c>
      <c r="H870" s="713" t="s">
        <v>1915</v>
      </c>
      <c r="I870" s="718" t="s">
        <v>3146</v>
      </c>
      <c r="J870" s="713" t="s">
        <v>664</v>
      </c>
      <c r="K870" s="713" t="s">
        <v>3147</v>
      </c>
      <c r="L870" s="713"/>
      <c r="M870" s="722" t="s">
        <v>3148</v>
      </c>
      <c r="N870" s="713" t="s">
        <v>665</v>
      </c>
    </row>
    <row r="871" spans="1:14">
      <c r="A871" s="123">
        <v>31</v>
      </c>
      <c r="B871" s="696"/>
      <c r="C871" s="148" t="s">
        <v>3145</v>
      </c>
      <c r="D871" s="714"/>
      <c r="E871" s="714"/>
      <c r="F871" s="714"/>
      <c r="G871" s="719"/>
      <c r="H871" s="714"/>
      <c r="I871" s="719"/>
      <c r="J871" s="714"/>
      <c r="K871" s="714"/>
      <c r="L871" s="714"/>
      <c r="M871" s="723"/>
      <c r="N871" s="714"/>
    </row>
    <row r="872" spans="1:14">
      <c r="A872" s="123">
        <v>31</v>
      </c>
      <c r="B872" s="69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696"/>
      <c r="C873" s="396" t="s">
        <v>3144</v>
      </c>
      <c r="D873" s="713" t="s">
        <v>306</v>
      </c>
      <c r="E873" s="713" t="s">
        <v>322</v>
      </c>
      <c r="F873" s="713" t="s">
        <v>307</v>
      </c>
      <c r="G873" s="718" t="s">
        <v>3151</v>
      </c>
      <c r="H873" s="713" t="s">
        <v>3152</v>
      </c>
      <c r="I873" s="718" t="s">
        <v>332</v>
      </c>
      <c r="J873" s="713" t="s">
        <v>1534</v>
      </c>
      <c r="K873" s="713" t="s">
        <v>1157</v>
      </c>
      <c r="L873" s="713"/>
      <c r="M873" s="722" t="s">
        <v>3153</v>
      </c>
      <c r="N873" s="713" t="s">
        <v>425</v>
      </c>
    </row>
    <row r="874" spans="1:14">
      <c r="A874" s="123">
        <v>31</v>
      </c>
      <c r="B874" s="697"/>
      <c r="C874" s="396" t="s">
        <v>3150</v>
      </c>
      <c r="D874" s="714"/>
      <c r="E874" s="714"/>
      <c r="F874" s="714"/>
      <c r="G874" s="719"/>
      <c r="H874" s="714"/>
      <c r="I874" s="719"/>
      <c r="J874" s="714"/>
      <c r="K874" s="714"/>
      <c r="L874" s="714"/>
      <c r="M874" s="723"/>
      <c r="N874" s="714"/>
    </row>
    <row r="875" spans="1:14">
      <c r="A875" s="123">
        <v>31</v>
      </c>
      <c r="B875" s="69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696"/>
      <c r="C876" s="713" t="s">
        <v>3132</v>
      </c>
      <c r="D876" s="713" t="s">
        <v>311</v>
      </c>
      <c r="E876" s="713" t="s">
        <v>675</v>
      </c>
      <c r="F876" s="718" t="s">
        <v>660</v>
      </c>
      <c r="G876" s="718" t="s">
        <v>661</v>
      </c>
      <c r="H876" s="718" t="s">
        <v>662</v>
      </c>
      <c r="I876" s="149" t="s">
        <v>3138</v>
      </c>
      <c r="J876" s="718"/>
      <c r="K876" s="718" t="s">
        <v>698</v>
      </c>
      <c r="L876" s="713" t="s">
        <v>309</v>
      </c>
      <c r="M876" s="722" t="s">
        <v>3143</v>
      </c>
      <c r="N876" s="713" t="s">
        <v>3156</v>
      </c>
    </row>
    <row r="877" spans="1:14">
      <c r="A877" s="123">
        <v>31</v>
      </c>
      <c r="B877" s="696"/>
      <c r="C877" s="714"/>
      <c r="D877" s="714"/>
      <c r="E877" s="714"/>
      <c r="F877" s="719"/>
      <c r="G877" s="719"/>
      <c r="H877" s="719"/>
      <c r="I877" s="149" t="s">
        <v>3139</v>
      </c>
      <c r="J877" s="719"/>
      <c r="K877" s="719"/>
      <c r="L877" s="714"/>
      <c r="M877" s="723"/>
      <c r="N877" s="714"/>
    </row>
    <row r="878" spans="1:14" ht="16.5" customHeight="1">
      <c r="A878" s="123">
        <v>31</v>
      </c>
      <c r="B878" s="696"/>
      <c r="C878" s="148" t="s">
        <v>3157</v>
      </c>
      <c r="D878" s="713" t="s">
        <v>311</v>
      </c>
      <c r="E878" s="713" t="s">
        <v>320</v>
      </c>
      <c r="F878" s="718" t="s">
        <v>3072</v>
      </c>
      <c r="G878" s="718" t="s">
        <v>1923</v>
      </c>
      <c r="H878" s="718" t="s">
        <v>3073</v>
      </c>
      <c r="I878" s="718" t="s">
        <v>3158</v>
      </c>
      <c r="J878" s="718"/>
      <c r="K878" s="718" t="s">
        <v>3159</v>
      </c>
      <c r="L878" s="713" t="s">
        <v>309</v>
      </c>
      <c r="M878" s="722" t="s">
        <v>3160</v>
      </c>
      <c r="N878" s="713" t="s">
        <v>3155</v>
      </c>
    </row>
    <row r="879" spans="1:14">
      <c r="A879" s="123">
        <v>31</v>
      </c>
      <c r="B879" s="696"/>
      <c r="C879" s="148" t="s">
        <v>3115</v>
      </c>
      <c r="D879" s="714"/>
      <c r="E879" s="714"/>
      <c r="F879" s="719"/>
      <c r="G879" s="719"/>
      <c r="H879" s="719"/>
      <c r="I879" s="719"/>
      <c r="J879" s="719"/>
      <c r="K879" s="719"/>
      <c r="L879" s="714"/>
      <c r="M879" s="723"/>
      <c r="N879" s="714"/>
    </row>
    <row r="880" spans="1:14">
      <c r="A880" s="123">
        <v>31</v>
      </c>
      <c r="B880" s="69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696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69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696"/>
      <c r="C883" s="111" t="s">
        <v>3170</v>
      </c>
      <c r="D883" s="713" t="s">
        <v>311</v>
      </c>
      <c r="E883" s="713" t="s">
        <v>320</v>
      </c>
      <c r="F883" s="718" t="s">
        <v>337</v>
      </c>
      <c r="G883" s="718" t="s">
        <v>3172</v>
      </c>
      <c r="H883" s="718" t="s">
        <v>3173</v>
      </c>
      <c r="I883" s="718" t="s">
        <v>3174</v>
      </c>
      <c r="J883" s="718" t="s">
        <v>3175</v>
      </c>
      <c r="K883" s="718" t="s">
        <v>3176</v>
      </c>
      <c r="L883" s="713" t="s">
        <v>309</v>
      </c>
      <c r="M883" s="722" t="s">
        <v>3177</v>
      </c>
      <c r="N883" s="713" t="s">
        <v>3140</v>
      </c>
    </row>
    <row r="884" spans="1:14">
      <c r="A884" s="123">
        <v>31</v>
      </c>
      <c r="B884" s="697"/>
      <c r="C884" s="111" t="s">
        <v>3171</v>
      </c>
      <c r="D884" s="714"/>
      <c r="E884" s="714"/>
      <c r="F884" s="719"/>
      <c r="G884" s="719"/>
      <c r="H884" s="719"/>
      <c r="I884" s="719"/>
      <c r="J884" s="719"/>
      <c r="K884" s="719"/>
      <c r="L884" s="714"/>
      <c r="M884" s="723"/>
      <c r="N884" s="714"/>
    </row>
    <row r="885" spans="1:14" ht="27">
      <c r="A885" s="123">
        <v>32</v>
      </c>
      <c r="B885" s="831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32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32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33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31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32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32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33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31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32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33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31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32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33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0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03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0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0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0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0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0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0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0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0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0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0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0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0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0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0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0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0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0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0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0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0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0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0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0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0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0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0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690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90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90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90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90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90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90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690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690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690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690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90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690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90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90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90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90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90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90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90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690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690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90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690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690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690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90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690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90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90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90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90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90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90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90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90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690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90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90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90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90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90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90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90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90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90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90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90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90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690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90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90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90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90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90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90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90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90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90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90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90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90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90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90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90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90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90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90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90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90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90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90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90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90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90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90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90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90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690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90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90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90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90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90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90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90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90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90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90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90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90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90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90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90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90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90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90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90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90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90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90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90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90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90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90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90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90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90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90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90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90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90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90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90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90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90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90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90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90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90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90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90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90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90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90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90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90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90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90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90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90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90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90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90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90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90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90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90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90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90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90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90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90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90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90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90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90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90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90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90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90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90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90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90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90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90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90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90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90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90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90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90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90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90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90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90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90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90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90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90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90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90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90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90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90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90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90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90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90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90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90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90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90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90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90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90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90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90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90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90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690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690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690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90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90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90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90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90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90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90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90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90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90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90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90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90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90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90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90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90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90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90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90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90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90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90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90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90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90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90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90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90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90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90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90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90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90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90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90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90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90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90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90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90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90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90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90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90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90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90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90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90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90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90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90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90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90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90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90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690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690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690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690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690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690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690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690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690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690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690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690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690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674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674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674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674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674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674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674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674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674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674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674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674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674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674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674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674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674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674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674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674"/>
      <c r="C1208" s="682" t="s">
        <v>5017</v>
      </c>
      <c r="D1208" s="675" t="s">
        <v>311</v>
      </c>
      <c r="E1208" s="675" t="s">
        <v>675</v>
      </c>
      <c r="F1208" s="682" t="s">
        <v>337</v>
      </c>
      <c r="G1208" s="682" t="s">
        <v>353</v>
      </c>
      <c r="H1208" s="682" t="s">
        <v>5018</v>
      </c>
      <c r="I1208" s="520" t="s">
        <v>5019</v>
      </c>
      <c r="J1208" s="682" t="s">
        <v>638</v>
      </c>
      <c r="K1208" s="682" t="s">
        <v>713</v>
      </c>
      <c r="L1208" s="675" t="s">
        <v>309</v>
      </c>
      <c r="M1208" s="685">
        <v>250000</v>
      </c>
      <c r="N1208" s="675" t="s">
        <v>5000</v>
      </c>
    </row>
    <row r="1209" spans="1:14">
      <c r="A1209" s="518">
        <v>2</v>
      </c>
      <c r="B1209" s="674"/>
      <c r="C1209" s="682"/>
      <c r="D1209" s="675"/>
      <c r="E1209" s="675"/>
      <c r="F1209" s="682"/>
      <c r="G1209" s="682"/>
      <c r="H1209" s="682"/>
      <c r="I1209" s="520" t="s">
        <v>5020</v>
      </c>
      <c r="J1209" s="682"/>
      <c r="K1209" s="682"/>
      <c r="L1209" s="675"/>
      <c r="M1209" s="685"/>
      <c r="N1209" s="675"/>
    </row>
    <row r="1210" spans="1:14">
      <c r="A1210" s="518">
        <v>2</v>
      </c>
      <c r="B1210" s="674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674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674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674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674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674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674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674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674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674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674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674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674"/>
      <c r="C1222" s="682" t="s">
        <v>5043</v>
      </c>
      <c r="D1222" s="675" t="s">
        <v>311</v>
      </c>
      <c r="E1222" s="675" t="s">
        <v>675</v>
      </c>
      <c r="F1222" s="511" t="s">
        <v>5044</v>
      </c>
      <c r="G1222" s="511" t="s">
        <v>5046</v>
      </c>
      <c r="H1222" s="682" t="s">
        <v>347</v>
      </c>
      <c r="I1222" s="511" t="s">
        <v>5048</v>
      </c>
      <c r="J1222" s="682"/>
      <c r="K1222" s="682" t="s">
        <v>705</v>
      </c>
      <c r="L1222" s="675" t="s">
        <v>309</v>
      </c>
      <c r="M1222" s="685">
        <v>500000</v>
      </c>
      <c r="N1222" s="675" t="s">
        <v>5042</v>
      </c>
    </row>
    <row r="1223" spans="1:14">
      <c r="A1223" s="518">
        <v>3</v>
      </c>
      <c r="B1223" s="674"/>
      <c r="C1223" s="682"/>
      <c r="D1223" s="675"/>
      <c r="E1223" s="675"/>
      <c r="F1223" s="511" t="s">
        <v>5045</v>
      </c>
      <c r="G1223" s="511" t="s">
        <v>5047</v>
      </c>
      <c r="H1223" s="682"/>
      <c r="I1223" s="511" t="s">
        <v>5049</v>
      </c>
      <c r="J1223" s="682"/>
      <c r="K1223" s="682"/>
      <c r="L1223" s="675"/>
      <c r="M1223" s="685"/>
      <c r="N1223" s="675"/>
    </row>
    <row r="1224" spans="1:14">
      <c r="A1224" s="518">
        <v>3</v>
      </c>
      <c r="B1224" s="674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674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674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674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674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674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674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674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674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674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674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674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674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674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674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674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674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674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674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674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674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674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674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674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674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674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674"/>
      <c r="C1250" s="682" t="s">
        <v>5108</v>
      </c>
      <c r="D1250" s="675" t="s">
        <v>311</v>
      </c>
      <c r="E1250" s="675" t="s">
        <v>675</v>
      </c>
      <c r="F1250" s="675" t="s">
        <v>4996</v>
      </c>
      <c r="G1250" s="675">
        <v>1017</v>
      </c>
      <c r="H1250" s="675" t="s">
        <v>347</v>
      </c>
      <c r="I1250" s="511" t="s">
        <v>5109</v>
      </c>
      <c r="J1250" s="682"/>
      <c r="K1250" s="682" t="s">
        <v>692</v>
      </c>
      <c r="L1250" s="675" t="s">
        <v>309</v>
      </c>
      <c r="M1250" s="685">
        <v>500000</v>
      </c>
      <c r="N1250" s="675" t="s">
        <v>5042</v>
      </c>
    </row>
    <row r="1251" spans="1:14">
      <c r="A1251" s="518">
        <v>5</v>
      </c>
      <c r="B1251" s="674"/>
      <c r="C1251" s="682"/>
      <c r="D1251" s="675"/>
      <c r="E1251" s="675"/>
      <c r="F1251" s="675"/>
      <c r="G1251" s="675"/>
      <c r="H1251" s="675"/>
      <c r="I1251" s="511" t="s">
        <v>5110</v>
      </c>
      <c r="J1251" s="682"/>
      <c r="K1251" s="682"/>
      <c r="L1251" s="675"/>
      <c r="M1251" s="685"/>
      <c r="N1251" s="675"/>
    </row>
    <row r="1252" spans="1:14">
      <c r="A1252" s="518">
        <v>5</v>
      </c>
      <c r="B1252" s="674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674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674"/>
      <c r="C1254" s="682" t="s">
        <v>5113</v>
      </c>
      <c r="D1254" s="675" t="s">
        <v>311</v>
      </c>
      <c r="E1254" s="675" t="s">
        <v>675</v>
      </c>
      <c r="F1254" s="682" t="s">
        <v>5080</v>
      </c>
      <c r="G1254" s="682">
        <v>3006</v>
      </c>
      <c r="H1254" s="682" t="s">
        <v>347</v>
      </c>
      <c r="I1254" s="520" t="s">
        <v>5114</v>
      </c>
      <c r="J1254" s="682"/>
      <c r="K1254" s="682" t="s">
        <v>705</v>
      </c>
      <c r="L1254" s="675" t="s">
        <v>309</v>
      </c>
      <c r="M1254" s="685">
        <v>500000</v>
      </c>
      <c r="N1254" s="675" t="s">
        <v>5042</v>
      </c>
    </row>
    <row r="1255" spans="1:14">
      <c r="A1255" s="518">
        <v>5</v>
      </c>
      <c r="B1255" s="674"/>
      <c r="C1255" s="682"/>
      <c r="D1255" s="675"/>
      <c r="E1255" s="675"/>
      <c r="F1255" s="682"/>
      <c r="G1255" s="682"/>
      <c r="H1255" s="682"/>
      <c r="I1255" s="520" t="s">
        <v>5115</v>
      </c>
      <c r="J1255" s="682"/>
      <c r="K1255" s="682"/>
      <c r="L1255" s="675"/>
      <c r="M1255" s="685"/>
      <c r="N1255" s="675"/>
    </row>
    <row r="1256" spans="1:14">
      <c r="A1256" s="518">
        <v>5</v>
      </c>
      <c r="B1256" s="674"/>
      <c r="C1256" s="682" t="s">
        <v>5113</v>
      </c>
      <c r="D1256" s="675" t="s">
        <v>311</v>
      </c>
      <c r="E1256" s="675" t="s">
        <v>675</v>
      </c>
      <c r="F1256" s="682" t="s">
        <v>5080</v>
      </c>
      <c r="G1256" s="682">
        <v>3006</v>
      </c>
      <c r="H1256" s="682" t="s">
        <v>347</v>
      </c>
      <c r="I1256" s="520" t="s">
        <v>5114</v>
      </c>
      <c r="J1256" s="682"/>
      <c r="K1256" s="682" t="s">
        <v>4946</v>
      </c>
      <c r="L1256" s="675" t="s">
        <v>309</v>
      </c>
      <c r="M1256" s="685">
        <v>600000</v>
      </c>
      <c r="N1256" s="675" t="s">
        <v>5042</v>
      </c>
    </row>
    <row r="1257" spans="1:14">
      <c r="A1257" s="518">
        <v>5</v>
      </c>
      <c r="B1257" s="674"/>
      <c r="C1257" s="682"/>
      <c r="D1257" s="675"/>
      <c r="E1257" s="675"/>
      <c r="F1257" s="682"/>
      <c r="G1257" s="682"/>
      <c r="H1257" s="682"/>
      <c r="I1257" s="520" t="s">
        <v>5115</v>
      </c>
      <c r="J1257" s="682"/>
      <c r="K1257" s="682"/>
      <c r="L1257" s="675"/>
      <c r="M1257" s="685"/>
      <c r="N1257" s="675"/>
    </row>
    <row r="1258" spans="1:14">
      <c r="A1258" s="518">
        <v>5</v>
      </c>
      <c r="B1258" s="674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674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674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674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674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674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674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674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674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674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674"/>
      <c r="C1268" s="682" t="s">
        <v>5132</v>
      </c>
      <c r="D1268" s="675" t="s">
        <v>311</v>
      </c>
      <c r="E1268" s="675" t="s">
        <v>675</v>
      </c>
      <c r="F1268" s="511" t="s">
        <v>5133</v>
      </c>
      <c r="G1268" s="519" t="s">
        <v>5135</v>
      </c>
      <c r="H1268" s="397" t="s">
        <v>347</v>
      </c>
      <c r="I1268" s="682" t="s">
        <v>5138</v>
      </c>
      <c r="J1268" s="682" t="s">
        <v>638</v>
      </c>
      <c r="K1268" s="682" t="s">
        <v>692</v>
      </c>
      <c r="L1268" s="675" t="s">
        <v>309</v>
      </c>
      <c r="M1268" s="685">
        <v>500000</v>
      </c>
      <c r="N1268" s="675" t="s">
        <v>1776</v>
      </c>
    </row>
    <row r="1269" spans="1:14">
      <c r="A1269" s="518">
        <v>6</v>
      </c>
      <c r="B1269" s="674"/>
      <c r="C1269" s="682"/>
      <c r="D1269" s="675"/>
      <c r="E1269" s="675"/>
      <c r="F1269" s="511" t="s">
        <v>5134</v>
      </c>
      <c r="G1269" s="519" t="s">
        <v>5136</v>
      </c>
      <c r="H1269" s="397" t="s">
        <v>5137</v>
      </c>
      <c r="I1269" s="682"/>
      <c r="J1269" s="682"/>
      <c r="K1269" s="682"/>
      <c r="L1269" s="675"/>
      <c r="M1269" s="685"/>
      <c r="N1269" s="675"/>
    </row>
    <row r="1270" spans="1:14" ht="24">
      <c r="A1270" s="518">
        <v>6</v>
      </c>
      <c r="B1270" s="674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674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674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674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674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674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674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674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674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674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674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674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674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674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674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674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674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674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674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674"/>
      <c r="C1289" s="681" t="s">
        <v>5168</v>
      </c>
      <c r="D1289" s="683" t="s">
        <v>311</v>
      </c>
      <c r="E1289" s="683" t="s">
        <v>675</v>
      </c>
      <c r="F1289" s="566" t="s">
        <v>5133</v>
      </c>
      <c r="G1289" s="567" t="s">
        <v>5135</v>
      </c>
      <c r="H1289" s="567" t="s">
        <v>347</v>
      </c>
      <c r="I1289" s="681" t="s">
        <v>5138</v>
      </c>
      <c r="J1289" s="681"/>
      <c r="K1289" s="681" t="s">
        <v>692</v>
      </c>
      <c r="L1289" s="683" t="s">
        <v>309</v>
      </c>
      <c r="M1289" s="684">
        <v>500000</v>
      </c>
      <c r="N1289" s="675" t="s">
        <v>5042</v>
      </c>
    </row>
    <row r="1290" spans="1:14" ht="19.5">
      <c r="A1290" s="518">
        <v>8</v>
      </c>
      <c r="B1290" s="674"/>
      <c r="C1290" s="682"/>
      <c r="D1290" s="675"/>
      <c r="E1290" s="675"/>
      <c r="F1290" s="511" t="s">
        <v>5134</v>
      </c>
      <c r="G1290" s="519" t="s">
        <v>5136</v>
      </c>
      <c r="H1290" s="521" t="s">
        <v>5137</v>
      </c>
      <c r="I1290" s="682"/>
      <c r="J1290" s="682"/>
      <c r="K1290" s="682"/>
      <c r="L1290" s="675"/>
      <c r="M1290" s="685"/>
      <c r="N1290" s="675"/>
    </row>
    <row r="1291" spans="1:14">
      <c r="A1291" s="518">
        <v>8</v>
      </c>
      <c r="B1291" s="674"/>
      <c r="C1291" s="681" t="s">
        <v>5169</v>
      </c>
      <c r="D1291" s="683" t="s">
        <v>311</v>
      </c>
      <c r="E1291" s="683" t="s">
        <v>320</v>
      </c>
      <c r="F1291" s="688" t="s">
        <v>709</v>
      </c>
      <c r="G1291" s="681" t="s">
        <v>3102</v>
      </c>
      <c r="H1291" s="681" t="s">
        <v>3103</v>
      </c>
      <c r="I1291" s="566" t="s">
        <v>5340</v>
      </c>
      <c r="J1291" s="681" t="s">
        <v>638</v>
      </c>
      <c r="K1291" s="681" t="s">
        <v>713</v>
      </c>
      <c r="L1291" s="683" t="s">
        <v>309</v>
      </c>
      <c r="M1291" s="684">
        <v>250000</v>
      </c>
      <c r="N1291" s="675" t="s">
        <v>5042</v>
      </c>
    </row>
    <row r="1292" spans="1:14">
      <c r="A1292" s="518">
        <v>8</v>
      </c>
      <c r="B1292" s="674"/>
      <c r="C1292" s="682"/>
      <c r="D1292" s="675"/>
      <c r="E1292" s="675"/>
      <c r="F1292" s="689"/>
      <c r="G1292" s="682"/>
      <c r="H1292" s="682"/>
      <c r="I1292" s="511" t="s">
        <v>5170</v>
      </c>
      <c r="J1292" s="682"/>
      <c r="K1292" s="682"/>
      <c r="L1292" s="675"/>
      <c r="M1292" s="685"/>
      <c r="N1292" s="675"/>
    </row>
    <row r="1293" spans="1:14">
      <c r="A1293" s="518">
        <v>8</v>
      </c>
      <c r="B1293" s="674"/>
      <c r="C1293" s="681" t="s">
        <v>5171</v>
      </c>
      <c r="D1293" s="683" t="s">
        <v>311</v>
      </c>
      <c r="E1293" s="683" t="s">
        <v>320</v>
      </c>
      <c r="F1293" s="681" t="s">
        <v>337</v>
      </c>
      <c r="G1293" s="681" t="s">
        <v>3172</v>
      </c>
      <c r="H1293" s="681" t="s">
        <v>3061</v>
      </c>
      <c r="I1293" s="566" t="s">
        <v>5341</v>
      </c>
      <c r="J1293" s="681" t="s">
        <v>638</v>
      </c>
      <c r="K1293" s="681" t="s">
        <v>692</v>
      </c>
      <c r="L1293" s="683" t="s">
        <v>309</v>
      </c>
      <c r="M1293" s="684">
        <v>500000</v>
      </c>
      <c r="N1293" s="675" t="s">
        <v>1206</v>
      </c>
    </row>
    <row r="1294" spans="1:14">
      <c r="A1294" s="518">
        <v>8</v>
      </c>
      <c r="B1294" s="674"/>
      <c r="C1294" s="682"/>
      <c r="D1294" s="675"/>
      <c r="E1294" s="675"/>
      <c r="F1294" s="682"/>
      <c r="G1294" s="682"/>
      <c r="H1294" s="682"/>
      <c r="I1294" s="511" t="s">
        <v>5172</v>
      </c>
      <c r="J1294" s="682"/>
      <c r="K1294" s="682"/>
      <c r="L1294" s="675"/>
      <c r="M1294" s="685"/>
      <c r="N1294" s="675"/>
    </row>
    <row r="1295" spans="1:14">
      <c r="A1295" s="518">
        <v>9</v>
      </c>
      <c r="B1295" s="674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674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674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674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674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674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674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674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674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674"/>
      <c r="C1304" s="681" t="s">
        <v>5185</v>
      </c>
      <c r="D1304" s="683" t="s">
        <v>311</v>
      </c>
      <c r="E1304" s="683" t="s">
        <v>320</v>
      </c>
      <c r="F1304" s="681" t="s">
        <v>337</v>
      </c>
      <c r="G1304" s="681" t="s">
        <v>3172</v>
      </c>
      <c r="H1304" s="681" t="s">
        <v>3061</v>
      </c>
      <c r="I1304" s="570" t="s">
        <v>5186</v>
      </c>
      <c r="J1304" s="681" t="s">
        <v>638</v>
      </c>
      <c r="K1304" s="681" t="s">
        <v>713</v>
      </c>
      <c r="L1304" s="683" t="s">
        <v>309</v>
      </c>
      <c r="M1304" s="684">
        <v>250000</v>
      </c>
      <c r="N1304" s="675" t="s">
        <v>5042</v>
      </c>
    </row>
    <row r="1305" spans="1:14">
      <c r="A1305" s="518">
        <v>9</v>
      </c>
      <c r="B1305" s="674"/>
      <c r="C1305" s="682"/>
      <c r="D1305" s="675"/>
      <c r="E1305" s="675"/>
      <c r="F1305" s="682"/>
      <c r="G1305" s="682"/>
      <c r="H1305" s="682"/>
      <c r="I1305" s="520" t="s">
        <v>5187</v>
      </c>
      <c r="J1305" s="682"/>
      <c r="K1305" s="682"/>
      <c r="L1305" s="675"/>
      <c r="M1305" s="685"/>
      <c r="N1305" s="675"/>
    </row>
    <row r="1306" spans="1:14">
      <c r="A1306" s="518">
        <v>9</v>
      </c>
      <c r="B1306" s="674"/>
      <c r="C1306" s="681" t="s">
        <v>5185</v>
      </c>
      <c r="D1306" s="683" t="s">
        <v>311</v>
      </c>
      <c r="E1306" s="683" t="s">
        <v>320</v>
      </c>
      <c r="F1306" s="681" t="s">
        <v>5188</v>
      </c>
      <c r="G1306" s="566" t="s">
        <v>689</v>
      </c>
      <c r="H1306" s="681" t="s">
        <v>5190</v>
      </c>
      <c r="I1306" s="566" t="s">
        <v>5343</v>
      </c>
      <c r="J1306" s="681"/>
      <c r="K1306" s="681" t="s">
        <v>713</v>
      </c>
      <c r="L1306" s="683" t="s">
        <v>309</v>
      </c>
      <c r="M1306" s="684">
        <v>250000</v>
      </c>
      <c r="N1306" s="675" t="s">
        <v>5042</v>
      </c>
    </row>
    <row r="1307" spans="1:14">
      <c r="A1307" s="518">
        <v>9</v>
      </c>
      <c r="B1307" s="674"/>
      <c r="C1307" s="682"/>
      <c r="D1307" s="675"/>
      <c r="E1307" s="675"/>
      <c r="F1307" s="682"/>
      <c r="G1307" s="511" t="s">
        <v>5189</v>
      </c>
      <c r="H1307" s="682"/>
      <c r="I1307" s="511" t="s">
        <v>5191</v>
      </c>
      <c r="J1307" s="682"/>
      <c r="K1307" s="682"/>
      <c r="L1307" s="675"/>
      <c r="M1307" s="685"/>
      <c r="N1307" s="675"/>
    </row>
    <row r="1308" spans="1:14">
      <c r="A1308" s="518">
        <v>9</v>
      </c>
      <c r="B1308" s="674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674"/>
      <c r="C1309" s="681" t="s">
        <v>5193</v>
      </c>
      <c r="D1309" s="683" t="s">
        <v>311</v>
      </c>
      <c r="E1309" s="683" t="s">
        <v>320</v>
      </c>
      <c r="F1309" s="681" t="s">
        <v>337</v>
      </c>
      <c r="G1309" s="566" t="s">
        <v>3405</v>
      </c>
      <c r="H1309" s="681" t="s">
        <v>5039</v>
      </c>
      <c r="I1309" s="681" t="s">
        <v>5344</v>
      </c>
      <c r="J1309" s="681"/>
      <c r="K1309" s="681" t="s">
        <v>692</v>
      </c>
      <c r="L1309" s="683" t="s">
        <v>309</v>
      </c>
      <c r="M1309" s="684">
        <v>500000</v>
      </c>
      <c r="N1309" s="675" t="s">
        <v>5042</v>
      </c>
    </row>
    <row r="1310" spans="1:14">
      <c r="A1310" s="518">
        <v>9</v>
      </c>
      <c r="B1310" s="674"/>
      <c r="C1310" s="682"/>
      <c r="D1310" s="675"/>
      <c r="E1310" s="675"/>
      <c r="F1310" s="682"/>
      <c r="G1310" s="511" t="s">
        <v>5194</v>
      </c>
      <c r="H1310" s="682"/>
      <c r="I1310" s="682"/>
      <c r="J1310" s="682"/>
      <c r="K1310" s="682"/>
      <c r="L1310" s="675"/>
      <c r="M1310" s="685"/>
      <c r="N1310" s="675"/>
    </row>
    <row r="1311" spans="1:14" ht="24">
      <c r="A1311" s="518">
        <v>9</v>
      </c>
      <c r="B1311" s="674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674"/>
      <c r="C1312" s="681" t="s">
        <v>5197</v>
      </c>
      <c r="D1312" s="683" t="s">
        <v>311</v>
      </c>
      <c r="E1312" s="683" t="s">
        <v>675</v>
      </c>
      <c r="F1312" s="681" t="s">
        <v>5198</v>
      </c>
      <c r="G1312" s="567" t="s">
        <v>1923</v>
      </c>
      <c r="H1312" s="681" t="s">
        <v>347</v>
      </c>
      <c r="I1312" s="681" t="s">
        <v>5347</v>
      </c>
      <c r="J1312" s="681"/>
      <c r="K1312" s="681" t="s">
        <v>692</v>
      </c>
      <c r="L1312" s="683" t="s">
        <v>309</v>
      </c>
      <c r="M1312" s="686">
        <v>500000</v>
      </c>
      <c r="N1312" s="675" t="s">
        <v>1929</v>
      </c>
    </row>
    <row r="1313" spans="1:14">
      <c r="A1313" s="518">
        <v>9</v>
      </c>
      <c r="B1313" s="674"/>
      <c r="C1313" s="682"/>
      <c r="D1313" s="675"/>
      <c r="E1313" s="675"/>
      <c r="F1313" s="682"/>
      <c r="G1313" s="519" t="s">
        <v>5199</v>
      </c>
      <c r="H1313" s="682"/>
      <c r="I1313" s="682"/>
      <c r="J1313" s="682"/>
      <c r="K1313" s="682"/>
      <c r="L1313" s="675"/>
      <c r="M1313" s="687"/>
      <c r="N1313" s="675"/>
    </row>
    <row r="1314" spans="1:14">
      <c r="A1314" s="518">
        <v>10</v>
      </c>
      <c r="B1314" s="674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674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674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674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674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674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674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674"/>
      <c r="C1321" s="682" t="s">
        <v>5211</v>
      </c>
      <c r="D1321" s="675" t="s">
        <v>311</v>
      </c>
      <c r="E1321" s="675" t="s">
        <v>320</v>
      </c>
      <c r="F1321" s="682" t="s">
        <v>337</v>
      </c>
      <c r="G1321" s="682" t="s">
        <v>3172</v>
      </c>
      <c r="H1321" s="682" t="s">
        <v>3061</v>
      </c>
      <c r="I1321" s="520" t="s">
        <v>5186</v>
      </c>
      <c r="J1321" s="682" t="s">
        <v>638</v>
      </c>
      <c r="K1321" s="682" t="s">
        <v>705</v>
      </c>
      <c r="L1321" s="675" t="s">
        <v>309</v>
      </c>
      <c r="M1321" s="685">
        <v>500000</v>
      </c>
      <c r="N1321" s="675" t="s">
        <v>1206</v>
      </c>
    </row>
    <row r="1322" spans="1:14">
      <c r="A1322" s="518">
        <v>10</v>
      </c>
      <c r="B1322" s="674"/>
      <c r="C1322" s="682"/>
      <c r="D1322" s="675"/>
      <c r="E1322" s="675"/>
      <c r="F1322" s="682"/>
      <c r="G1322" s="682"/>
      <c r="H1322" s="682"/>
      <c r="I1322" s="520" t="s">
        <v>5187</v>
      </c>
      <c r="J1322" s="682"/>
      <c r="K1322" s="682"/>
      <c r="L1322" s="675"/>
      <c r="M1322" s="685"/>
      <c r="N1322" s="675"/>
    </row>
    <row r="1323" spans="1:14">
      <c r="A1323" s="518">
        <v>10</v>
      </c>
      <c r="B1323" s="674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674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674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674"/>
      <c r="C1326" s="682" t="s">
        <v>5212</v>
      </c>
      <c r="D1326" s="675" t="s">
        <v>311</v>
      </c>
      <c r="E1326" s="675" t="s">
        <v>320</v>
      </c>
      <c r="F1326" s="682" t="s">
        <v>337</v>
      </c>
      <c r="G1326" s="682" t="s">
        <v>3172</v>
      </c>
      <c r="H1326" s="682" t="s">
        <v>3061</v>
      </c>
      <c r="I1326" s="520" t="s">
        <v>5186</v>
      </c>
      <c r="J1326" s="682"/>
      <c r="K1326" s="682" t="s">
        <v>705</v>
      </c>
      <c r="L1326" s="675" t="s">
        <v>309</v>
      </c>
      <c r="M1326" s="685">
        <v>500000</v>
      </c>
      <c r="N1326" s="675" t="s">
        <v>1206</v>
      </c>
    </row>
    <row r="1327" spans="1:14">
      <c r="A1327" s="518">
        <v>10</v>
      </c>
      <c r="B1327" s="674"/>
      <c r="C1327" s="682"/>
      <c r="D1327" s="675"/>
      <c r="E1327" s="675"/>
      <c r="F1327" s="682"/>
      <c r="G1327" s="682"/>
      <c r="H1327" s="682"/>
      <c r="I1327" s="520" t="s">
        <v>5187</v>
      </c>
      <c r="J1327" s="682"/>
      <c r="K1327" s="682"/>
      <c r="L1327" s="675"/>
      <c r="M1327" s="685"/>
      <c r="N1327" s="675"/>
    </row>
    <row r="1328" spans="1:14" ht="25.5">
      <c r="A1328" s="518">
        <v>10</v>
      </c>
      <c r="B1328" s="674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674"/>
      <c r="C1329" s="681" t="s">
        <v>5219</v>
      </c>
      <c r="D1329" s="683" t="s">
        <v>311</v>
      </c>
      <c r="E1329" s="683" t="s">
        <v>675</v>
      </c>
      <c r="F1329" s="566" t="s">
        <v>5220</v>
      </c>
      <c r="G1329" s="681" t="s">
        <v>5222</v>
      </c>
      <c r="H1329" s="681" t="s">
        <v>662</v>
      </c>
      <c r="I1329" s="681" t="s">
        <v>5349</v>
      </c>
      <c r="J1329" s="681" t="s">
        <v>638</v>
      </c>
      <c r="K1329" s="681" t="s">
        <v>713</v>
      </c>
      <c r="L1329" s="683" t="s">
        <v>309</v>
      </c>
      <c r="M1329" s="684">
        <v>250000</v>
      </c>
      <c r="N1329" s="675" t="s">
        <v>5042</v>
      </c>
    </row>
    <row r="1330" spans="1:14">
      <c r="A1330" s="518">
        <v>10</v>
      </c>
      <c r="B1330" s="674"/>
      <c r="C1330" s="682"/>
      <c r="D1330" s="675"/>
      <c r="E1330" s="675"/>
      <c r="F1330" s="511" t="s">
        <v>5221</v>
      </c>
      <c r="G1330" s="682"/>
      <c r="H1330" s="682"/>
      <c r="I1330" s="682"/>
      <c r="J1330" s="682"/>
      <c r="K1330" s="682"/>
      <c r="L1330" s="675"/>
      <c r="M1330" s="685"/>
      <c r="N1330" s="675"/>
    </row>
    <row r="1331" spans="1:14">
      <c r="A1331" s="518">
        <v>10</v>
      </c>
      <c r="B1331" s="674"/>
      <c r="C1331" s="681" t="s">
        <v>5223</v>
      </c>
      <c r="D1331" s="683" t="s">
        <v>311</v>
      </c>
      <c r="E1331" s="683" t="s">
        <v>675</v>
      </c>
      <c r="F1331" s="681" t="s">
        <v>5224</v>
      </c>
      <c r="G1331" s="567" t="s">
        <v>5136</v>
      </c>
      <c r="H1331" s="676" t="s">
        <v>347</v>
      </c>
      <c r="I1331" s="566" t="s">
        <v>5350</v>
      </c>
      <c r="J1331" s="681"/>
      <c r="K1331" s="681" t="s">
        <v>692</v>
      </c>
      <c r="L1331" s="683" t="s">
        <v>309</v>
      </c>
      <c r="M1331" s="684">
        <v>500000</v>
      </c>
      <c r="N1331" s="675" t="s">
        <v>5042</v>
      </c>
    </row>
    <row r="1332" spans="1:14">
      <c r="A1332" s="518">
        <v>10</v>
      </c>
      <c r="B1332" s="674"/>
      <c r="C1332" s="682"/>
      <c r="D1332" s="675"/>
      <c r="E1332" s="675"/>
      <c r="F1332" s="682"/>
      <c r="G1332" s="519" t="s">
        <v>5225</v>
      </c>
      <c r="H1332" s="677"/>
      <c r="I1332" s="511" t="s">
        <v>5227</v>
      </c>
      <c r="J1332" s="682"/>
      <c r="K1332" s="682"/>
      <c r="L1332" s="675"/>
      <c r="M1332" s="685"/>
      <c r="N1332" s="675"/>
    </row>
    <row r="1333" spans="1:14">
      <c r="A1333" s="518">
        <v>11</v>
      </c>
      <c r="B1333" s="674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674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674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674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674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674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674" t="s">
        <v>5173</v>
      </c>
      <c r="C1339" s="676" t="s">
        <v>5228</v>
      </c>
      <c r="D1339" s="678" t="s">
        <v>311</v>
      </c>
      <c r="E1339" s="678" t="s">
        <v>675</v>
      </c>
      <c r="F1339" s="676" t="s">
        <v>5224</v>
      </c>
      <c r="G1339" s="570" t="s">
        <v>5136</v>
      </c>
      <c r="H1339" s="676" t="s">
        <v>347</v>
      </c>
      <c r="I1339" s="570" t="s">
        <v>5226</v>
      </c>
      <c r="J1339" s="676"/>
      <c r="K1339" s="676" t="s">
        <v>692</v>
      </c>
      <c r="L1339" s="678" t="s">
        <v>309</v>
      </c>
      <c r="M1339" s="679">
        <v>500000</v>
      </c>
      <c r="N1339" s="677" t="s">
        <v>5235</v>
      </c>
    </row>
    <row r="1340" spans="1:14">
      <c r="A1340" s="518">
        <v>11</v>
      </c>
      <c r="B1340" s="674"/>
      <c r="C1340" s="677"/>
      <c r="D1340" s="672"/>
      <c r="E1340" s="672"/>
      <c r="F1340" s="677"/>
      <c r="G1340" s="520" t="s">
        <v>5225</v>
      </c>
      <c r="H1340" s="677"/>
      <c r="I1340" s="520" t="s">
        <v>5227</v>
      </c>
      <c r="J1340" s="677"/>
      <c r="K1340" s="677"/>
      <c r="L1340" s="672"/>
      <c r="M1340" s="680"/>
      <c r="N1340" s="677"/>
    </row>
    <row r="1341" spans="1:14">
      <c r="A1341" s="518">
        <v>11</v>
      </c>
      <c r="B1341" s="674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674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674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674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674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674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674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674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674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674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674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674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674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674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674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674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674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674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674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674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674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674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674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674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674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674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674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674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670" t="s">
        <v>307</v>
      </c>
      <c r="C1369" s="134" t="s">
        <v>5493</v>
      </c>
      <c r="D1369" s="129" t="s">
        <v>306</v>
      </c>
      <c r="E1369" s="129" t="s">
        <v>322</v>
      </c>
      <c r="F1369" s="130" t="s">
        <v>5442</v>
      </c>
      <c r="G1369" s="130" t="s">
        <v>4948</v>
      </c>
      <c r="H1369" s="130" t="s">
        <v>1915</v>
      </c>
      <c r="I1369" s="649" t="s">
        <v>5443</v>
      </c>
      <c r="J1369" s="650" t="s">
        <v>1111</v>
      </c>
      <c r="K1369" s="657" t="s">
        <v>3109</v>
      </c>
      <c r="L1369" s="637"/>
      <c r="M1369" s="638">
        <v>250000</v>
      </c>
      <c r="N1369" s="672" t="s">
        <v>5494</v>
      </c>
    </row>
    <row r="1370" spans="1:14">
      <c r="A1370" s="518">
        <v>14</v>
      </c>
      <c r="B1370" s="671"/>
      <c r="C1370" s="152" t="s">
        <v>5493</v>
      </c>
      <c r="D1370" s="129" t="s">
        <v>306</v>
      </c>
      <c r="E1370" s="129" t="s">
        <v>322</v>
      </c>
      <c r="F1370" s="130" t="s">
        <v>5442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672"/>
    </row>
    <row r="1371" spans="1:14">
      <c r="A1371" s="518">
        <v>14</v>
      </c>
      <c r="B1371" s="671"/>
      <c r="C1371" s="652" t="s">
        <v>5495</v>
      </c>
      <c r="D1371" s="129" t="s">
        <v>306</v>
      </c>
      <c r="E1371" s="129" t="s">
        <v>322</v>
      </c>
      <c r="F1371" s="130" t="s">
        <v>5442</v>
      </c>
      <c r="G1371" s="651" t="s">
        <v>4948</v>
      </c>
      <c r="H1371" s="651" t="s">
        <v>1915</v>
      </c>
      <c r="I1371" s="651" t="s">
        <v>5444</v>
      </c>
      <c r="J1371" s="650" t="s">
        <v>1111</v>
      </c>
      <c r="K1371" s="657" t="s">
        <v>5496</v>
      </c>
      <c r="L1371" s="637"/>
      <c r="M1371" s="638">
        <v>2500000</v>
      </c>
      <c r="N1371" s="659"/>
    </row>
    <row r="1372" spans="1:14">
      <c r="A1372" s="518">
        <v>14</v>
      </c>
      <c r="B1372" s="671"/>
      <c r="C1372" s="130" t="s">
        <v>5497</v>
      </c>
      <c r="D1372" s="650" t="s">
        <v>306</v>
      </c>
      <c r="E1372" s="650" t="s">
        <v>322</v>
      </c>
      <c r="F1372" s="650" t="s">
        <v>5442</v>
      </c>
      <c r="G1372" s="651" t="s">
        <v>4948</v>
      </c>
      <c r="H1372" s="651" t="s">
        <v>1915</v>
      </c>
      <c r="I1372" s="651" t="s">
        <v>5498</v>
      </c>
      <c r="J1372" s="650" t="s">
        <v>5499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671"/>
      <c r="C1373" s="130" t="s">
        <v>5500</v>
      </c>
      <c r="D1373" s="129" t="s">
        <v>306</v>
      </c>
      <c r="E1373" s="129" t="s">
        <v>322</v>
      </c>
      <c r="F1373" s="130" t="s">
        <v>5442</v>
      </c>
      <c r="G1373" s="651" t="s">
        <v>5501</v>
      </c>
      <c r="H1373" s="651" t="s">
        <v>662</v>
      </c>
      <c r="I1373" s="651" t="s">
        <v>5502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671"/>
      <c r="C1374" s="130" t="s">
        <v>5503</v>
      </c>
      <c r="D1374" s="129" t="s">
        <v>306</v>
      </c>
      <c r="E1374" s="129" t="s">
        <v>322</v>
      </c>
      <c r="F1374" s="130" t="s">
        <v>5442</v>
      </c>
      <c r="G1374" s="651" t="s">
        <v>5102</v>
      </c>
      <c r="H1374" s="651" t="s">
        <v>347</v>
      </c>
      <c r="I1374" s="651" t="s">
        <v>5504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671"/>
      <c r="C1375" s="130" t="s">
        <v>5505</v>
      </c>
      <c r="D1375" s="650" t="s">
        <v>306</v>
      </c>
      <c r="E1375" s="650" t="s">
        <v>322</v>
      </c>
      <c r="F1375" s="650" t="s">
        <v>5442</v>
      </c>
      <c r="G1375" s="651" t="s">
        <v>5506</v>
      </c>
      <c r="H1375" s="651" t="s">
        <v>3117</v>
      </c>
      <c r="I1375" s="651" t="s">
        <v>5507</v>
      </c>
      <c r="J1375" s="650" t="s">
        <v>5499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671"/>
      <c r="C1376" s="639" t="s">
        <v>5508</v>
      </c>
      <c r="D1376" s="129" t="s">
        <v>5509</v>
      </c>
      <c r="E1376" s="129" t="s">
        <v>322</v>
      </c>
      <c r="F1376" s="130" t="s">
        <v>5442</v>
      </c>
      <c r="G1376" s="651" t="s">
        <v>4948</v>
      </c>
      <c r="H1376" s="651" t="s">
        <v>3117</v>
      </c>
      <c r="I1376" s="651" t="s">
        <v>5510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673" t="s">
        <v>311</v>
      </c>
      <c r="C1377" s="134" t="s">
        <v>5511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5512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5513</v>
      </c>
    </row>
    <row r="1378" spans="1:14" ht="36">
      <c r="A1378" s="518">
        <v>14</v>
      </c>
      <c r="B1378" s="673"/>
      <c r="C1378" s="652" t="s">
        <v>5514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5515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5516</v>
      </c>
    </row>
    <row r="1379" spans="1:14">
      <c r="A1379" s="518">
        <v>14</v>
      </c>
      <c r="B1379" s="673"/>
      <c r="C1379" s="130" t="s">
        <v>5514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5517</v>
      </c>
      <c r="K1379" s="658" t="s">
        <v>692</v>
      </c>
      <c r="L1379" s="635" t="s">
        <v>309</v>
      </c>
      <c r="M1379" s="536">
        <v>500000</v>
      </c>
      <c r="N1379" s="636" t="s">
        <v>5518</v>
      </c>
    </row>
    <row r="1380" spans="1:14">
      <c r="A1380" s="518">
        <v>14</v>
      </c>
      <c r="B1380" s="673"/>
      <c r="C1380" s="130" t="s">
        <v>5519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5517</v>
      </c>
      <c r="K1380" s="658" t="s">
        <v>692</v>
      </c>
      <c r="L1380" s="635" t="s">
        <v>309</v>
      </c>
      <c r="M1380" s="536">
        <v>500000</v>
      </c>
      <c r="N1380" s="636" t="s">
        <v>5518</v>
      </c>
    </row>
    <row r="1381" spans="1:14" ht="22.5">
      <c r="A1381" s="518">
        <v>14</v>
      </c>
      <c r="B1381" s="673"/>
      <c r="C1381" s="130" t="s">
        <v>5520</v>
      </c>
      <c r="D1381" s="129" t="s">
        <v>311</v>
      </c>
      <c r="E1381" s="129" t="s">
        <v>320</v>
      </c>
      <c r="F1381" s="653" t="s">
        <v>5521</v>
      </c>
      <c r="G1381" s="130" t="s">
        <v>5070</v>
      </c>
      <c r="H1381" s="130" t="s">
        <v>354</v>
      </c>
      <c r="I1381" s="130" t="s">
        <v>310</v>
      </c>
      <c r="J1381" s="130" t="s">
        <v>5517</v>
      </c>
      <c r="K1381" s="658" t="s">
        <v>692</v>
      </c>
      <c r="L1381" s="635" t="s">
        <v>309</v>
      </c>
      <c r="M1381" s="536">
        <v>500000</v>
      </c>
      <c r="N1381" s="636" t="s">
        <v>5518</v>
      </c>
    </row>
    <row r="1382" spans="1:14" ht="22.5">
      <c r="A1382" s="518">
        <v>14</v>
      </c>
      <c r="B1382" s="673"/>
      <c r="C1382" s="130" t="s">
        <v>5522</v>
      </c>
      <c r="D1382" s="129" t="s">
        <v>311</v>
      </c>
      <c r="E1382" s="129" t="s">
        <v>320</v>
      </c>
      <c r="F1382" s="653" t="s">
        <v>5521</v>
      </c>
      <c r="G1382" s="130" t="s">
        <v>5070</v>
      </c>
      <c r="H1382" s="130" t="s">
        <v>354</v>
      </c>
      <c r="I1382" s="130" t="s">
        <v>310</v>
      </c>
      <c r="J1382" s="130" t="s">
        <v>5517</v>
      </c>
      <c r="K1382" s="658" t="s">
        <v>692</v>
      </c>
      <c r="L1382" s="635" t="s">
        <v>309</v>
      </c>
      <c r="M1382" s="536">
        <v>500000</v>
      </c>
      <c r="N1382" s="636" t="s">
        <v>5518</v>
      </c>
    </row>
    <row r="1383" spans="1:14">
      <c r="A1383" s="518">
        <v>15</v>
      </c>
      <c r="B1383" s="690" t="s">
        <v>20</v>
      </c>
      <c r="C1383" s="902" t="s">
        <v>5547</v>
      </c>
      <c r="D1383" s="646" t="s">
        <v>306</v>
      </c>
      <c r="E1383" s="94" t="s">
        <v>322</v>
      </c>
      <c r="F1383" s="900" t="s">
        <v>5442</v>
      </c>
      <c r="G1383" s="900" t="s">
        <v>5546</v>
      </c>
      <c r="H1383" s="900" t="s">
        <v>106</v>
      </c>
      <c r="I1383" s="901" t="s">
        <v>5598</v>
      </c>
      <c r="J1383" s="94" t="s">
        <v>1111</v>
      </c>
      <c r="K1383" s="923" t="s">
        <v>3978</v>
      </c>
      <c r="L1383" s="646"/>
      <c r="M1383" s="400">
        <v>600000</v>
      </c>
      <c r="N1383" s="924" t="s">
        <v>5544</v>
      </c>
    </row>
    <row r="1384" spans="1:14">
      <c r="A1384" s="518">
        <v>15</v>
      </c>
      <c r="B1384" s="690"/>
      <c r="C1384" s="902">
        <v>46123</v>
      </c>
      <c r="D1384" s="646" t="s">
        <v>306</v>
      </c>
      <c r="E1384" s="94" t="s">
        <v>322</v>
      </c>
      <c r="F1384" s="900" t="s">
        <v>5442</v>
      </c>
      <c r="G1384" s="900" t="s">
        <v>4948</v>
      </c>
      <c r="H1384" s="900" t="s">
        <v>1915</v>
      </c>
      <c r="I1384" s="901" t="s">
        <v>5443</v>
      </c>
      <c r="J1384" s="94" t="s">
        <v>1111</v>
      </c>
      <c r="K1384" s="923" t="s">
        <v>3109</v>
      </c>
      <c r="L1384" s="646"/>
      <c r="M1384" s="400">
        <v>250000</v>
      </c>
      <c r="N1384" s="924" t="s">
        <v>5492</v>
      </c>
    </row>
    <row r="1385" spans="1:14" ht="27">
      <c r="A1385" s="518">
        <v>15</v>
      </c>
      <c r="B1385" s="690"/>
      <c r="C1385" s="902" t="s">
        <v>5568</v>
      </c>
      <c r="D1385" s="646" t="s">
        <v>124</v>
      </c>
      <c r="E1385" s="646" t="s">
        <v>151</v>
      </c>
      <c r="F1385" s="648" t="s">
        <v>5569</v>
      </c>
      <c r="G1385" s="38">
        <v>1614</v>
      </c>
      <c r="H1385" s="900" t="s">
        <v>1915</v>
      </c>
      <c r="I1385" s="647" t="s">
        <v>5570</v>
      </c>
      <c r="J1385" s="646" t="s">
        <v>5571</v>
      </c>
      <c r="K1385" s="646" t="s">
        <v>5582</v>
      </c>
      <c r="L1385" s="646"/>
      <c r="M1385" s="96">
        <f>250000*5</f>
        <v>1250000</v>
      </c>
      <c r="N1385" s="926"/>
    </row>
    <row r="1386" spans="1:14" ht="27">
      <c r="A1386" s="518">
        <v>15</v>
      </c>
      <c r="B1386" s="690"/>
      <c r="C1386" s="902" t="s">
        <v>5584</v>
      </c>
      <c r="D1386" s="646" t="s">
        <v>124</v>
      </c>
      <c r="E1386" s="646" t="s">
        <v>151</v>
      </c>
      <c r="F1386" s="648" t="s">
        <v>5569</v>
      </c>
      <c r="G1386" s="38" t="s">
        <v>5572</v>
      </c>
      <c r="H1386" s="908" t="s">
        <v>5573</v>
      </c>
      <c r="I1386" s="647" t="s">
        <v>5580</v>
      </c>
      <c r="J1386" s="646" t="s">
        <v>5578</v>
      </c>
      <c r="K1386" s="646" t="s">
        <v>5581</v>
      </c>
      <c r="L1386" s="646"/>
      <c r="M1386" s="96">
        <f>250000*3</f>
        <v>750000</v>
      </c>
      <c r="N1386" s="926"/>
    </row>
    <row r="1387" spans="1:14" ht="27">
      <c r="A1387" s="518">
        <v>15</v>
      </c>
      <c r="B1387" s="690"/>
      <c r="C1387" s="902" t="s">
        <v>5583</v>
      </c>
      <c r="D1387" s="646" t="s">
        <v>124</v>
      </c>
      <c r="E1387" s="646" t="s">
        <v>151</v>
      </c>
      <c r="F1387" s="648" t="s">
        <v>5569</v>
      </c>
      <c r="G1387" s="38" t="s">
        <v>5572</v>
      </c>
      <c r="H1387" s="908" t="s">
        <v>5574</v>
      </c>
      <c r="I1387" s="647" t="s">
        <v>378</v>
      </c>
      <c r="J1387" s="646" t="s">
        <v>168</v>
      </c>
      <c r="K1387" s="646" t="s">
        <v>5585</v>
      </c>
      <c r="L1387" s="646"/>
      <c r="M1387" s="96">
        <f>250000*7</f>
        <v>1750000</v>
      </c>
      <c r="N1387" s="926"/>
    </row>
    <row r="1388" spans="1:14" ht="27">
      <c r="A1388" s="518">
        <v>15</v>
      </c>
      <c r="B1388" s="690"/>
      <c r="C1388" s="902" t="s">
        <v>5579</v>
      </c>
      <c r="D1388" s="646" t="s">
        <v>124</v>
      </c>
      <c r="E1388" s="646" t="s">
        <v>151</v>
      </c>
      <c r="F1388" s="648" t="s">
        <v>5569</v>
      </c>
      <c r="G1388" s="38" t="s">
        <v>5572</v>
      </c>
      <c r="H1388" s="908" t="s">
        <v>5575</v>
      </c>
      <c r="I1388" s="647" t="s">
        <v>5576</v>
      </c>
      <c r="J1388" s="646" t="s">
        <v>5577</v>
      </c>
      <c r="K1388" s="646" t="s">
        <v>3255</v>
      </c>
      <c r="L1388" s="646"/>
      <c r="M1388" s="96">
        <f>250000*5</f>
        <v>1250000</v>
      </c>
      <c r="N1388" s="926"/>
    </row>
    <row r="1389" spans="1:14">
      <c r="A1389" s="518">
        <v>15</v>
      </c>
      <c r="B1389" s="690" t="s">
        <v>21</v>
      </c>
      <c r="C1389" s="902">
        <v>46097</v>
      </c>
      <c r="D1389" s="646" t="s">
        <v>21</v>
      </c>
      <c r="E1389" s="646" t="s">
        <v>139</v>
      </c>
      <c r="F1389" s="38" t="s">
        <v>211</v>
      </c>
      <c r="G1389" s="648" t="s">
        <v>2920</v>
      </c>
      <c r="H1389" s="903" t="s">
        <v>2921</v>
      </c>
      <c r="I1389" s="38" t="s">
        <v>4896</v>
      </c>
      <c r="J1389" s="648"/>
      <c r="K1389" s="648" t="s">
        <v>1877</v>
      </c>
      <c r="L1389" s="646" t="s">
        <v>105</v>
      </c>
      <c r="M1389" s="96">
        <v>600000</v>
      </c>
      <c r="N1389" s="924" t="s">
        <v>5544</v>
      </c>
    </row>
    <row r="1390" spans="1:14">
      <c r="A1390" s="518">
        <v>15</v>
      </c>
      <c r="B1390" s="690"/>
      <c r="C1390" s="902">
        <v>46120</v>
      </c>
      <c r="D1390" s="904" t="s">
        <v>21</v>
      </c>
      <c r="E1390" s="904" t="s">
        <v>14</v>
      </c>
      <c r="F1390" s="905" t="s">
        <v>107</v>
      </c>
      <c r="G1390" s="905" t="s">
        <v>2963</v>
      </c>
      <c r="H1390" s="906" t="s">
        <v>143</v>
      </c>
      <c r="I1390" s="907" t="s">
        <v>271</v>
      </c>
      <c r="J1390" s="905"/>
      <c r="K1390" s="905" t="s">
        <v>686</v>
      </c>
      <c r="L1390" s="646" t="s">
        <v>105</v>
      </c>
      <c r="M1390" s="96">
        <v>250000</v>
      </c>
      <c r="N1390" s="924" t="s">
        <v>5492</v>
      </c>
    </row>
    <row r="1391" spans="1:14">
      <c r="A1391" s="518">
        <v>15</v>
      </c>
      <c r="B1391" s="690"/>
      <c r="C1391" s="902">
        <v>46125</v>
      </c>
      <c r="D1391" s="646" t="s">
        <v>96</v>
      </c>
      <c r="E1391" s="646" t="s">
        <v>139</v>
      </c>
      <c r="F1391" s="648" t="s">
        <v>100</v>
      </c>
      <c r="G1391" s="38" t="s">
        <v>3012</v>
      </c>
      <c r="H1391" s="908" t="s">
        <v>1382</v>
      </c>
      <c r="I1391" s="38" t="s">
        <v>5393</v>
      </c>
      <c r="J1391" s="648" t="s">
        <v>202</v>
      </c>
      <c r="K1391" s="648" t="s">
        <v>686</v>
      </c>
      <c r="L1391" s="646" t="s">
        <v>105</v>
      </c>
      <c r="M1391" s="927">
        <v>250000</v>
      </c>
      <c r="N1391" s="924" t="s">
        <v>5594</v>
      </c>
    </row>
    <row r="1392" spans="1:14">
      <c r="A1392" s="518">
        <v>15</v>
      </c>
      <c r="B1392" s="690"/>
      <c r="C1392" s="902">
        <v>46125</v>
      </c>
      <c r="D1392" s="646" t="s">
        <v>96</v>
      </c>
      <c r="E1392" s="646" t="s">
        <v>139</v>
      </c>
      <c r="F1392" s="909" t="s">
        <v>1791</v>
      </c>
      <c r="G1392" s="648" t="s">
        <v>2139</v>
      </c>
      <c r="H1392" s="903" t="s">
        <v>67</v>
      </c>
      <c r="I1392" s="38" t="s">
        <v>5532</v>
      </c>
      <c r="J1392" s="648" t="s">
        <v>90</v>
      </c>
      <c r="K1392" s="38" t="s">
        <v>686</v>
      </c>
      <c r="L1392" s="646" t="s">
        <v>105</v>
      </c>
      <c r="M1392" s="927">
        <v>250000</v>
      </c>
      <c r="N1392" s="924" t="s">
        <v>5595</v>
      </c>
    </row>
    <row r="1393" spans="1:14" ht="27">
      <c r="A1393" s="518">
        <v>15</v>
      </c>
      <c r="B1393" s="690"/>
      <c r="C1393" s="902">
        <v>46126</v>
      </c>
      <c r="D1393" s="904" t="s">
        <v>96</v>
      </c>
      <c r="E1393" s="904" t="s">
        <v>99</v>
      </c>
      <c r="F1393" s="907" t="s">
        <v>100</v>
      </c>
      <c r="G1393" s="907" t="s">
        <v>3904</v>
      </c>
      <c r="H1393" s="906" t="s">
        <v>171</v>
      </c>
      <c r="I1393" s="38" t="s">
        <v>5537</v>
      </c>
      <c r="J1393" s="648" t="s">
        <v>5538</v>
      </c>
      <c r="K1393" s="38" t="s">
        <v>686</v>
      </c>
      <c r="L1393" s="646" t="s">
        <v>105</v>
      </c>
      <c r="M1393" s="927">
        <v>250000</v>
      </c>
      <c r="N1393" s="924" t="s">
        <v>127</v>
      </c>
    </row>
    <row r="1394" spans="1:14">
      <c r="A1394" s="518">
        <v>15</v>
      </c>
      <c r="B1394" s="690"/>
      <c r="C1394" s="902">
        <v>46128</v>
      </c>
      <c r="D1394" s="44" t="s">
        <v>21</v>
      </c>
      <c r="E1394" s="44" t="s">
        <v>30</v>
      </c>
      <c r="F1394" s="909" t="s">
        <v>107</v>
      </c>
      <c r="G1394" s="909" t="s">
        <v>1972</v>
      </c>
      <c r="H1394" s="903" t="s">
        <v>376</v>
      </c>
      <c r="I1394" s="910" t="s">
        <v>4852</v>
      </c>
      <c r="J1394" s="909" t="s">
        <v>90</v>
      </c>
      <c r="K1394" s="909" t="s">
        <v>641</v>
      </c>
      <c r="L1394" s="44" t="s">
        <v>15</v>
      </c>
      <c r="M1394" s="927">
        <f>250000*2</f>
        <v>500000</v>
      </c>
      <c r="N1394" s="924" t="s">
        <v>393</v>
      </c>
    </row>
    <row r="1395" spans="1:14">
      <c r="A1395" s="518">
        <v>15</v>
      </c>
      <c r="B1395" s="690"/>
      <c r="C1395" s="902">
        <v>46128</v>
      </c>
      <c r="D1395" s="646" t="s">
        <v>96</v>
      </c>
      <c r="E1395" s="646" t="s">
        <v>139</v>
      </c>
      <c r="F1395" s="909" t="s">
        <v>1791</v>
      </c>
      <c r="G1395" s="648" t="s">
        <v>2821</v>
      </c>
      <c r="H1395" s="903" t="s">
        <v>23</v>
      </c>
      <c r="I1395" s="38" t="s">
        <v>5482</v>
      </c>
      <c r="J1395" s="909"/>
      <c r="K1395" s="910" t="s">
        <v>641</v>
      </c>
      <c r="L1395" s="646"/>
      <c r="M1395" s="927">
        <f>250000*2</f>
        <v>500000</v>
      </c>
      <c r="N1395" s="924" t="s">
        <v>5596</v>
      </c>
    </row>
    <row r="1396" spans="1:14" ht="27">
      <c r="A1396" s="518">
        <v>15</v>
      </c>
      <c r="B1396" s="690"/>
      <c r="C1396" s="902">
        <v>46129</v>
      </c>
      <c r="D1396" s="904" t="s">
        <v>21</v>
      </c>
      <c r="E1396" s="904" t="s">
        <v>17</v>
      </c>
      <c r="F1396" s="907" t="s">
        <v>78</v>
      </c>
      <c r="G1396" s="907" t="s">
        <v>3904</v>
      </c>
      <c r="H1396" s="906" t="s">
        <v>36</v>
      </c>
      <c r="I1396" s="38" t="s">
        <v>5551</v>
      </c>
      <c r="J1396" s="648" t="s">
        <v>5525</v>
      </c>
      <c r="K1396" s="38" t="s">
        <v>410</v>
      </c>
      <c r="L1396" s="646" t="s">
        <v>105</v>
      </c>
      <c r="M1396" s="927">
        <v>300000</v>
      </c>
      <c r="N1396" s="924" t="s">
        <v>127</v>
      </c>
    </row>
    <row r="1397" spans="1:14">
      <c r="A1397" s="518">
        <v>15</v>
      </c>
      <c r="B1397" s="690"/>
      <c r="C1397" s="902">
        <v>46129</v>
      </c>
      <c r="D1397" s="44" t="s">
        <v>21</v>
      </c>
      <c r="E1397" s="44" t="s">
        <v>31</v>
      </c>
      <c r="F1397" s="907" t="s">
        <v>100</v>
      </c>
      <c r="G1397" s="909" t="s">
        <v>2333</v>
      </c>
      <c r="H1397" s="903" t="s">
        <v>23</v>
      </c>
      <c r="I1397" s="910" t="s">
        <v>5487</v>
      </c>
      <c r="J1397" s="648" t="s">
        <v>5593</v>
      </c>
      <c r="K1397" s="38" t="s">
        <v>686</v>
      </c>
      <c r="L1397" s="646" t="s">
        <v>105</v>
      </c>
      <c r="M1397" s="927">
        <v>250000</v>
      </c>
      <c r="N1397" s="924" t="s">
        <v>5597</v>
      </c>
    </row>
    <row r="1398" spans="1:14" ht="27">
      <c r="A1398" s="518">
        <v>15</v>
      </c>
      <c r="B1398" s="690"/>
      <c r="C1398" s="902" t="s">
        <v>5579</v>
      </c>
      <c r="D1398" s="646" t="s">
        <v>5586</v>
      </c>
      <c r="E1398" s="646" t="s">
        <v>5587</v>
      </c>
      <c r="F1398" s="38" t="s">
        <v>1897</v>
      </c>
      <c r="G1398" s="648" t="s">
        <v>3593</v>
      </c>
      <c r="H1398" s="908" t="s">
        <v>5588</v>
      </c>
      <c r="I1398" s="38" t="s">
        <v>5589</v>
      </c>
      <c r="J1398" s="648" t="s">
        <v>202</v>
      </c>
      <c r="K1398" s="648" t="s">
        <v>5590</v>
      </c>
      <c r="L1398" s="47" t="s">
        <v>5591</v>
      </c>
      <c r="M1398" s="927">
        <f>250000*15</f>
        <v>3750000</v>
      </c>
      <c r="N1398" s="924" t="s">
        <v>5592</v>
      </c>
    </row>
    <row r="1399" spans="1:14">
      <c r="A1399" s="932"/>
    </row>
  </sheetData>
  <autoFilter ref="A1:N1368"/>
  <mergeCells count="1013">
    <mergeCell ref="B1383:B1388"/>
    <mergeCell ref="B1389:B1398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35" t="s">
        <v>4866</v>
      </c>
      <c r="D10" s="835"/>
    </row>
    <row r="11" spans="1:4">
      <c r="A11" s="490" t="s">
        <v>4867</v>
      </c>
      <c r="B11" s="490">
        <v>6</v>
      </c>
      <c r="C11" s="836">
        <f>'사전품의양식 (12)'!L10</f>
        <v>5850000</v>
      </c>
      <c r="D11" s="836"/>
    </row>
    <row r="12" spans="1:4">
      <c r="A12" s="490" t="s">
        <v>4868</v>
      </c>
      <c r="B12" s="490">
        <v>4</v>
      </c>
      <c r="C12" s="836">
        <f>'사전품의양식 (12)'!L21</f>
        <v>6900000</v>
      </c>
      <c r="D12" s="836"/>
    </row>
    <row r="13" spans="1:4">
      <c r="A13" s="494" t="s">
        <v>53</v>
      </c>
      <c r="B13" s="494">
        <f>SUM(B11:B12)</f>
        <v>10</v>
      </c>
      <c r="C13" s="837">
        <f>SUM(C11:C12)</f>
        <v>12750000</v>
      </c>
      <c r="D13" s="837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5599</v>
      </c>
      <c r="B17" s="492">
        <f>'사전품의양식 (12)'!L4+'사전품의양식 (12)'!L5</f>
        <v>850000</v>
      </c>
      <c r="C17" s="492">
        <f>'사전품의양식 (12)'!L11+'사전품의양식 (12)'!L12</f>
        <v>850000</v>
      </c>
      <c r="D17" s="493">
        <f>SUM(B17:C17)</f>
        <v>1700000</v>
      </c>
    </row>
    <row r="18" spans="1:5">
      <c r="A18" s="491" t="s">
        <v>5600</v>
      </c>
      <c r="B18" s="492">
        <f>C11-B17</f>
        <v>5000000</v>
      </c>
      <c r="C18" s="492">
        <f>C12-C17</f>
        <v>6050000</v>
      </c>
      <c r="D18" s="492">
        <f>SUM(B18:C18)</f>
        <v>11050000</v>
      </c>
    </row>
    <row r="19" spans="1:5">
      <c r="A19" s="494" t="s">
        <v>4870</v>
      </c>
      <c r="B19" s="538">
        <f t="shared" ref="B19:C19" si="0">SUM(B17:B18)</f>
        <v>5850000</v>
      </c>
      <c r="C19" s="538">
        <f t="shared" si="0"/>
        <v>6900000</v>
      </c>
      <c r="D19" s="538">
        <f>SUM(D17:D18)</f>
        <v>12750000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35" t="s">
        <v>4881</v>
      </c>
      <c r="D24" s="835"/>
      <c r="E24" s="835"/>
    </row>
    <row r="25" spans="1:5">
      <c r="A25" s="537" t="s">
        <v>4882</v>
      </c>
      <c r="B25" s="537" t="s">
        <v>4883</v>
      </c>
      <c r="C25" s="834" t="s">
        <v>4884</v>
      </c>
      <c r="D25" s="835"/>
      <c r="E25" s="835"/>
    </row>
    <row r="26" spans="1:5">
      <c r="A26" s="537"/>
      <c r="B26" s="537"/>
      <c r="C26" s="834"/>
      <c r="D26" s="835"/>
      <c r="E26" s="835"/>
    </row>
    <row r="27" spans="1:5">
      <c r="A27" s="537"/>
      <c r="B27" s="537"/>
      <c r="C27" s="834"/>
      <c r="D27" s="835"/>
      <c r="E27" s="835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N53"/>
  <sheetViews>
    <sheetView topLeftCell="A14" zoomScale="85" zoomScaleNormal="85" zoomScaleSheetLayoutView="55" workbookViewId="0">
      <selection activeCell="A4" sqref="A4:M21"/>
    </sheetView>
  </sheetViews>
  <sheetFormatPr defaultRowHeight="13.5"/>
  <cols>
    <col min="1" max="1" width="9" style="911"/>
    <col min="2" max="2" width="11.375" style="911" customWidth="1"/>
    <col min="3" max="3" width="9.875" style="911" bestFit="1" customWidth="1"/>
    <col min="4" max="5" width="9" style="911"/>
    <col min="6" max="6" width="11.625" style="911" customWidth="1"/>
    <col min="7" max="7" width="9" style="911"/>
    <col min="8" max="8" width="38.25" style="911" customWidth="1"/>
    <col min="9" max="9" width="11.625" style="911" customWidth="1"/>
    <col min="10" max="10" width="16.125" style="911" customWidth="1"/>
    <col min="11" max="11" width="9" style="911"/>
    <col min="12" max="12" width="11.75" style="911" bestFit="1" customWidth="1"/>
    <col min="13" max="13" width="14.5" style="911" customWidth="1"/>
    <col min="14" max="14" width="39.75" style="911" bestFit="1" customWidth="1"/>
    <col min="15" max="15" width="9" style="911"/>
    <col min="16" max="16" width="10.875" style="911" bestFit="1" customWidth="1"/>
    <col min="17" max="16384" width="9" style="911"/>
  </cols>
  <sheetData>
    <row r="1" spans="1:13" hidden="1">
      <c r="A1" s="918"/>
      <c r="B1" s="918"/>
      <c r="C1" s="918"/>
      <c r="D1" s="918"/>
      <c r="E1" s="918"/>
      <c r="F1" s="918"/>
      <c r="G1" s="918"/>
      <c r="H1" s="918"/>
      <c r="I1" s="918"/>
      <c r="J1" s="918"/>
      <c r="K1" s="918"/>
      <c r="L1" s="918"/>
      <c r="M1" s="918"/>
    </row>
    <row r="2" spans="1:13">
      <c r="A2" s="919" t="s">
        <v>5489</v>
      </c>
      <c r="B2" s="919" t="s">
        <v>1</v>
      </c>
      <c r="C2" s="919" t="s">
        <v>2</v>
      </c>
      <c r="D2" s="919" t="s">
        <v>3</v>
      </c>
      <c r="E2" s="920" t="s">
        <v>2627</v>
      </c>
      <c r="F2" s="919" t="s">
        <v>5</v>
      </c>
      <c r="G2" s="919" t="s">
        <v>6</v>
      </c>
      <c r="H2" s="919" t="s">
        <v>2628</v>
      </c>
      <c r="I2" s="919" t="s">
        <v>55</v>
      </c>
      <c r="J2" s="919" t="s">
        <v>9</v>
      </c>
      <c r="K2" s="921" t="s">
        <v>56</v>
      </c>
      <c r="L2" s="919" t="s">
        <v>57</v>
      </c>
      <c r="M2" s="919" t="s">
        <v>58</v>
      </c>
    </row>
    <row r="3" spans="1:13">
      <c r="A3" s="919"/>
      <c r="B3" s="919"/>
      <c r="C3" s="919"/>
      <c r="D3" s="919"/>
      <c r="E3" s="922" t="s">
        <v>1728</v>
      </c>
      <c r="F3" s="919"/>
      <c r="G3" s="919"/>
      <c r="H3" s="919"/>
      <c r="I3" s="919"/>
      <c r="J3" s="919"/>
      <c r="K3" s="921"/>
      <c r="L3" s="919"/>
      <c r="M3" s="919"/>
    </row>
    <row r="4" spans="1:13" s="925" customFormat="1">
      <c r="A4" s="702" t="s">
        <v>20</v>
      </c>
      <c r="B4" s="899" t="s">
        <v>5547</v>
      </c>
      <c r="C4" s="94" t="s">
        <v>306</v>
      </c>
      <c r="D4" s="94" t="s">
        <v>322</v>
      </c>
      <c r="E4" s="900" t="s">
        <v>5442</v>
      </c>
      <c r="F4" s="900" t="s">
        <v>5546</v>
      </c>
      <c r="G4" s="900" t="s">
        <v>5545</v>
      </c>
      <c r="H4" s="901" t="s">
        <v>5598</v>
      </c>
      <c r="I4" s="94" t="s">
        <v>1111</v>
      </c>
      <c r="J4" s="923" t="s">
        <v>5548</v>
      </c>
      <c r="K4" s="646"/>
      <c r="L4" s="400">
        <v>600000</v>
      </c>
      <c r="M4" s="924" t="s">
        <v>5544</v>
      </c>
    </row>
    <row r="5" spans="1:13" ht="16.5" customHeight="1">
      <c r="A5" s="703"/>
      <c r="B5" s="899">
        <v>46123</v>
      </c>
      <c r="C5" s="94" t="s">
        <v>306</v>
      </c>
      <c r="D5" s="94" t="s">
        <v>322</v>
      </c>
      <c r="E5" s="900" t="s">
        <v>5442</v>
      </c>
      <c r="F5" s="900" t="s">
        <v>4948</v>
      </c>
      <c r="G5" s="900" t="s">
        <v>1915</v>
      </c>
      <c r="H5" s="901" t="s">
        <v>5443</v>
      </c>
      <c r="I5" s="94" t="s">
        <v>1111</v>
      </c>
      <c r="J5" s="923" t="s">
        <v>3109</v>
      </c>
      <c r="K5" s="646"/>
      <c r="L5" s="400">
        <v>250000</v>
      </c>
      <c r="M5" s="924" t="s">
        <v>5492</v>
      </c>
    </row>
    <row r="6" spans="1:13">
      <c r="A6" s="703"/>
      <c r="B6" s="902" t="s">
        <v>5568</v>
      </c>
      <c r="C6" s="646" t="s">
        <v>124</v>
      </c>
      <c r="D6" s="646" t="s">
        <v>151</v>
      </c>
      <c r="E6" s="648" t="s">
        <v>5569</v>
      </c>
      <c r="F6" s="38">
        <v>1614</v>
      </c>
      <c r="G6" s="900" t="s">
        <v>1915</v>
      </c>
      <c r="H6" s="647" t="s">
        <v>5570</v>
      </c>
      <c r="I6" s="646" t="s">
        <v>5571</v>
      </c>
      <c r="J6" s="646" t="s">
        <v>5582</v>
      </c>
      <c r="K6" s="646"/>
      <c r="L6" s="96">
        <f>250000*5</f>
        <v>1250000</v>
      </c>
      <c r="M6" s="926"/>
    </row>
    <row r="7" spans="1:13">
      <c r="A7" s="703"/>
      <c r="B7" s="902" t="s">
        <v>5584</v>
      </c>
      <c r="C7" s="646" t="s">
        <v>124</v>
      </c>
      <c r="D7" s="646" t="s">
        <v>151</v>
      </c>
      <c r="E7" s="648" t="s">
        <v>5569</v>
      </c>
      <c r="F7" s="38" t="s">
        <v>5572</v>
      </c>
      <c r="G7" s="908" t="s">
        <v>5573</v>
      </c>
      <c r="H7" s="647" t="s">
        <v>5580</v>
      </c>
      <c r="I7" s="646" t="s">
        <v>5578</v>
      </c>
      <c r="J7" s="646" t="s">
        <v>5581</v>
      </c>
      <c r="K7" s="646"/>
      <c r="L7" s="96">
        <f>250000*3</f>
        <v>750000</v>
      </c>
      <c r="M7" s="926"/>
    </row>
    <row r="8" spans="1:13">
      <c r="A8" s="703"/>
      <c r="B8" s="902" t="s">
        <v>5583</v>
      </c>
      <c r="C8" s="646" t="s">
        <v>124</v>
      </c>
      <c r="D8" s="646" t="s">
        <v>151</v>
      </c>
      <c r="E8" s="648" t="s">
        <v>5569</v>
      </c>
      <c r="F8" s="38" t="s">
        <v>5572</v>
      </c>
      <c r="G8" s="908" t="s">
        <v>5574</v>
      </c>
      <c r="H8" s="647" t="s">
        <v>378</v>
      </c>
      <c r="I8" s="646" t="s">
        <v>168</v>
      </c>
      <c r="J8" s="646" t="s">
        <v>5585</v>
      </c>
      <c r="K8" s="646"/>
      <c r="L8" s="96">
        <f>250000*7</f>
        <v>1750000</v>
      </c>
      <c r="M8" s="926"/>
    </row>
    <row r="9" spans="1:13">
      <c r="A9" s="703"/>
      <c r="B9" s="902" t="s">
        <v>5579</v>
      </c>
      <c r="C9" s="646" t="s">
        <v>124</v>
      </c>
      <c r="D9" s="646" t="s">
        <v>151</v>
      </c>
      <c r="E9" s="648" t="s">
        <v>5569</v>
      </c>
      <c r="F9" s="38" t="s">
        <v>5572</v>
      </c>
      <c r="G9" s="908" t="s">
        <v>5575</v>
      </c>
      <c r="H9" s="647" t="s">
        <v>5576</v>
      </c>
      <c r="I9" s="646" t="s">
        <v>5577</v>
      </c>
      <c r="J9" s="646" t="s">
        <v>3255</v>
      </c>
      <c r="K9" s="646"/>
      <c r="L9" s="96">
        <f>250000*5</f>
        <v>1250000</v>
      </c>
      <c r="M9" s="926"/>
    </row>
    <row r="10" spans="1:13">
      <c r="A10" s="704"/>
      <c r="B10" s="690" t="s">
        <v>1136</v>
      </c>
      <c r="C10" s="690"/>
      <c r="D10" s="690"/>
      <c r="E10" s="690"/>
      <c r="F10" s="690"/>
      <c r="G10" s="690"/>
      <c r="H10" s="690"/>
      <c r="I10" s="690"/>
      <c r="J10" s="690"/>
      <c r="K10" s="690"/>
      <c r="L10" s="96">
        <f>SUM(L4:L9)</f>
        <v>5850000</v>
      </c>
      <c r="M10" s="646"/>
    </row>
    <row r="11" spans="1:13">
      <c r="A11" s="702" t="s">
        <v>21</v>
      </c>
      <c r="B11" s="899">
        <v>46097</v>
      </c>
      <c r="C11" s="646" t="s">
        <v>21</v>
      </c>
      <c r="D11" s="646" t="s">
        <v>4891</v>
      </c>
      <c r="E11" s="38" t="s">
        <v>4892</v>
      </c>
      <c r="F11" s="648" t="s">
        <v>2920</v>
      </c>
      <c r="G11" s="903" t="s">
        <v>4893</v>
      </c>
      <c r="H11" s="38" t="s">
        <v>4896</v>
      </c>
      <c r="I11" s="648"/>
      <c r="J11" s="648" t="s">
        <v>4894</v>
      </c>
      <c r="K11" s="646" t="s">
        <v>4895</v>
      </c>
      <c r="L11" s="96">
        <v>600000</v>
      </c>
      <c r="M11" s="924" t="s">
        <v>5544</v>
      </c>
    </row>
    <row r="12" spans="1:13">
      <c r="A12" s="703"/>
      <c r="B12" s="902">
        <v>46120</v>
      </c>
      <c r="C12" s="904" t="s">
        <v>21</v>
      </c>
      <c r="D12" s="904" t="s">
        <v>14</v>
      </c>
      <c r="E12" s="905" t="s">
        <v>107</v>
      </c>
      <c r="F12" s="905" t="s">
        <v>2963</v>
      </c>
      <c r="G12" s="906" t="s">
        <v>143</v>
      </c>
      <c r="H12" s="907" t="s">
        <v>5445</v>
      </c>
      <c r="I12" s="905"/>
      <c r="J12" s="905" t="s">
        <v>5490</v>
      </c>
      <c r="K12" s="646" t="s">
        <v>5491</v>
      </c>
      <c r="L12" s="96">
        <v>250000</v>
      </c>
      <c r="M12" s="924" t="s">
        <v>5492</v>
      </c>
    </row>
    <row r="13" spans="1:13">
      <c r="A13" s="703"/>
      <c r="B13" s="899">
        <v>46125</v>
      </c>
      <c r="C13" s="646" t="s">
        <v>96</v>
      </c>
      <c r="D13" s="646" t="s">
        <v>139</v>
      </c>
      <c r="E13" s="648" t="s">
        <v>100</v>
      </c>
      <c r="F13" s="38" t="s">
        <v>3012</v>
      </c>
      <c r="G13" s="908" t="s">
        <v>1382</v>
      </c>
      <c r="H13" s="38" t="s">
        <v>5393</v>
      </c>
      <c r="I13" s="648" t="s">
        <v>202</v>
      </c>
      <c r="J13" s="648" t="s">
        <v>686</v>
      </c>
      <c r="K13" s="646" t="s">
        <v>105</v>
      </c>
      <c r="L13" s="927">
        <v>250000</v>
      </c>
      <c r="M13" s="924" t="s">
        <v>5594</v>
      </c>
    </row>
    <row r="14" spans="1:13">
      <c r="A14" s="703"/>
      <c r="B14" s="902">
        <v>46125</v>
      </c>
      <c r="C14" s="646" t="s">
        <v>96</v>
      </c>
      <c r="D14" s="646" t="s">
        <v>139</v>
      </c>
      <c r="E14" s="909" t="s">
        <v>1791</v>
      </c>
      <c r="F14" s="648" t="s">
        <v>2139</v>
      </c>
      <c r="G14" s="903" t="s">
        <v>67</v>
      </c>
      <c r="H14" s="38" t="s">
        <v>5532</v>
      </c>
      <c r="I14" s="648" t="s">
        <v>90</v>
      </c>
      <c r="J14" s="38" t="s">
        <v>686</v>
      </c>
      <c r="K14" s="646" t="s">
        <v>105</v>
      </c>
      <c r="L14" s="927">
        <v>250000</v>
      </c>
      <c r="M14" s="924" t="s">
        <v>5595</v>
      </c>
    </row>
    <row r="15" spans="1:13" ht="27">
      <c r="A15" s="703"/>
      <c r="B15" s="899">
        <v>46126</v>
      </c>
      <c r="C15" s="904" t="s">
        <v>96</v>
      </c>
      <c r="D15" s="904" t="s">
        <v>99</v>
      </c>
      <c r="E15" s="907" t="s">
        <v>100</v>
      </c>
      <c r="F15" s="907" t="s">
        <v>3904</v>
      </c>
      <c r="G15" s="906" t="s">
        <v>171</v>
      </c>
      <c r="H15" s="38" t="s">
        <v>5537</v>
      </c>
      <c r="I15" s="648" t="s">
        <v>5538</v>
      </c>
      <c r="J15" s="38" t="s">
        <v>686</v>
      </c>
      <c r="K15" s="646" t="s">
        <v>105</v>
      </c>
      <c r="L15" s="927">
        <v>250000</v>
      </c>
      <c r="M15" s="924" t="s">
        <v>127</v>
      </c>
    </row>
    <row r="16" spans="1:13">
      <c r="A16" s="703"/>
      <c r="B16" s="899">
        <v>46128</v>
      </c>
      <c r="C16" s="44" t="s">
        <v>21</v>
      </c>
      <c r="D16" s="44" t="s">
        <v>30</v>
      </c>
      <c r="E16" s="909" t="s">
        <v>107</v>
      </c>
      <c r="F16" s="909" t="s">
        <v>1972</v>
      </c>
      <c r="G16" s="903" t="s">
        <v>376</v>
      </c>
      <c r="H16" s="910" t="s">
        <v>4852</v>
      </c>
      <c r="I16" s="909" t="s">
        <v>90</v>
      </c>
      <c r="J16" s="909" t="s">
        <v>641</v>
      </c>
      <c r="K16" s="44" t="s">
        <v>15</v>
      </c>
      <c r="L16" s="927">
        <f>250000*2</f>
        <v>500000</v>
      </c>
      <c r="M16" s="924" t="s">
        <v>393</v>
      </c>
    </row>
    <row r="17" spans="1:13">
      <c r="A17" s="703"/>
      <c r="B17" s="902">
        <v>46128</v>
      </c>
      <c r="C17" s="646" t="s">
        <v>96</v>
      </c>
      <c r="D17" s="646" t="s">
        <v>139</v>
      </c>
      <c r="E17" s="909" t="s">
        <v>1791</v>
      </c>
      <c r="F17" s="648" t="s">
        <v>2821</v>
      </c>
      <c r="G17" s="903" t="s">
        <v>23</v>
      </c>
      <c r="H17" s="38" t="s">
        <v>5482</v>
      </c>
      <c r="I17" s="909"/>
      <c r="J17" s="910" t="s">
        <v>641</v>
      </c>
      <c r="K17" s="646"/>
      <c r="L17" s="927">
        <f>250000*2</f>
        <v>500000</v>
      </c>
      <c r="M17" s="924" t="s">
        <v>5596</v>
      </c>
    </row>
    <row r="18" spans="1:13" ht="27">
      <c r="A18" s="703"/>
      <c r="B18" s="902">
        <v>46129</v>
      </c>
      <c r="C18" s="904" t="s">
        <v>21</v>
      </c>
      <c r="D18" s="904" t="s">
        <v>17</v>
      </c>
      <c r="E18" s="907" t="s">
        <v>78</v>
      </c>
      <c r="F18" s="907" t="s">
        <v>3904</v>
      </c>
      <c r="G18" s="906" t="s">
        <v>36</v>
      </c>
      <c r="H18" s="38" t="s">
        <v>5551</v>
      </c>
      <c r="I18" s="648" t="s">
        <v>5525</v>
      </c>
      <c r="J18" s="38" t="s">
        <v>410</v>
      </c>
      <c r="K18" s="646" t="s">
        <v>105</v>
      </c>
      <c r="L18" s="927">
        <v>300000</v>
      </c>
      <c r="M18" s="924" t="s">
        <v>127</v>
      </c>
    </row>
    <row r="19" spans="1:13">
      <c r="A19" s="703"/>
      <c r="B19" s="902">
        <v>46129</v>
      </c>
      <c r="C19" s="44" t="s">
        <v>21</v>
      </c>
      <c r="D19" s="44" t="s">
        <v>31</v>
      </c>
      <c r="E19" s="907" t="s">
        <v>100</v>
      </c>
      <c r="F19" s="909" t="s">
        <v>2333</v>
      </c>
      <c r="G19" s="903" t="s">
        <v>23</v>
      </c>
      <c r="H19" s="910" t="s">
        <v>5487</v>
      </c>
      <c r="I19" s="648" t="s">
        <v>5593</v>
      </c>
      <c r="J19" s="38" t="s">
        <v>686</v>
      </c>
      <c r="K19" s="646" t="s">
        <v>105</v>
      </c>
      <c r="L19" s="927">
        <v>250000</v>
      </c>
      <c r="M19" s="924" t="s">
        <v>5597</v>
      </c>
    </row>
    <row r="20" spans="1:13" ht="27">
      <c r="A20" s="703"/>
      <c r="B20" s="902" t="s">
        <v>5579</v>
      </c>
      <c r="C20" s="646" t="s">
        <v>5586</v>
      </c>
      <c r="D20" s="646" t="s">
        <v>5587</v>
      </c>
      <c r="E20" s="38" t="s">
        <v>1897</v>
      </c>
      <c r="F20" s="648" t="s">
        <v>3593</v>
      </c>
      <c r="G20" s="908" t="s">
        <v>5588</v>
      </c>
      <c r="H20" s="38" t="s">
        <v>5589</v>
      </c>
      <c r="I20" s="648" t="s">
        <v>202</v>
      </c>
      <c r="J20" s="648" t="s">
        <v>5590</v>
      </c>
      <c r="K20" s="47" t="s">
        <v>5591</v>
      </c>
      <c r="L20" s="927">
        <f>250000*15</f>
        <v>3750000</v>
      </c>
      <c r="M20" s="924" t="s">
        <v>5592</v>
      </c>
    </row>
    <row r="21" spans="1:13">
      <c r="A21" s="704"/>
      <c r="B21" s="690" t="s">
        <v>4888</v>
      </c>
      <c r="C21" s="690"/>
      <c r="D21" s="690"/>
      <c r="E21" s="690"/>
      <c r="F21" s="690"/>
      <c r="G21" s="690"/>
      <c r="H21" s="690"/>
      <c r="I21" s="690"/>
      <c r="J21" s="690"/>
      <c r="K21" s="690"/>
      <c r="L21" s="96">
        <f>SUM(L11:L20)</f>
        <v>6900000</v>
      </c>
      <c r="M21" s="646"/>
    </row>
    <row r="22" spans="1:13" ht="25.5" customHeight="1">
      <c r="A22" s="838" t="s">
        <v>62</v>
      </c>
      <c r="B22" s="838"/>
      <c r="C22" s="838"/>
      <c r="D22" s="838"/>
      <c r="E22" s="838"/>
      <c r="F22" s="838"/>
      <c r="G22" s="838"/>
      <c r="H22" s="838"/>
      <c r="I22" s="838"/>
      <c r="J22" s="838"/>
      <c r="K22" s="838"/>
      <c r="L22" s="379">
        <f>L10+L21</f>
        <v>12750000</v>
      </c>
      <c r="M22" s="38"/>
    </row>
    <row r="23" spans="1:13" ht="26.25" customHeight="1"/>
    <row r="24" spans="1:13" ht="26.25" customHeight="1"/>
    <row r="25" spans="1:13" ht="26.25" customHeight="1">
      <c r="A25" s="410"/>
      <c r="B25" s="410"/>
      <c r="C25" s="410"/>
      <c r="D25" s="410"/>
      <c r="E25" s="410"/>
      <c r="F25" s="410"/>
      <c r="G25" s="410"/>
      <c r="H25" s="410"/>
      <c r="I25" s="410"/>
      <c r="J25" s="410"/>
      <c r="K25" s="410"/>
      <c r="L25" s="390"/>
      <c r="M25" s="391"/>
    </row>
    <row r="26" spans="1:13" ht="26.25" hidden="1" customHeight="1"/>
    <row r="27" spans="1:13" ht="25.5" hidden="1" customHeight="1">
      <c r="B27" s="928" t="s">
        <v>1144</v>
      </c>
      <c r="C27" s="929"/>
      <c r="D27" s="929"/>
      <c r="E27" s="929"/>
      <c r="F27" s="929"/>
      <c r="G27" s="929"/>
      <c r="H27" s="929"/>
      <c r="I27" s="929"/>
    </row>
    <row r="28" spans="1:13" ht="25.5" hidden="1" customHeight="1">
      <c r="B28" s="930" t="s">
        <v>1140</v>
      </c>
      <c r="C28" s="928">
        <v>45282</v>
      </c>
      <c r="D28" s="929" t="s">
        <v>1151</v>
      </c>
      <c r="E28" s="929"/>
      <c r="F28" s="929"/>
      <c r="G28" s="929"/>
      <c r="I28" s="929"/>
    </row>
    <row r="29" spans="1:13" ht="25.5" hidden="1" customHeight="1">
      <c r="B29" s="930" t="s">
        <v>1141</v>
      </c>
      <c r="C29" s="928">
        <v>45282</v>
      </c>
      <c r="D29" s="929" t="s">
        <v>1143</v>
      </c>
      <c r="E29" s="929"/>
      <c r="F29" s="929"/>
      <c r="G29" s="929"/>
      <c r="H29" s="929"/>
      <c r="I29" s="929"/>
    </row>
    <row r="30" spans="1:13" ht="25.5" hidden="1" customHeight="1">
      <c r="B30" s="930" t="s">
        <v>1145</v>
      </c>
      <c r="C30" s="931" t="s">
        <v>1142</v>
      </c>
      <c r="D30" s="929" t="s">
        <v>1152</v>
      </c>
      <c r="E30" s="929"/>
      <c r="F30" s="929"/>
      <c r="G30" s="929"/>
      <c r="H30" s="929"/>
      <c r="I30" s="929"/>
    </row>
    <row r="31" spans="1:13" ht="20.100000000000001" hidden="1" customHeight="1">
      <c r="B31" s="929"/>
      <c r="C31" s="929" t="s">
        <v>1146</v>
      </c>
      <c r="D31" s="929"/>
      <c r="E31" s="929"/>
      <c r="F31" s="929"/>
      <c r="G31" s="929"/>
      <c r="H31" s="929"/>
      <c r="I31" s="929"/>
    </row>
    <row r="32" spans="1:13" ht="16.5" hidden="1" customHeight="1"/>
    <row r="33" spans="1:14" ht="20.100000000000001" hidden="1" customHeight="1">
      <c r="J33" s="929"/>
    </row>
    <row r="36" spans="1:14" ht="28.5" customHeight="1">
      <c r="A36" s="912" t="s">
        <v>0</v>
      </c>
      <c r="B36" s="913" t="s">
        <v>1</v>
      </c>
      <c r="C36" s="912" t="s">
        <v>2</v>
      </c>
      <c r="D36" s="912" t="s">
        <v>3</v>
      </c>
      <c r="E36" s="912" t="s">
        <v>4</v>
      </c>
      <c r="F36" s="912" t="s">
        <v>5</v>
      </c>
      <c r="G36" s="912" t="s">
        <v>6</v>
      </c>
      <c r="H36" s="914" t="s">
        <v>7</v>
      </c>
      <c r="I36" s="912" t="s">
        <v>8</v>
      </c>
      <c r="J36" s="912" t="s">
        <v>9</v>
      </c>
      <c r="K36" s="915" t="s">
        <v>10</v>
      </c>
      <c r="L36" s="912" t="s">
        <v>12</v>
      </c>
      <c r="M36" s="912" t="s">
        <v>63</v>
      </c>
    </row>
    <row r="37" spans="1:14" ht="33" customHeight="1">
      <c r="A37" s="643" t="s">
        <v>4501</v>
      </c>
      <c r="B37" s="899">
        <v>46125</v>
      </c>
      <c r="C37" s="646" t="s">
        <v>96</v>
      </c>
      <c r="D37" s="646" t="s">
        <v>139</v>
      </c>
      <c r="E37" s="648" t="s">
        <v>100</v>
      </c>
      <c r="F37" s="38" t="s">
        <v>3012</v>
      </c>
      <c r="G37" s="908" t="s">
        <v>1382</v>
      </c>
      <c r="H37" s="38" t="s">
        <v>5393</v>
      </c>
      <c r="I37" s="648" t="s">
        <v>202</v>
      </c>
      <c r="J37" s="648" t="s">
        <v>686</v>
      </c>
      <c r="K37" s="646" t="s">
        <v>105</v>
      </c>
      <c r="L37" s="916">
        <v>2</v>
      </c>
      <c r="M37" s="916"/>
      <c r="N37" s="648"/>
    </row>
    <row r="38" spans="1:14" ht="33" customHeight="1">
      <c r="A38" s="644"/>
      <c r="B38" s="902">
        <v>46125</v>
      </c>
      <c r="C38" s="646" t="s">
        <v>21</v>
      </c>
      <c r="D38" s="646" t="s">
        <v>139</v>
      </c>
      <c r="E38" s="648" t="s">
        <v>100</v>
      </c>
      <c r="F38" s="38" t="s">
        <v>5566</v>
      </c>
      <c r="G38" s="908" t="s">
        <v>553</v>
      </c>
      <c r="H38" s="38" t="s">
        <v>216</v>
      </c>
      <c r="I38" s="648" t="s">
        <v>202</v>
      </c>
      <c r="J38" s="648" t="s">
        <v>686</v>
      </c>
      <c r="K38" s="646" t="s">
        <v>105</v>
      </c>
      <c r="L38" s="916">
        <v>2</v>
      </c>
      <c r="M38" s="916"/>
      <c r="N38" s="648"/>
    </row>
    <row r="39" spans="1:14" ht="33" customHeight="1">
      <c r="A39" s="644"/>
      <c r="B39" s="902">
        <v>46125</v>
      </c>
      <c r="C39" s="646" t="s">
        <v>138</v>
      </c>
      <c r="D39" s="646" t="s">
        <v>139</v>
      </c>
      <c r="E39" s="909" t="s">
        <v>1791</v>
      </c>
      <c r="F39" s="910" t="s">
        <v>5292</v>
      </c>
      <c r="G39" s="903" t="s">
        <v>106</v>
      </c>
      <c r="H39" s="38" t="s">
        <v>5477</v>
      </c>
      <c r="I39" s="648"/>
      <c r="J39" s="38" t="s">
        <v>1877</v>
      </c>
      <c r="K39" s="646" t="s">
        <v>105</v>
      </c>
      <c r="L39" s="916">
        <v>2</v>
      </c>
      <c r="M39" s="916"/>
      <c r="N39" s="648"/>
    </row>
    <row r="40" spans="1:14" ht="33" customHeight="1">
      <c r="A40" s="644"/>
      <c r="B40" s="902">
        <v>46125</v>
      </c>
      <c r="C40" s="646" t="s">
        <v>96</v>
      </c>
      <c r="D40" s="646" t="s">
        <v>139</v>
      </c>
      <c r="E40" s="909" t="s">
        <v>1791</v>
      </c>
      <c r="F40" s="648" t="s">
        <v>2139</v>
      </c>
      <c r="G40" s="903" t="s">
        <v>67</v>
      </c>
      <c r="H40" s="38" t="s">
        <v>5532</v>
      </c>
      <c r="I40" s="648" t="s">
        <v>90</v>
      </c>
      <c r="J40" s="38" t="s">
        <v>686</v>
      </c>
      <c r="K40" s="646" t="s">
        <v>105</v>
      </c>
      <c r="L40" s="916">
        <v>2</v>
      </c>
      <c r="M40" s="916"/>
      <c r="N40" s="648"/>
    </row>
    <row r="41" spans="1:14" ht="33" customHeight="1">
      <c r="A41" s="644"/>
      <c r="B41" s="902">
        <v>46125</v>
      </c>
      <c r="C41" s="646" t="s">
        <v>96</v>
      </c>
      <c r="D41" s="646" t="s">
        <v>139</v>
      </c>
      <c r="E41" s="909" t="s">
        <v>1791</v>
      </c>
      <c r="F41" s="648" t="s">
        <v>2139</v>
      </c>
      <c r="G41" s="903" t="s">
        <v>205</v>
      </c>
      <c r="H41" s="38" t="s">
        <v>5531</v>
      </c>
      <c r="I41" s="648" t="s">
        <v>90</v>
      </c>
      <c r="J41" s="38" t="s">
        <v>686</v>
      </c>
      <c r="K41" s="646" t="s">
        <v>105</v>
      </c>
      <c r="L41" s="916">
        <v>2</v>
      </c>
      <c r="M41" s="916"/>
      <c r="N41" s="648"/>
    </row>
    <row r="42" spans="1:14" ht="33" customHeight="1">
      <c r="A42" s="644"/>
      <c r="B42" s="902">
        <v>46125</v>
      </c>
      <c r="C42" s="44" t="s">
        <v>21</v>
      </c>
      <c r="D42" s="44" t="s">
        <v>14</v>
      </c>
      <c r="E42" s="909" t="s">
        <v>1897</v>
      </c>
      <c r="F42" s="909" t="s">
        <v>4949</v>
      </c>
      <c r="G42" s="903" t="s">
        <v>5529</v>
      </c>
      <c r="H42" s="910" t="s">
        <v>5323</v>
      </c>
      <c r="I42" s="910"/>
      <c r="J42" s="910" t="s">
        <v>5554</v>
      </c>
      <c r="K42" s="904" t="s">
        <v>15</v>
      </c>
      <c r="L42" s="916">
        <v>4</v>
      </c>
      <c r="M42" s="916"/>
      <c r="N42" s="648"/>
    </row>
    <row r="43" spans="1:14" ht="33" customHeight="1">
      <c r="A43" s="644"/>
      <c r="B43" s="899">
        <v>46126</v>
      </c>
      <c r="C43" s="44" t="s">
        <v>21</v>
      </c>
      <c r="D43" s="44" t="s">
        <v>14</v>
      </c>
      <c r="E43" s="909" t="s">
        <v>1897</v>
      </c>
      <c r="F43" s="909" t="s">
        <v>4949</v>
      </c>
      <c r="G43" s="903" t="s">
        <v>5529</v>
      </c>
      <c r="H43" s="910" t="s">
        <v>5323</v>
      </c>
      <c r="I43" s="910" t="s">
        <v>202</v>
      </c>
      <c r="J43" s="910" t="s">
        <v>5554</v>
      </c>
      <c r="K43" s="904" t="s">
        <v>15</v>
      </c>
      <c r="L43" s="916">
        <v>4</v>
      </c>
      <c r="M43" s="916"/>
      <c r="N43" s="648"/>
    </row>
    <row r="44" spans="1:14" ht="33" customHeight="1">
      <c r="A44" s="644"/>
      <c r="B44" s="899">
        <v>46126</v>
      </c>
      <c r="C44" s="904" t="s">
        <v>96</v>
      </c>
      <c r="D44" s="904" t="s">
        <v>99</v>
      </c>
      <c r="E44" s="907" t="s">
        <v>100</v>
      </c>
      <c r="F44" s="907" t="s">
        <v>3904</v>
      </c>
      <c r="G44" s="906" t="s">
        <v>171</v>
      </c>
      <c r="H44" s="38" t="s">
        <v>5537</v>
      </c>
      <c r="I44" s="648" t="s">
        <v>5538</v>
      </c>
      <c r="J44" s="38" t="s">
        <v>686</v>
      </c>
      <c r="K44" s="646" t="s">
        <v>105</v>
      </c>
      <c r="L44" s="916">
        <v>3</v>
      </c>
      <c r="M44" s="916"/>
      <c r="N44" s="648"/>
    </row>
    <row r="45" spans="1:14" ht="27">
      <c r="A45" s="644"/>
      <c r="B45" s="899">
        <v>46127</v>
      </c>
      <c r="C45" s="646" t="s">
        <v>96</v>
      </c>
      <c r="D45" s="646" t="s">
        <v>99</v>
      </c>
      <c r="E45" s="38" t="s">
        <v>3313</v>
      </c>
      <c r="F45" s="648" t="s">
        <v>2838</v>
      </c>
      <c r="G45" s="908" t="s">
        <v>5476</v>
      </c>
      <c r="H45" s="38" t="s">
        <v>5557</v>
      </c>
      <c r="I45" s="648" t="s">
        <v>90</v>
      </c>
      <c r="J45" s="648"/>
      <c r="K45" s="646" t="s">
        <v>105</v>
      </c>
      <c r="L45" s="916">
        <v>1</v>
      </c>
      <c r="M45" s="916"/>
      <c r="N45" s="648"/>
    </row>
    <row r="46" spans="1:14">
      <c r="A46" s="644"/>
      <c r="B46" s="899">
        <v>46127</v>
      </c>
      <c r="C46" s="44" t="s">
        <v>21</v>
      </c>
      <c r="D46" s="44" t="s">
        <v>14</v>
      </c>
      <c r="E46" s="909" t="s">
        <v>1897</v>
      </c>
      <c r="F46" s="909" t="s">
        <v>4949</v>
      </c>
      <c r="G46" s="903" t="s">
        <v>5529</v>
      </c>
      <c r="H46" s="910" t="s">
        <v>5323</v>
      </c>
      <c r="I46" s="910"/>
      <c r="J46" s="910" t="s">
        <v>506</v>
      </c>
      <c r="K46" s="904" t="s">
        <v>15</v>
      </c>
      <c r="L46" s="916">
        <v>3</v>
      </c>
      <c r="M46" s="916"/>
      <c r="N46" s="648"/>
    </row>
    <row r="47" spans="1:14">
      <c r="A47" s="644"/>
      <c r="B47" s="899">
        <v>46128</v>
      </c>
      <c r="C47" s="44" t="s">
        <v>21</v>
      </c>
      <c r="D47" s="44" t="s">
        <v>30</v>
      </c>
      <c r="E47" s="909" t="s">
        <v>107</v>
      </c>
      <c r="F47" s="909" t="s">
        <v>1972</v>
      </c>
      <c r="G47" s="903" t="s">
        <v>376</v>
      </c>
      <c r="H47" s="910" t="s">
        <v>4852</v>
      </c>
      <c r="I47" s="909" t="s">
        <v>90</v>
      </c>
      <c r="J47" s="909" t="s">
        <v>641</v>
      </c>
      <c r="K47" s="44" t="s">
        <v>15</v>
      </c>
      <c r="L47" s="916">
        <v>3</v>
      </c>
      <c r="M47" s="916"/>
      <c r="N47" s="648"/>
    </row>
    <row r="48" spans="1:14">
      <c r="A48" s="644"/>
      <c r="B48" s="902">
        <v>46128</v>
      </c>
      <c r="C48" s="646" t="s">
        <v>96</v>
      </c>
      <c r="D48" s="646" t="s">
        <v>139</v>
      </c>
      <c r="E48" s="38" t="s">
        <v>107</v>
      </c>
      <c r="F48" s="648" t="s">
        <v>1972</v>
      </c>
      <c r="G48" s="908" t="s">
        <v>143</v>
      </c>
      <c r="H48" s="38" t="s">
        <v>5550</v>
      </c>
      <c r="I48" s="648" t="s">
        <v>90</v>
      </c>
      <c r="J48" s="648"/>
      <c r="K48" s="646" t="s">
        <v>105</v>
      </c>
      <c r="L48" s="916">
        <v>1</v>
      </c>
      <c r="M48" s="916"/>
      <c r="N48" s="648"/>
    </row>
    <row r="49" spans="1:14">
      <c r="A49" s="644"/>
      <c r="B49" s="902">
        <v>46128</v>
      </c>
      <c r="C49" s="646" t="s">
        <v>96</v>
      </c>
      <c r="D49" s="646" t="s">
        <v>139</v>
      </c>
      <c r="E49" s="909" t="s">
        <v>1791</v>
      </c>
      <c r="F49" s="648" t="s">
        <v>2821</v>
      </c>
      <c r="G49" s="903" t="s">
        <v>23</v>
      </c>
      <c r="H49" s="38" t="s">
        <v>5482</v>
      </c>
      <c r="I49" s="909"/>
      <c r="J49" s="910" t="s">
        <v>641</v>
      </c>
      <c r="K49" s="44" t="s">
        <v>105</v>
      </c>
      <c r="L49" s="917">
        <v>2</v>
      </c>
      <c r="M49" s="917"/>
      <c r="N49" s="648"/>
    </row>
    <row r="50" spans="1:14">
      <c r="A50" s="644"/>
      <c r="B50" s="902">
        <v>46128</v>
      </c>
      <c r="C50" s="44" t="s">
        <v>21</v>
      </c>
      <c r="D50" s="44" t="s">
        <v>14</v>
      </c>
      <c r="E50" s="909" t="s">
        <v>1897</v>
      </c>
      <c r="F50" s="909" t="s">
        <v>4949</v>
      </c>
      <c r="G50" s="903" t="s">
        <v>5529</v>
      </c>
      <c r="H50" s="910" t="s">
        <v>5323</v>
      </c>
      <c r="I50" s="910"/>
      <c r="J50" s="910" t="s">
        <v>506</v>
      </c>
      <c r="K50" s="904" t="s">
        <v>15</v>
      </c>
      <c r="L50" s="916">
        <v>3</v>
      </c>
      <c r="M50" s="916"/>
      <c r="N50" s="648"/>
    </row>
    <row r="51" spans="1:14">
      <c r="A51" s="644"/>
      <c r="B51" s="899">
        <v>46129</v>
      </c>
      <c r="C51" s="44" t="s">
        <v>21</v>
      </c>
      <c r="D51" s="44" t="s">
        <v>14</v>
      </c>
      <c r="E51" s="909" t="s">
        <v>1897</v>
      </c>
      <c r="F51" s="909" t="s">
        <v>4949</v>
      </c>
      <c r="G51" s="903" t="s">
        <v>5529</v>
      </c>
      <c r="H51" s="910" t="s">
        <v>5323</v>
      </c>
      <c r="I51" s="910"/>
      <c r="J51" s="910" t="s">
        <v>506</v>
      </c>
      <c r="K51" s="904" t="s">
        <v>15</v>
      </c>
      <c r="L51" s="916">
        <v>3</v>
      </c>
      <c r="M51" s="916"/>
      <c r="N51" s="648"/>
    </row>
    <row r="52" spans="1:14" ht="27">
      <c r="A52" s="644"/>
      <c r="B52" s="902">
        <v>46129</v>
      </c>
      <c r="C52" s="904" t="s">
        <v>21</v>
      </c>
      <c r="D52" s="904" t="s">
        <v>17</v>
      </c>
      <c r="E52" s="907" t="s">
        <v>78</v>
      </c>
      <c r="F52" s="907" t="s">
        <v>3904</v>
      </c>
      <c r="G52" s="906" t="s">
        <v>36</v>
      </c>
      <c r="H52" s="38" t="s">
        <v>5551</v>
      </c>
      <c r="I52" s="648" t="s">
        <v>5525</v>
      </c>
      <c r="J52" s="38" t="s">
        <v>410</v>
      </c>
      <c r="K52" s="646" t="s">
        <v>105</v>
      </c>
      <c r="L52" s="916">
        <v>2</v>
      </c>
      <c r="M52" s="916"/>
      <c r="N52" s="648"/>
    </row>
    <row r="53" spans="1:14">
      <c r="A53" s="645"/>
      <c r="B53" s="902">
        <v>46129</v>
      </c>
      <c r="C53" s="44" t="s">
        <v>21</v>
      </c>
      <c r="D53" s="44" t="s">
        <v>31</v>
      </c>
      <c r="E53" s="907" t="s">
        <v>100</v>
      </c>
      <c r="F53" s="909" t="s">
        <v>2333</v>
      </c>
      <c r="G53" s="903" t="s">
        <v>23</v>
      </c>
      <c r="H53" s="910" t="s">
        <v>5487</v>
      </c>
      <c r="I53" s="648" t="s">
        <v>90</v>
      </c>
      <c r="J53" s="38" t="s">
        <v>686</v>
      </c>
      <c r="K53" s="646" t="s">
        <v>105</v>
      </c>
      <c r="L53" s="916">
        <v>3</v>
      </c>
      <c r="M53" s="916"/>
      <c r="N53" s="38"/>
    </row>
  </sheetData>
  <mergeCells count="17">
    <mergeCell ref="B10:K10"/>
    <mergeCell ref="A22:K22"/>
    <mergeCell ref="B21:K21"/>
    <mergeCell ref="A4:A10"/>
    <mergeCell ref="A11:A2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5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74" t="s">
        <v>53</v>
      </c>
      <c r="B21" s="674"/>
      <c r="C21" s="674"/>
      <c r="D21" s="674"/>
      <c r="E21" s="674"/>
      <c r="F21" s="674"/>
      <c r="G21" s="674"/>
      <c r="H21" s="674"/>
      <c r="I21" s="67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44" t="s">
        <v>53</v>
      </c>
      <c r="B26" s="845"/>
      <c r="C26" s="845"/>
      <c r="D26" s="845"/>
      <c r="E26" s="845"/>
      <c r="F26" s="845"/>
      <c r="G26" s="845"/>
      <c r="H26" s="845"/>
      <c r="I26" s="84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44" t="s">
        <v>53</v>
      </c>
      <c r="B35" s="845"/>
      <c r="C35" s="845"/>
      <c r="D35" s="845"/>
      <c r="E35" s="845"/>
      <c r="F35" s="845"/>
      <c r="G35" s="845"/>
      <c r="H35" s="845"/>
      <c r="I35" s="84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44" t="s">
        <v>53</v>
      </c>
      <c r="B42" s="845"/>
      <c r="C42" s="845"/>
      <c r="D42" s="845"/>
      <c r="E42" s="845"/>
      <c r="F42" s="845"/>
      <c r="G42" s="845"/>
      <c r="H42" s="845"/>
      <c r="I42" s="84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44" t="s">
        <v>53</v>
      </c>
      <c r="B48" s="845"/>
      <c r="C48" s="845"/>
      <c r="D48" s="845"/>
      <c r="E48" s="845"/>
      <c r="F48" s="845"/>
      <c r="G48" s="845"/>
      <c r="H48" s="845"/>
      <c r="I48" s="84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44" t="s">
        <v>53</v>
      </c>
      <c r="B54" s="845"/>
      <c r="C54" s="845"/>
      <c r="D54" s="845"/>
      <c r="E54" s="845"/>
      <c r="F54" s="845"/>
      <c r="G54" s="845"/>
      <c r="H54" s="845"/>
      <c r="I54" s="84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9"/>
      <c r="B61" s="8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9"/>
      <c r="B62" s="8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9"/>
      <c r="B63" s="8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44" t="s">
        <v>53</v>
      </c>
      <c r="B64" s="845"/>
      <c r="C64" s="845"/>
      <c r="D64" s="845"/>
      <c r="E64" s="845"/>
      <c r="F64" s="845"/>
      <c r="G64" s="845"/>
      <c r="H64" s="845"/>
      <c r="I64" s="84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7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7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44" t="s">
        <v>53</v>
      </c>
      <c r="B70" s="845"/>
      <c r="C70" s="845"/>
      <c r="D70" s="845"/>
      <c r="E70" s="845"/>
      <c r="F70" s="845"/>
      <c r="G70" s="845"/>
      <c r="H70" s="845"/>
      <c r="I70" s="84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74" t="s">
        <v>53</v>
      </c>
      <c r="B78" s="674"/>
      <c r="C78" s="674"/>
      <c r="D78" s="674"/>
      <c r="E78" s="674"/>
      <c r="F78" s="674"/>
      <c r="G78" s="674"/>
      <c r="H78" s="674"/>
      <c r="I78" s="67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44" t="s">
        <v>53</v>
      </c>
      <c r="B86" s="845"/>
      <c r="C86" s="845"/>
      <c r="D86" s="845"/>
      <c r="E86" s="845"/>
      <c r="F86" s="845"/>
      <c r="G86" s="845"/>
      <c r="H86" s="845"/>
      <c r="I86" s="84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44" t="s">
        <v>53</v>
      </c>
      <c r="B92" s="845"/>
      <c r="C92" s="845"/>
      <c r="D92" s="845"/>
      <c r="E92" s="845"/>
      <c r="F92" s="845"/>
      <c r="G92" s="845"/>
      <c r="H92" s="845"/>
      <c r="I92" s="84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44" t="s">
        <v>53</v>
      </c>
      <c r="B101" s="845"/>
      <c r="C101" s="845"/>
      <c r="D101" s="845"/>
      <c r="E101" s="845"/>
      <c r="F101" s="845"/>
      <c r="G101" s="845"/>
      <c r="H101" s="845"/>
      <c r="I101" s="84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9"/>
      <c r="B107" s="86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9"/>
      <c r="B108" s="86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74" t="s">
        <v>53</v>
      </c>
      <c r="B112" s="674"/>
      <c r="C112" s="674"/>
      <c r="D112" s="674"/>
      <c r="E112" s="674"/>
      <c r="F112" s="674"/>
      <c r="G112" s="674"/>
      <c r="H112" s="674"/>
      <c r="I112" s="67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95" t="s">
        <v>954</v>
      </c>
      <c r="B119" s="72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96"/>
      <c r="B120" s="72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74" t="s">
        <v>53</v>
      </c>
      <c r="B121" s="674"/>
      <c r="C121" s="674"/>
      <c r="D121" s="674"/>
      <c r="E121" s="674"/>
      <c r="F121" s="674"/>
      <c r="G121" s="674"/>
      <c r="H121" s="674"/>
      <c r="I121" s="67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9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9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9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96"/>
      <c r="B129" s="86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8" t="s">
        <v>90</v>
      </c>
      <c r="J129" s="861">
        <v>2</v>
      </c>
      <c r="K129" s="25" t="s">
        <v>52</v>
      </c>
      <c r="L129" s="25" t="s">
        <v>51</v>
      </c>
    </row>
    <row r="130" spans="1:12">
      <c r="A130" s="696"/>
      <c r="B130" s="86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8"/>
      <c r="J130" s="863"/>
      <c r="K130" s="25" t="s">
        <v>52</v>
      </c>
      <c r="L130" s="25" t="s">
        <v>51</v>
      </c>
    </row>
    <row r="131" spans="1:12">
      <c r="A131" s="69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9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96"/>
      <c r="B133" s="7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1" t="s">
        <v>1277</v>
      </c>
      <c r="J133" s="861">
        <v>1</v>
      </c>
      <c r="K133" s="25" t="s">
        <v>52</v>
      </c>
      <c r="L133" s="25" t="s">
        <v>51</v>
      </c>
    </row>
    <row r="134" spans="1:12">
      <c r="A134" s="696"/>
      <c r="B134" s="7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4"/>
      <c r="J134" s="863"/>
      <c r="K134" s="25" t="s">
        <v>52</v>
      </c>
      <c r="L134" s="25" t="s">
        <v>51</v>
      </c>
    </row>
    <row r="135" spans="1:12">
      <c r="A135" s="69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9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74" t="s">
        <v>53</v>
      </c>
      <c r="B137" s="674"/>
      <c r="C137" s="674"/>
      <c r="D137" s="674"/>
      <c r="E137" s="674"/>
      <c r="F137" s="674"/>
      <c r="G137" s="674"/>
      <c r="H137" s="674"/>
      <c r="I137" s="67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96" t="s">
        <v>1007</v>
      </c>
      <c r="B142" s="7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96"/>
      <c r="B143" s="7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9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74" t="s">
        <v>53</v>
      </c>
      <c r="B145" s="674"/>
      <c r="C145" s="674"/>
      <c r="D145" s="674"/>
      <c r="E145" s="674"/>
      <c r="F145" s="674"/>
      <c r="G145" s="674"/>
      <c r="H145" s="674"/>
      <c r="I145" s="67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48"/>
      <c r="B150" s="72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48"/>
      <c r="B151" s="72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4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4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9" t="s">
        <v>53</v>
      </c>
      <c r="B154" s="839"/>
      <c r="C154" s="839"/>
      <c r="D154" s="839"/>
      <c r="E154" s="839"/>
      <c r="F154" s="839"/>
      <c r="G154" s="839"/>
      <c r="H154" s="839"/>
      <c r="I154" s="83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9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9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9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9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9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74" t="s">
        <v>53</v>
      </c>
      <c r="B163" s="674"/>
      <c r="C163" s="674"/>
      <c r="D163" s="674"/>
      <c r="E163" s="674"/>
      <c r="F163" s="674"/>
      <c r="G163" s="674"/>
      <c r="H163" s="674"/>
      <c r="I163" s="67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9" t="s">
        <v>53</v>
      </c>
      <c r="B167" s="839"/>
      <c r="C167" s="839"/>
      <c r="D167" s="839"/>
      <c r="E167" s="839"/>
      <c r="F167" s="839"/>
      <c r="G167" s="839"/>
      <c r="H167" s="839"/>
      <c r="I167" s="83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9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9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9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9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9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9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9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9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9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9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74" t="s">
        <v>53</v>
      </c>
      <c r="B183" s="674"/>
      <c r="C183" s="674"/>
      <c r="D183" s="674"/>
      <c r="E183" s="674"/>
      <c r="F183" s="674"/>
      <c r="G183" s="674"/>
      <c r="H183" s="674"/>
      <c r="I183" s="67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7" t="s">
        <v>1061</v>
      </c>
      <c r="B189" s="72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08"/>
      <c r="B190" s="72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08"/>
      <c r="B191" s="72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08"/>
      <c r="B192" s="72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74" t="s">
        <v>53</v>
      </c>
      <c r="B193" s="674"/>
      <c r="C193" s="674"/>
      <c r="D193" s="674"/>
      <c r="E193" s="674"/>
      <c r="F193" s="674"/>
      <c r="G193" s="674"/>
      <c r="H193" s="674"/>
      <c r="I193" s="67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5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9" t="s">
        <v>53</v>
      </c>
      <c r="B203" s="839"/>
      <c r="C203" s="839"/>
      <c r="D203" s="839"/>
      <c r="E203" s="839"/>
      <c r="F203" s="839"/>
      <c r="G203" s="839"/>
      <c r="H203" s="839"/>
      <c r="I203" s="83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9" t="s">
        <v>53</v>
      </c>
      <c r="B214" s="839"/>
      <c r="C214" s="839"/>
      <c r="D214" s="839"/>
      <c r="E214" s="839"/>
      <c r="F214" s="839"/>
      <c r="G214" s="839"/>
      <c r="H214" s="839"/>
      <c r="I214" s="83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9" t="s">
        <v>1458</v>
      </c>
      <c r="B226" s="839"/>
      <c r="C226" s="839"/>
      <c r="D226" s="839"/>
      <c r="E226" s="839"/>
      <c r="F226" s="839"/>
      <c r="G226" s="839"/>
      <c r="H226" s="839"/>
      <c r="I226" s="83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9" t="s">
        <v>1499</v>
      </c>
      <c r="B236" s="839"/>
      <c r="C236" s="839"/>
      <c r="D236" s="839"/>
      <c r="E236" s="839"/>
      <c r="F236" s="839"/>
      <c r="G236" s="839"/>
      <c r="H236" s="839"/>
      <c r="I236" s="83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44" t="s">
        <v>53</v>
      </c>
      <c r="B244" s="845"/>
      <c r="C244" s="845"/>
      <c r="D244" s="845"/>
      <c r="E244" s="845"/>
      <c r="F244" s="845"/>
      <c r="G244" s="845"/>
      <c r="H244" s="845"/>
      <c r="I244" s="84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44" t="s">
        <v>53</v>
      </c>
      <c r="B250" s="845"/>
      <c r="C250" s="845"/>
      <c r="D250" s="845"/>
      <c r="E250" s="845"/>
      <c r="F250" s="845"/>
      <c r="G250" s="845"/>
      <c r="H250" s="845"/>
      <c r="I250" s="84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44" t="s">
        <v>53</v>
      </c>
      <c r="B257" s="845"/>
      <c r="C257" s="845"/>
      <c r="D257" s="845"/>
      <c r="E257" s="845"/>
      <c r="F257" s="845"/>
      <c r="G257" s="845"/>
      <c r="H257" s="845"/>
      <c r="I257" s="84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6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6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44" t="s">
        <v>53</v>
      </c>
      <c r="B262" s="845"/>
      <c r="C262" s="845"/>
      <c r="D262" s="845"/>
      <c r="E262" s="845"/>
      <c r="F262" s="845"/>
      <c r="G262" s="845"/>
      <c r="H262" s="845"/>
      <c r="I262" s="84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6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62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6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44" t="s">
        <v>53</v>
      </c>
      <c r="B271" s="845"/>
      <c r="C271" s="845"/>
      <c r="D271" s="845"/>
      <c r="E271" s="845"/>
      <c r="F271" s="845"/>
      <c r="G271" s="845"/>
      <c r="H271" s="845"/>
      <c r="I271" s="84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44" t="s">
        <v>53</v>
      </c>
      <c r="B275" s="845"/>
      <c r="C275" s="845"/>
      <c r="D275" s="845"/>
      <c r="E275" s="845"/>
      <c r="F275" s="845"/>
      <c r="G275" s="845"/>
      <c r="H275" s="845"/>
      <c r="I275" s="846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5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5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5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5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5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2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2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2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2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2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2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2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2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44" t="s">
        <v>1650</v>
      </c>
      <c r="B296" s="845"/>
      <c r="C296" s="845"/>
      <c r="D296" s="845"/>
      <c r="E296" s="845"/>
      <c r="F296" s="845"/>
      <c r="G296" s="845"/>
      <c r="H296" s="845"/>
      <c r="I296" s="845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9" t="s">
        <v>1663</v>
      </c>
      <c r="B305" s="839"/>
      <c r="C305" s="839"/>
      <c r="D305" s="839"/>
      <c r="E305" s="839"/>
      <c r="F305" s="839"/>
      <c r="G305" s="839"/>
      <c r="H305" s="839"/>
      <c r="I305" s="83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9" t="s">
        <v>53</v>
      </c>
      <c r="B309" s="839"/>
      <c r="C309" s="839"/>
      <c r="D309" s="839"/>
      <c r="E309" s="839"/>
      <c r="F309" s="839"/>
      <c r="G309" s="839"/>
      <c r="H309" s="839"/>
      <c r="I309" s="83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9" t="s">
        <v>1663</v>
      </c>
      <c r="B314" s="839"/>
      <c r="C314" s="839"/>
      <c r="D314" s="839"/>
      <c r="E314" s="839"/>
      <c r="F314" s="839"/>
      <c r="G314" s="839"/>
      <c r="H314" s="839"/>
      <c r="I314" s="83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9" t="s">
        <v>1663</v>
      </c>
      <c r="B321" s="839"/>
      <c r="C321" s="839"/>
      <c r="D321" s="839"/>
      <c r="E321" s="839"/>
      <c r="F321" s="839"/>
      <c r="G321" s="839"/>
      <c r="H321" s="839"/>
      <c r="I321" s="83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9" t="s">
        <v>1663</v>
      </c>
      <c r="B330" s="839"/>
      <c r="C330" s="839"/>
      <c r="D330" s="839"/>
      <c r="E330" s="839"/>
      <c r="F330" s="839"/>
      <c r="G330" s="839"/>
      <c r="H330" s="839"/>
      <c r="I330" s="839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5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5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5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5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5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39" t="s">
        <v>1663</v>
      </c>
      <c r="B338" s="839"/>
      <c r="C338" s="839"/>
      <c r="D338" s="839"/>
      <c r="E338" s="839"/>
      <c r="F338" s="839"/>
      <c r="G338" s="839"/>
      <c r="H338" s="839"/>
      <c r="I338" s="83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52" t="s">
        <v>1521</v>
      </c>
      <c r="B343" s="128" t="s">
        <v>1531</v>
      </c>
      <c r="C343" s="734" t="s">
        <v>306</v>
      </c>
      <c r="D343" s="734" t="s">
        <v>322</v>
      </c>
      <c r="E343" s="713" t="s">
        <v>307</v>
      </c>
      <c r="F343" s="851">
        <v>4266</v>
      </c>
      <c r="G343" s="734" t="s">
        <v>640</v>
      </c>
      <c r="H343" s="851" t="s">
        <v>1533</v>
      </c>
      <c r="I343" s="734" t="s">
        <v>1534</v>
      </c>
      <c r="J343" s="713">
        <v>2</v>
      </c>
      <c r="K343" s="849" t="s">
        <v>50</v>
      </c>
      <c r="L343" s="849" t="s">
        <v>51</v>
      </c>
    </row>
    <row r="344" spans="1:14">
      <c r="A344" s="853"/>
      <c r="B344" s="129" t="s">
        <v>1532</v>
      </c>
      <c r="C344" s="714"/>
      <c r="D344" s="714"/>
      <c r="E344" s="714"/>
      <c r="F344" s="719"/>
      <c r="G344" s="714"/>
      <c r="H344" s="719"/>
      <c r="I344" s="714"/>
      <c r="J344" s="714"/>
      <c r="K344" s="850"/>
      <c r="L344" s="850"/>
    </row>
    <row r="345" spans="1:14">
      <c r="A345" s="853"/>
      <c r="B345" s="128" t="s">
        <v>1536</v>
      </c>
      <c r="C345" s="713" t="s">
        <v>306</v>
      </c>
      <c r="D345" s="713" t="s">
        <v>322</v>
      </c>
      <c r="E345" s="713" t="s">
        <v>307</v>
      </c>
      <c r="F345" s="718">
        <v>3306</v>
      </c>
      <c r="G345" s="713" t="s">
        <v>1153</v>
      </c>
      <c r="H345" s="718" t="s">
        <v>1538</v>
      </c>
      <c r="I345" s="713" t="s">
        <v>1534</v>
      </c>
      <c r="J345" s="713">
        <v>2</v>
      </c>
      <c r="K345" s="849" t="s">
        <v>50</v>
      </c>
      <c r="L345" s="849" t="s">
        <v>51</v>
      </c>
    </row>
    <row r="346" spans="1:14">
      <c r="A346" s="854"/>
      <c r="B346" s="129" t="s">
        <v>1537</v>
      </c>
      <c r="C346" s="714"/>
      <c r="D346" s="714"/>
      <c r="E346" s="714"/>
      <c r="F346" s="719"/>
      <c r="G346" s="714"/>
      <c r="H346" s="719"/>
      <c r="I346" s="714"/>
      <c r="J346" s="714"/>
      <c r="K346" s="850"/>
      <c r="L346" s="850"/>
    </row>
    <row r="347" spans="1:14">
      <c r="A347" s="844" t="s">
        <v>53</v>
      </c>
      <c r="B347" s="845"/>
      <c r="C347" s="845"/>
      <c r="D347" s="845"/>
      <c r="E347" s="845"/>
      <c r="F347" s="845"/>
      <c r="G347" s="845"/>
      <c r="H347" s="845"/>
      <c r="I347" s="84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9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9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9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9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9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9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9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74" t="s">
        <v>53</v>
      </c>
      <c r="B357" s="674"/>
      <c r="C357" s="674"/>
      <c r="D357" s="674"/>
      <c r="E357" s="674"/>
      <c r="F357" s="674"/>
      <c r="G357" s="674"/>
      <c r="H357" s="674"/>
      <c r="I357" s="67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9" t="s">
        <v>1458</v>
      </c>
      <c r="B361" s="839"/>
      <c r="C361" s="839"/>
      <c r="D361" s="839"/>
      <c r="E361" s="839"/>
      <c r="F361" s="839"/>
      <c r="G361" s="839"/>
      <c r="H361" s="839"/>
      <c r="I361" s="83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48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9" t="s">
        <v>1663</v>
      </c>
      <c r="B370" s="839"/>
      <c r="C370" s="839"/>
      <c r="D370" s="839"/>
      <c r="E370" s="839"/>
      <c r="F370" s="839"/>
      <c r="G370" s="839"/>
      <c r="H370" s="839"/>
      <c r="I370" s="839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5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5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5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5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5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74" t="s">
        <v>1650</v>
      </c>
      <c r="B378" s="674"/>
      <c r="C378" s="674"/>
      <c r="D378" s="674"/>
      <c r="E378" s="674"/>
      <c r="F378" s="674"/>
      <c r="G378" s="674"/>
      <c r="H378" s="674"/>
      <c r="I378" s="674"/>
      <c r="J378" s="674"/>
      <c r="K378" s="4">
        <v>25</v>
      </c>
      <c r="L378" s="55"/>
    </row>
    <row r="381" spans="1:13">
      <c r="B381" s="872" t="s">
        <v>1</v>
      </c>
      <c r="C381" s="872" t="s">
        <v>2</v>
      </c>
      <c r="D381" s="872" t="s">
        <v>3</v>
      </c>
      <c r="E381" s="36" t="s">
        <v>54</v>
      </c>
      <c r="F381" s="872" t="s">
        <v>5</v>
      </c>
      <c r="G381" s="872" t="s">
        <v>6</v>
      </c>
      <c r="H381" s="872" t="s">
        <v>7</v>
      </c>
      <c r="I381" s="872" t="s">
        <v>55</v>
      </c>
      <c r="J381" s="872" t="s">
        <v>9</v>
      </c>
      <c r="K381" s="874" t="s">
        <v>56</v>
      </c>
      <c r="L381" s="872" t="s">
        <v>57</v>
      </c>
    </row>
    <row r="382" spans="1:13">
      <c r="B382" s="873"/>
      <c r="C382" s="873"/>
      <c r="D382" s="873"/>
      <c r="E382" s="37" t="s">
        <v>59</v>
      </c>
      <c r="F382" s="873"/>
      <c r="G382" s="873"/>
      <c r="H382" s="873"/>
      <c r="I382" s="873"/>
      <c r="J382" s="873"/>
      <c r="K382" s="875"/>
      <c r="L382" s="873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9" t="s">
        <v>53</v>
      </c>
      <c r="B394" s="839"/>
      <c r="C394" s="839"/>
      <c r="D394" s="839"/>
      <c r="E394" s="839"/>
      <c r="F394" s="839"/>
      <c r="G394" s="839"/>
      <c r="H394" s="839"/>
      <c r="I394" s="839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5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5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5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5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39" t="s">
        <v>53</v>
      </c>
      <c r="B401" s="839"/>
      <c r="C401" s="839"/>
      <c r="D401" s="839"/>
      <c r="E401" s="839"/>
      <c r="F401" s="839"/>
      <c r="G401" s="839"/>
      <c r="H401" s="839"/>
      <c r="I401" s="83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42" t="s">
        <v>229</v>
      </c>
      <c r="B405" s="847" t="s">
        <v>1809</v>
      </c>
      <c r="C405" s="847" t="s">
        <v>700</v>
      </c>
      <c r="D405" s="876" t="s">
        <v>675</v>
      </c>
      <c r="E405" s="847" t="s">
        <v>1810</v>
      </c>
      <c r="F405" s="847" t="s">
        <v>1811</v>
      </c>
      <c r="G405" s="847" t="s">
        <v>662</v>
      </c>
      <c r="H405" s="877" t="s">
        <v>1812</v>
      </c>
      <c r="I405" s="876"/>
      <c r="J405" s="877">
        <v>1</v>
      </c>
      <c r="K405" s="849" t="s">
        <v>631</v>
      </c>
      <c r="L405" s="831" t="s">
        <v>51</v>
      </c>
      <c r="M405">
        <v>19</v>
      </c>
    </row>
    <row r="406" spans="1:13" ht="13.5" customHeight="1">
      <c r="A406" s="842"/>
      <c r="B406" s="847"/>
      <c r="C406" s="847"/>
      <c r="D406" s="876"/>
      <c r="E406" s="847"/>
      <c r="F406" s="847"/>
      <c r="G406" s="847"/>
      <c r="H406" s="877"/>
      <c r="I406" s="876"/>
      <c r="J406" s="877"/>
      <c r="K406" s="850"/>
      <c r="L406" s="833"/>
      <c r="M406">
        <v>18</v>
      </c>
    </row>
    <row r="407" spans="1:13" ht="27" customHeight="1">
      <c r="A407" s="842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42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42" t="s">
        <v>1650</v>
      </c>
      <c r="B409" s="842"/>
      <c r="C409" s="842"/>
      <c r="D409" s="842"/>
      <c r="E409" s="842"/>
      <c r="F409" s="842"/>
      <c r="G409" s="842"/>
      <c r="H409" s="842"/>
      <c r="I409" s="842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42" t="s">
        <v>2012</v>
      </c>
      <c r="B412" s="878" t="s">
        <v>2013</v>
      </c>
      <c r="C412" s="849" t="s">
        <v>21</v>
      </c>
      <c r="D412" s="729" t="s">
        <v>14</v>
      </c>
      <c r="E412" s="849" t="s">
        <v>78</v>
      </c>
      <c r="F412" s="847" t="s">
        <v>2014</v>
      </c>
      <c r="G412" s="847" t="s">
        <v>40</v>
      </c>
      <c r="H412" s="877" t="s">
        <v>614</v>
      </c>
      <c r="I412" s="876"/>
      <c r="J412" s="877">
        <v>1</v>
      </c>
      <c r="K412" s="849" t="s">
        <v>2015</v>
      </c>
      <c r="L412" s="831" t="s">
        <v>2001</v>
      </c>
      <c r="M412">
        <v>19</v>
      </c>
    </row>
    <row r="413" spans="1:13" ht="20.100000000000001" customHeight="1">
      <c r="A413" s="842"/>
      <c r="B413" s="847"/>
      <c r="C413" s="850"/>
      <c r="D413" s="730"/>
      <c r="E413" s="850"/>
      <c r="F413" s="847"/>
      <c r="G413" s="847"/>
      <c r="H413" s="877"/>
      <c r="I413" s="876"/>
      <c r="J413" s="877"/>
      <c r="K413" s="850"/>
      <c r="L413" s="833"/>
      <c r="M413">
        <v>18</v>
      </c>
    </row>
    <row r="414" spans="1:13" ht="20.100000000000001" customHeight="1">
      <c r="A414" s="842" t="s">
        <v>1650</v>
      </c>
      <c r="B414" s="842"/>
      <c r="C414" s="842"/>
      <c r="D414" s="842"/>
      <c r="E414" s="842"/>
      <c r="F414" s="842"/>
      <c r="G414" s="842"/>
      <c r="H414" s="842"/>
      <c r="I414" s="842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3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32"/>
      <c r="B418" s="78" t="s">
        <v>1752</v>
      </c>
      <c r="C418" s="876" t="s">
        <v>306</v>
      </c>
      <c r="D418" s="876" t="s">
        <v>322</v>
      </c>
      <c r="E418" s="876" t="s">
        <v>307</v>
      </c>
      <c r="F418" s="877">
        <v>3306</v>
      </c>
      <c r="G418" s="876" t="s">
        <v>1153</v>
      </c>
      <c r="H418" s="877" t="s">
        <v>1753</v>
      </c>
      <c r="I418" s="876" t="s">
        <v>664</v>
      </c>
      <c r="J418" s="876">
        <v>4</v>
      </c>
      <c r="K418" s="849" t="s">
        <v>631</v>
      </c>
      <c r="L418" s="831" t="s">
        <v>51</v>
      </c>
      <c r="M418">
        <v>18</v>
      </c>
    </row>
    <row r="419" spans="1:13" ht="13.5" customHeight="1">
      <c r="A419" s="832"/>
      <c r="B419" s="79" t="s">
        <v>1755</v>
      </c>
      <c r="C419" s="876"/>
      <c r="D419" s="876"/>
      <c r="E419" s="876"/>
      <c r="F419" s="877"/>
      <c r="G419" s="876"/>
      <c r="H419" s="877"/>
      <c r="I419" s="876"/>
      <c r="J419" s="876"/>
      <c r="K419" s="850"/>
      <c r="L419" s="833"/>
    </row>
    <row r="420" spans="1:13" ht="13.5" customHeight="1">
      <c r="A420" s="832"/>
      <c r="B420" s="78" t="s">
        <v>1804</v>
      </c>
      <c r="C420" s="876" t="s">
        <v>306</v>
      </c>
      <c r="D420" s="876" t="s">
        <v>322</v>
      </c>
      <c r="E420" s="876" t="s">
        <v>307</v>
      </c>
      <c r="F420" s="877" t="s">
        <v>1805</v>
      </c>
      <c r="G420" s="876" t="s">
        <v>1806</v>
      </c>
      <c r="H420" s="877" t="s">
        <v>1807</v>
      </c>
      <c r="I420" s="876" t="s">
        <v>664</v>
      </c>
      <c r="J420" s="876">
        <v>5</v>
      </c>
      <c r="K420" s="849" t="s">
        <v>631</v>
      </c>
      <c r="L420" s="831" t="s">
        <v>51</v>
      </c>
      <c r="M420">
        <v>19</v>
      </c>
    </row>
    <row r="421" spans="1:13" ht="13.5" customHeight="1">
      <c r="A421" s="832"/>
      <c r="B421" s="79" t="s">
        <v>1799</v>
      </c>
      <c r="C421" s="876"/>
      <c r="D421" s="876"/>
      <c r="E421" s="876"/>
      <c r="F421" s="877"/>
      <c r="G421" s="876"/>
      <c r="H421" s="877"/>
      <c r="I421" s="876"/>
      <c r="J421" s="876"/>
      <c r="K421" s="850"/>
      <c r="L421" s="833"/>
    </row>
    <row r="422" spans="1:13" ht="27" customHeight="1">
      <c r="A422" s="833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42" t="s">
        <v>1650</v>
      </c>
      <c r="B423" s="842"/>
      <c r="C423" s="842"/>
      <c r="D423" s="842"/>
      <c r="E423" s="842"/>
      <c r="F423" s="842"/>
      <c r="G423" s="842"/>
      <c r="H423" s="842"/>
      <c r="I423" s="842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7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8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8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8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9" t="s">
        <v>1650</v>
      </c>
      <c r="B431" s="839"/>
      <c r="C431" s="839"/>
      <c r="D431" s="839"/>
      <c r="E431" s="839"/>
      <c r="F431" s="839"/>
      <c r="G431" s="839"/>
      <c r="H431" s="839"/>
      <c r="I431" s="839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8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8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9" t="s">
        <v>1650</v>
      </c>
      <c r="B435" s="839"/>
      <c r="C435" s="839"/>
      <c r="D435" s="839"/>
      <c r="E435" s="839"/>
      <c r="F435" s="839"/>
      <c r="G435" s="839"/>
      <c r="H435" s="839"/>
      <c r="I435" s="83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24" t="s">
        <v>2031</v>
      </c>
      <c r="B438" s="254" t="s">
        <v>1764</v>
      </c>
      <c r="C438" s="787" t="s">
        <v>306</v>
      </c>
      <c r="D438" s="787" t="s">
        <v>322</v>
      </c>
      <c r="E438" s="787" t="s">
        <v>307</v>
      </c>
      <c r="F438" s="882" t="s">
        <v>1765</v>
      </c>
      <c r="G438" s="787" t="s">
        <v>329</v>
      </c>
      <c r="H438" s="861" t="s">
        <v>1766</v>
      </c>
      <c r="I438" s="735" t="s">
        <v>664</v>
      </c>
      <c r="J438" s="884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725"/>
      <c r="B439" s="255" t="s">
        <v>2032</v>
      </c>
      <c r="C439" s="788"/>
      <c r="D439" s="788"/>
      <c r="E439" s="788"/>
      <c r="F439" s="883"/>
      <c r="G439" s="788"/>
      <c r="H439" s="863"/>
      <c r="I439" s="736"/>
      <c r="J439" s="885"/>
      <c r="K439" s="850"/>
      <c r="L439" s="850"/>
    </row>
    <row r="440" spans="1:13" ht="13.5" customHeight="1">
      <c r="A440" s="725"/>
      <c r="B440" s="256" t="s">
        <v>1798</v>
      </c>
      <c r="C440" s="675" t="s">
        <v>306</v>
      </c>
      <c r="D440" s="675" t="s">
        <v>322</v>
      </c>
      <c r="E440" s="675" t="s">
        <v>307</v>
      </c>
      <c r="F440" s="682" t="s">
        <v>1800</v>
      </c>
      <c r="G440" s="675" t="s">
        <v>1801</v>
      </c>
      <c r="H440" s="682" t="s">
        <v>1796</v>
      </c>
      <c r="I440" s="675" t="s">
        <v>664</v>
      </c>
      <c r="J440" s="713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725"/>
      <c r="B441" s="257" t="s">
        <v>1799</v>
      </c>
      <c r="C441" s="675"/>
      <c r="D441" s="675"/>
      <c r="E441" s="675"/>
      <c r="F441" s="682"/>
      <c r="G441" s="675"/>
      <c r="H441" s="682"/>
      <c r="I441" s="675"/>
      <c r="J441" s="714"/>
      <c r="K441" s="850"/>
      <c r="L441" s="850"/>
    </row>
    <row r="442" spans="1:13" ht="20.100000000000001" customHeight="1">
      <c r="A442" s="72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2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2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2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2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2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2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2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44" t="s">
        <v>1650</v>
      </c>
      <c r="B450" s="845"/>
      <c r="C450" s="845"/>
      <c r="D450" s="845"/>
      <c r="E450" s="845"/>
      <c r="F450" s="845"/>
      <c r="G450" s="845"/>
      <c r="H450" s="845"/>
      <c r="I450" s="845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9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9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9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74" t="s">
        <v>2063</v>
      </c>
      <c r="B459" s="674"/>
      <c r="C459" s="674"/>
      <c r="D459" s="674"/>
      <c r="E459" s="674"/>
      <c r="F459" s="674"/>
      <c r="G459" s="674"/>
      <c r="H459" s="674"/>
      <c r="I459" s="67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80"/>
      <c r="B463" s="886" t="s">
        <v>1771</v>
      </c>
      <c r="C463" s="887" t="s">
        <v>311</v>
      </c>
      <c r="D463" s="887" t="s">
        <v>320</v>
      </c>
      <c r="E463" s="887" t="s">
        <v>709</v>
      </c>
      <c r="F463" s="887" t="s">
        <v>1772</v>
      </c>
      <c r="G463" s="886" t="s">
        <v>1773</v>
      </c>
      <c r="H463" s="260" t="s">
        <v>1774</v>
      </c>
      <c r="I463" s="887"/>
      <c r="J463" s="887">
        <v>1</v>
      </c>
      <c r="K463" s="729" t="s">
        <v>631</v>
      </c>
      <c r="L463" s="759" t="s">
        <v>51</v>
      </c>
      <c r="M463">
        <v>18</v>
      </c>
    </row>
    <row r="464" spans="1:13" ht="13.5" customHeight="1">
      <c r="A464" s="880"/>
      <c r="B464" s="886"/>
      <c r="C464" s="887"/>
      <c r="D464" s="887"/>
      <c r="E464" s="887"/>
      <c r="F464" s="887"/>
      <c r="G464" s="886"/>
      <c r="H464" s="261" t="s">
        <v>1777</v>
      </c>
      <c r="I464" s="887"/>
      <c r="J464" s="887"/>
      <c r="K464" s="730"/>
      <c r="L464" s="760"/>
    </row>
    <row r="465" spans="1:13" ht="13.5" customHeight="1">
      <c r="A465" s="880"/>
      <c r="B465" s="888" t="s">
        <v>1817</v>
      </c>
      <c r="C465" s="847" t="s">
        <v>700</v>
      </c>
      <c r="D465" s="876" t="s">
        <v>320</v>
      </c>
      <c r="E465" s="876" t="s">
        <v>337</v>
      </c>
      <c r="F465" s="847" t="s">
        <v>353</v>
      </c>
      <c r="G465" s="847" t="s">
        <v>1818</v>
      </c>
      <c r="H465" s="877" t="s">
        <v>1819</v>
      </c>
      <c r="I465" s="876" t="s">
        <v>638</v>
      </c>
      <c r="J465" s="877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80"/>
      <c r="B466" s="888"/>
      <c r="C466" s="847"/>
      <c r="D466" s="876"/>
      <c r="E466" s="876"/>
      <c r="F466" s="847"/>
      <c r="G466" s="847"/>
      <c r="H466" s="877"/>
      <c r="I466" s="876"/>
      <c r="J466" s="877"/>
      <c r="K466" s="850"/>
      <c r="L466" s="850"/>
    </row>
    <row r="467" spans="1:13" ht="27" customHeight="1">
      <c r="A467" s="88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80"/>
      <c r="B468" s="847" t="s">
        <v>1824</v>
      </c>
      <c r="C468" s="847" t="s">
        <v>700</v>
      </c>
      <c r="D468" s="876" t="s">
        <v>320</v>
      </c>
      <c r="E468" s="876" t="s">
        <v>709</v>
      </c>
      <c r="F468" s="876" t="s">
        <v>1772</v>
      </c>
      <c r="G468" s="847" t="s">
        <v>1825</v>
      </c>
      <c r="H468" s="263" t="s">
        <v>1826</v>
      </c>
      <c r="I468" s="876" t="s">
        <v>638</v>
      </c>
      <c r="J468" s="87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80"/>
      <c r="B469" s="847"/>
      <c r="C469" s="847"/>
      <c r="D469" s="876"/>
      <c r="E469" s="876"/>
      <c r="F469" s="876"/>
      <c r="G469" s="847"/>
      <c r="H469" s="264" t="s">
        <v>1827</v>
      </c>
      <c r="I469" s="876"/>
      <c r="J469" s="876"/>
      <c r="K469" s="850"/>
      <c r="L469" s="850"/>
    </row>
    <row r="470" spans="1:13" ht="27" customHeight="1">
      <c r="A470" s="88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81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9" t="s">
        <v>53</v>
      </c>
      <c r="B472" s="839"/>
      <c r="C472" s="839"/>
      <c r="D472" s="839"/>
      <c r="E472" s="839"/>
      <c r="F472" s="839"/>
      <c r="G472" s="839"/>
      <c r="H472" s="839"/>
      <c r="I472" s="83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9" t="s">
        <v>228</v>
      </c>
      <c r="B476" s="886" t="s">
        <v>1771</v>
      </c>
      <c r="C476" s="887" t="s">
        <v>311</v>
      </c>
      <c r="D476" s="887" t="s">
        <v>320</v>
      </c>
      <c r="E476" s="887" t="s">
        <v>709</v>
      </c>
      <c r="F476" s="887" t="s">
        <v>1772</v>
      </c>
      <c r="G476" s="886" t="s">
        <v>1773</v>
      </c>
      <c r="H476" s="260" t="s">
        <v>1774</v>
      </c>
      <c r="I476" s="887"/>
      <c r="J476" s="887">
        <v>1</v>
      </c>
      <c r="K476" s="729" t="s">
        <v>631</v>
      </c>
      <c r="L476" s="759" t="s">
        <v>51</v>
      </c>
      <c r="M476">
        <v>18</v>
      </c>
    </row>
    <row r="477" spans="1:13" ht="13.5" customHeight="1">
      <c r="A477" s="839"/>
      <c r="B477" s="886"/>
      <c r="C477" s="887"/>
      <c r="D477" s="887"/>
      <c r="E477" s="887"/>
      <c r="F477" s="887"/>
      <c r="G477" s="886"/>
      <c r="H477" s="261" t="s">
        <v>1777</v>
      </c>
      <c r="I477" s="887"/>
      <c r="J477" s="887"/>
      <c r="K477" s="730"/>
      <c r="L477" s="760"/>
    </row>
    <row r="478" spans="1:13" ht="27" customHeight="1">
      <c r="A478" s="83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9" t="s">
        <v>1650</v>
      </c>
      <c r="B479" s="839"/>
      <c r="C479" s="839"/>
      <c r="D479" s="839"/>
      <c r="E479" s="839"/>
      <c r="F479" s="839"/>
      <c r="G479" s="839"/>
      <c r="H479" s="839"/>
      <c r="I479" s="83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44" t="s">
        <v>53</v>
      </c>
      <c r="B487" s="845"/>
      <c r="C487" s="845"/>
      <c r="D487" s="845"/>
      <c r="E487" s="845"/>
      <c r="F487" s="845"/>
      <c r="G487" s="845"/>
      <c r="H487" s="845"/>
      <c r="I487" s="84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90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91"/>
      <c r="B494" s="889" t="s">
        <v>2186</v>
      </c>
      <c r="C494" s="889" t="s">
        <v>306</v>
      </c>
      <c r="D494" s="889" t="s">
        <v>322</v>
      </c>
      <c r="E494" s="889" t="s">
        <v>307</v>
      </c>
      <c r="F494" s="892" t="s">
        <v>1923</v>
      </c>
      <c r="G494" s="889" t="s">
        <v>662</v>
      </c>
      <c r="H494" s="892" t="s">
        <v>1924</v>
      </c>
      <c r="I494" s="889" t="s">
        <v>349</v>
      </c>
      <c r="J494" s="889">
        <v>2</v>
      </c>
      <c r="K494" s="847" t="s">
        <v>50</v>
      </c>
      <c r="L494" s="224">
        <v>23</v>
      </c>
    </row>
    <row r="495" spans="1:13" ht="12.6" customHeight="1">
      <c r="A495" s="891"/>
      <c r="B495" s="889"/>
      <c r="C495" s="889"/>
      <c r="D495" s="889"/>
      <c r="E495" s="889"/>
      <c r="F495" s="892"/>
      <c r="G495" s="889"/>
      <c r="H495" s="892"/>
      <c r="I495" s="889"/>
      <c r="J495" s="889"/>
      <c r="K495" s="847"/>
    </row>
    <row r="496" spans="1:13" ht="24.95" customHeight="1">
      <c r="A496" s="891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91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91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9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39" t="s">
        <v>53</v>
      </c>
      <c r="B500" s="839"/>
      <c r="C500" s="839"/>
      <c r="D500" s="839"/>
      <c r="E500" s="839"/>
      <c r="F500" s="839"/>
      <c r="G500" s="839"/>
      <c r="H500" s="839"/>
      <c r="I500" s="839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7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7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7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7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7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39" t="s">
        <v>2221</v>
      </c>
      <c r="B511" s="839"/>
      <c r="C511" s="839"/>
      <c r="D511" s="839"/>
      <c r="E511" s="839"/>
      <c r="F511" s="839"/>
      <c r="G511" s="839"/>
      <c r="H511" s="839"/>
      <c r="I511" s="839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7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7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7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7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7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7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7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74" t="s">
        <v>2237</v>
      </c>
      <c r="B522" s="674"/>
      <c r="C522" s="674"/>
      <c r="D522" s="674"/>
      <c r="E522" s="674"/>
      <c r="F522" s="674"/>
      <c r="G522" s="674"/>
      <c r="H522" s="674"/>
      <c r="I522" s="67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9" t="s">
        <v>2242</v>
      </c>
      <c r="B528" s="839"/>
      <c r="C528" s="839"/>
      <c r="D528" s="839"/>
      <c r="E528" s="839"/>
      <c r="F528" s="839"/>
      <c r="G528" s="839"/>
      <c r="H528" s="839"/>
      <c r="I528" s="839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74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7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7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39" t="s">
        <v>2237</v>
      </c>
      <c r="B535" s="839"/>
      <c r="C535" s="839"/>
      <c r="D535" s="839"/>
      <c r="E535" s="839"/>
      <c r="F535" s="839"/>
      <c r="G535" s="839"/>
      <c r="H535" s="839"/>
      <c r="I535" s="839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44" t="s">
        <v>2242</v>
      </c>
      <c r="B540" s="845"/>
      <c r="C540" s="845"/>
      <c r="D540" s="845"/>
      <c r="E540" s="845"/>
      <c r="F540" s="845"/>
      <c r="G540" s="845"/>
      <c r="H540" s="845"/>
      <c r="I540" s="84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3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42" t="s">
        <v>2237</v>
      </c>
      <c r="B546" s="842"/>
      <c r="C546" s="842"/>
      <c r="D546" s="842"/>
      <c r="E546" s="842"/>
      <c r="F546" s="842"/>
      <c r="G546" s="842"/>
      <c r="H546" s="842"/>
      <c r="I546" s="842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39" t="s">
        <v>2237</v>
      </c>
      <c r="B550" s="839"/>
      <c r="C550" s="839"/>
      <c r="D550" s="839"/>
      <c r="E550" s="839"/>
      <c r="F550" s="839"/>
      <c r="G550" s="839"/>
      <c r="H550" s="839"/>
      <c r="I550" s="839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43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43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43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43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43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43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43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43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43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43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43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39" t="s">
        <v>2237</v>
      </c>
      <c r="B565" s="839"/>
      <c r="C565" s="839"/>
      <c r="D565" s="839"/>
      <c r="E565" s="839"/>
      <c r="F565" s="839"/>
      <c r="G565" s="839"/>
      <c r="H565" s="839"/>
      <c r="I565" s="839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691" t="s">
        <v>306</v>
      </c>
      <c r="D569" s="691" t="s">
        <v>322</v>
      </c>
      <c r="E569" s="691" t="s">
        <v>307</v>
      </c>
      <c r="F569" s="691">
        <v>3306</v>
      </c>
      <c r="G569" s="691" t="s">
        <v>1153</v>
      </c>
      <c r="H569" s="691" t="s">
        <v>1911</v>
      </c>
      <c r="I569" s="691" t="s">
        <v>1111</v>
      </c>
      <c r="J569" s="691" t="s">
        <v>692</v>
      </c>
      <c r="K569" s="840" t="s">
        <v>2295</v>
      </c>
    </row>
    <row r="570" spans="1:12">
      <c r="B570" s="245" t="s">
        <v>1913</v>
      </c>
      <c r="C570" s="692"/>
      <c r="D570" s="692"/>
      <c r="E570" s="692"/>
      <c r="F570" s="692"/>
      <c r="G570" s="692"/>
      <c r="H570" s="692"/>
      <c r="I570" s="692"/>
      <c r="J570" s="692"/>
      <c r="K570" s="84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90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9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91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91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91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91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91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39" t="s">
        <v>1458</v>
      </c>
      <c r="B582" s="839"/>
      <c r="C582" s="839"/>
      <c r="D582" s="839"/>
      <c r="E582" s="839"/>
      <c r="F582" s="839"/>
      <c r="G582" s="839"/>
      <c r="H582" s="839"/>
      <c r="I582" s="839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7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7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39" t="s">
        <v>2397</v>
      </c>
      <c r="B588" s="839"/>
      <c r="C588" s="839"/>
      <c r="D588" s="839"/>
      <c r="E588" s="839"/>
      <c r="F588" s="839"/>
      <c r="G588" s="839"/>
      <c r="H588" s="839"/>
      <c r="I588" s="839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74" t="s">
        <v>2410</v>
      </c>
      <c r="B592" s="674"/>
      <c r="C592" s="674"/>
      <c r="D592" s="674"/>
      <c r="E592" s="674"/>
      <c r="F592" s="674"/>
      <c r="G592" s="674"/>
      <c r="H592" s="674"/>
      <c r="I592" s="67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7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7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7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7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7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7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74" t="s">
        <v>2410</v>
      </c>
      <c r="B601" s="674"/>
      <c r="C601" s="674"/>
      <c r="D601" s="674"/>
      <c r="E601" s="674"/>
      <c r="F601" s="674"/>
      <c r="G601" s="674"/>
      <c r="H601" s="674"/>
      <c r="I601" s="67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9" t="s">
        <v>2441</v>
      </c>
      <c r="B606" s="839"/>
      <c r="C606" s="839"/>
      <c r="D606" s="839"/>
      <c r="E606" s="839"/>
      <c r="F606" s="839"/>
      <c r="G606" s="839"/>
      <c r="H606" s="839"/>
      <c r="I606" s="839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7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7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7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39" t="s">
        <v>2410</v>
      </c>
      <c r="B613" s="839"/>
      <c r="C613" s="839"/>
      <c r="D613" s="839"/>
      <c r="E613" s="839"/>
      <c r="F613" s="839"/>
      <c r="G613" s="839"/>
      <c r="H613" s="839"/>
      <c r="I613" s="839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43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4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43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43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43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43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43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43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43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43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39" t="s">
        <v>2410</v>
      </c>
      <c r="B627" s="839"/>
      <c r="C627" s="839"/>
      <c r="D627" s="839"/>
      <c r="E627" s="839"/>
      <c r="F627" s="839"/>
      <c r="G627" s="839"/>
      <c r="H627" s="839"/>
      <c r="I627" s="839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94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94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94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94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94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94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94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94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94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94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94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94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94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94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95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96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96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96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96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97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98" t="s">
        <v>1650</v>
      </c>
      <c r="B655" s="898"/>
      <c r="C655" s="898"/>
      <c r="D655" s="898"/>
      <c r="E655" s="898"/>
      <c r="F655" s="898"/>
      <c r="G655" s="898"/>
      <c r="H655" s="898"/>
      <c r="I655" s="898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98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98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98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98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98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98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98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98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98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98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98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98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98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98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98" t="s">
        <v>1650</v>
      </c>
      <c r="B674" s="898"/>
      <c r="C674" s="898"/>
      <c r="D674" s="898"/>
      <c r="E674" s="898"/>
      <c r="F674" s="898"/>
      <c r="G674" s="898"/>
      <c r="H674" s="898"/>
      <c r="I674" s="898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98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98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98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98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98" t="s">
        <v>1650</v>
      </c>
      <c r="B681" s="898"/>
      <c r="C681" s="898"/>
      <c r="D681" s="898"/>
      <c r="E681" s="898"/>
      <c r="F681" s="898"/>
      <c r="G681" s="898"/>
      <c r="H681" s="898"/>
      <c r="I681" s="898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93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93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93" t="s">
        <v>1650</v>
      </c>
      <c r="B688" s="893"/>
      <c r="C688" s="893"/>
      <c r="D688" s="893"/>
      <c r="E688" s="893"/>
      <c r="F688" s="893"/>
      <c r="G688" s="893"/>
      <c r="H688" s="893"/>
      <c r="I688" s="893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94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94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94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94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94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94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94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93" t="s">
        <v>1650</v>
      </c>
      <c r="B699" s="893"/>
      <c r="C699" s="893"/>
      <c r="D699" s="893"/>
      <c r="E699" s="893"/>
      <c r="F699" s="893"/>
      <c r="G699" s="893"/>
      <c r="H699" s="893"/>
      <c r="I699" s="893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5413</v>
      </c>
      <c r="D4" t="s">
        <v>5414</v>
      </c>
    </row>
    <row r="5" spans="2:13">
      <c r="B5" t="s">
        <v>5409</v>
      </c>
      <c r="C5" s="109">
        <v>160000</v>
      </c>
      <c r="D5" s="109"/>
    </row>
    <row r="6" spans="2:13">
      <c r="B6" t="s">
        <v>5410</v>
      </c>
      <c r="C6" s="109">
        <f>59500*2</f>
        <v>119000</v>
      </c>
      <c r="D6" s="109">
        <f>186000*2</f>
        <v>372000</v>
      </c>
      <c r="H6" t="s">
        <v>5429</v>
      </c>
    </row>
    <row r="7" spans="2:13">
      <c r="B7" t="s">
        <v>5411</v>
      </c>
      <c r="C7" s="109">
        <v>250000</v>
      </c>
      <c r="D7" s="109"/>
      <c r="H7" s="618" t="s">
        <v>162</v>
      </c>
      <c r="I7" s="618" t="s">
        <v>5418</v>
      </c>
      <c r="J7" s="618" t="s">
        <v>5419</v>
      </c>
      <c r="K7" s="618" t="s">
        <v>5425</v>
      </c>
      <c r="L7" s="618" t="s">
        <v>1458</v>
      </c>
      <c r="M7" s="618" t="s">
        <v>3324</v>
      </c>
    </row>
    <row r="8" spans="2:13">
      <c r="B8" t="s">
        <v>5412</v>
      </c>
      <c r="C8" s="109">
        <v>500000</v>
      </c>
      <c r="D8" s="109"/>
      <c r="H8" s="618" t="s">
        <v>5421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5434</v>
      </c>
    </row>
    <row r="9" spans="2:13">
      <c r="C9" s="109"/>
      <c r="D9" s="109"/>
      <c r="H9" s="618" t="s">
        <v>5422</v>
      </c>
      <c r="I9" s="376">
        <f>70000*2</f>
        <v>140000</v>
      </c>
      <c r="J9" s="376"/>
      <c r="K9" s="376"/>
      <c r="L9" s="376">
        <f>SUM(I9:J9)</f>
        <v>140000</v>
      </c>
      <c r="M9" s="618" t="s">
        <v>5433</v>
      </c>
    </row>
    <row r="10" spans="2:13">
      <c r="C10" s="109"/>
      <c r="D10" s="109"/>
      <c r="H10" s="618" t="s">
        <v>5415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5435</v>
      </c>
    </row>
    <row r="11" spans="2:13">
      <c r="C11" s="109"/>
      <c r="D11" s="109"/>
      <c r="H11" s="618" t="s">
        <v>5416</v>
      </c>
      <c r="I11" s="376">
        <v>550000</v>
      </c>
      <c r="J11" s="618"/>
      <c r="K11" s="624"/>
      <c r="L11" s="376">
        <f>SUM(I11:J11)</f>
        <v>550000</v>
      </c>
      <c r="M11" s="618" t="s">
        <v>5417</v>
      </c>
    </row>
    <row r="12" spans="2:13">
      <c r="C12" s="109"/>
      <c r="D12" s="109"/>
      <c r="H12" s="674" t="s">
        <v>5427</v>
      </c>
      <c r="I12" s="674"/>
      <c r="J12" s="674"/>
      <c r="K12" s="674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5430</v>
      </c>
    </row>
    <row r="15" spans="2:13">
      <c r="H15" s="618" t="s">
        <v>162</v>
      </c>
      <c r="I15" s="618" t="s">
        <v>5418</v>
      </c>
      <c r="J15" s="618" t="s">
        <v>5419</v>
      </c>
      <c r="K15" s="618" t="s">
        <v>5426</v>
      </c>
      <c r="L15" s="618" t="s">
        <v>1458</v>
      </c>
      <c r="M15" s="618" t="s">
        <v>3324</v>
      </c>
    </row>
    <row r="16" spans="2:13">
      <c r="H16" s="618" t="s">
        <v>5421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5420</v>
      </c>
    </row>
    <row r="17" spans="8:13">
      <c r="H17" s="618" t="s">
        <v>5423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5432</v>
      </c>
    </row>
    <row r="18" spans="8:13">
      <c r="H18" s="618" t="s">
        <v>5415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5424</v>
      </c>
    </row>
    <row r="19" spans="8:13">
      <c r="H19" s="618" t="s">
        <v>5416</v>
      </c>
      <c r="I19" s="376">
        <v>550000</v>
      </c>
      <c r="J19" s="618"/>
      <c r="K19" s="618"/>
      <c r="L19" s="376">
        <f>SUM(I19:J19)</f>
        <v>550000</v>
      </c>
      <c r="M19" s="618" t="s">
        <v>5417</v>
      </c>
    </row>
    <row r="20" spans="8:13">
      <c r="H20" s="674" t="s">
        <v>5428</v>
      </c>
      <c r="I20" s="674"/>
      <c r="J20" s="674"/>
      <c r="K20" s="674"/>
      <c r="L20" s="625">
        <f>SUM(L16:L19)</f>
        <v>3647500</v>
      </c>
    </row>
    <row r="22" spans="8:13">
      <c r="H22" s="626" t="s">
        <v>5431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2026-04-10T08:43:56Z</dcterms:modified>
</cp:coreProperties>
</file>